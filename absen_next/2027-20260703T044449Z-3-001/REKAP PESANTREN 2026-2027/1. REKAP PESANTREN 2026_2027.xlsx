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ELAS I" sheetId="1" r:id="rId5"/>
    <sheet state="visible" name="KELAS II" sheetId="2" r:id="rId6"/>
    <sheet state="visible" name="KELAS III" sheetId="3" r:id="rId7"/>
    <sheet state="visible" name="BOYONG" sheetId="4" r:id="rId8"/>
    <sheet state="visible" name="Setting" sheetId="5" r:id="rId9"/>
  </sheets>
  <definedNames>
    <definedName hidden="1" localSheetId="0" name="_xlnm._FilterDatabase">'KELAS I'!$A$2:$BL$450</definedName>
    <definedName hidden="1" localSheetId="1" name="_xlnm._FilterDatabase">'KELAS II'!$A$2:$BL$446</definedName>
    <definedName hidden="1" localSheetId="2" name="_xlnm._FilterDatabase">'KELAS III'!$A$2:$BL$359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04">
      <text>
        <t xml:space="preserve">6285841285908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203">
      <text>
        <t xml:space="preserve">6285841285908
</t>
      </text>
    </comment>
  </commentList>
</comments>
</file>

<file path=xl/sharedStrings.xml><?xml version="1.0" encoding="utf-8"?>
<sst xmlns="http://schemas.openxmlformats.org/spreadsheetml/2006/main" count="7580" uniqueCount="3778">
  <si>
    <t xml:space="preserve"> </t>
  </si>
  <si>
    <t>NO</t>
  </si>
  <si>
    <t>NAMA</t>
  </si>
  <si>
    <t>NIS</t>
  </si>
  <si>
    <t>AYAH</t>
  </si>
  <si>
    <t>IBU</t>
  </si>
  <si>
    <t>ALAMAT</t>
  </si>
  <si>
    <t>SEKOLAH</t>
  </si>
  <si>
    <t>ASRAMA</t>
  </si>
  <si>
    <t>KAMAR</t>
  </si>
  <si>
    <t>TINGKAT</t>
  </si>
  <si>
    <t>MADRASIAH</t>
  </si>
  <si>
    <t>HP</t>
  </si>
  <si>
    <t>JARIYAH I</t>
  </si>
  <si>
    <t>DANA KEGIATAN</t>
  </si>
  <si>
    <t>DAFTAR ULANG KELAS II</t>
  </si>
  <si>
    <t>JARIYAH II</t>
  </si>
  <si>
    <t>DAFTAR ULANG KELAS III</t>
  </si>
  <si>
    <t>JARIYAH III</t>
  </si>
  <si>
    <t>JUMLAH SYAHRIYAH</t>
  </si>
  <si>
    <t>JUMLAH JARIYAH</t>
  </si>
  <si>
    <t>JUMLAH DAFTAR ULANG</t>
  </si>
  <si>
    <t>JUMLAH TOTAL TUNGGAKAN</t>
  </si>
  <si>
    <t>RINCIAN SYAHRIYAH</t>
  </si>
  <si>
    <t>RINCIAN JARIYAH</t>
  </si>
  <si>
    <t>RINCIAN DAFTAR ULANG</t>
  </si>
  <si>
    <t>TAGIHAN ACTUAL</t>
  </si>
  <si>
    <t xml:space="preserve">                                                                                                                                                                            </t>
  </si>
  <si>
    <t xml:space="preserve">           </t>
  </si>
  <si>
    <t>ABD. RO`UF WISNU WARDANA</t>
  </si>
  <si>
    <t>ABDUL MUKHIT</t>
  </si>
  <si>
    <t>NUR LAYLI ROHMAWATI</t>
  </si>
  <si>
    <t>KLATING TAKERANKLATING RT 005 RW 001 TIKUNG LAMONGAN</t>
  </si>
  <si>
    <t>MA-XI.13</t>
  </si>
  <si>
    <t>A</t>
  </si>
  <si>
    <t>A-4</t>
  </si>
  <si>
    <t>2 MAK PUTRA</t>
  </si>
  <si>
    <t>6285707284833</t>
  </si>
  <si>
    <t>ABDUL AZIZ</t>
  </si>
  <si>
    <t>ABDUL ROHIM</t>
  </si>
  <si>
    <t>MAHWIYAH</t>
  </si>
  <si>
    <t>KALIREJO RT 003 RW 002 DUKUN GRESIK</t>
  </si>
  <si>
    <t>MTS-8 C</t>
  </si>
  <si>
    <t>A-1</t>
  </si>
  <si>
    <t>2 ULA A PUTRA</t>
  </si>
  <si>
    <t>6285784330109</t>
  </si>
  <si>
    <t>ABDUL MALIK ARIF DAULAY</t>
  </si>
  <si>
    <t>HARI MAULIADI DAULAY</t>
  </si>
  <si>
    <t>SITI NURAFIYAH</t>
  </si>
  <si>
    <t>GENDONG RT 002 RW 004 LAREN LAMONGAN</t>
  </si>
  <si>
    <t>A-2</t>
  </si>
  <si>
    <t>6285646321062</t>
  </si>
  <si>
    <t>ABDUL MUIZ SALAM</t>
  </si>
  <si>
    <t>SUHARTOYO</t>
  </si>
  <si>
    <t>KASMUNTIK</t>
  </si>
  <si>
    <t>KEPATIHAN SUKOREJO RT 007 RW 002 TURI LAMONGAN</t>
  </si>
  <si>
    <t>6285731779996</t>
  </si>
  <si>
    <t>ABDUL QODIR AL JAILANI</t>
  </si>
  <si>
    <t>SHOLEHODDIN</t>
  </si>
  <si>
    <t>MUNIROH</t>
  </si>
  <si>
    <t>BERLANTONG PANDIYANGAN RT 000 RW 000 ROBATAL SAMPANG</t>
  </si>
  <si>
    <t>6282334141174</t>
  </si>
  <si>
    <t>ABI DZAR AL GHIFARI</t>
  </si>
  <si>
    <t>MOH. ROHMAN</t>
  </si>
  <si>
    <t>SITI WAHYUNI</t>
  </si>
  <si>
    <t>GLUMO JELAKCATUR RT 001 RW 005 KALITENGAH LAMONGAN</t>
  </si>
  <si>
    <t>SMP-VIII C</t>
  </si>
  <si>
    <t>6285855722817</t>
  </si>
  <si>
    <t>ACHMAD MIFTAHUL AN-NURIL HUDA</t>
  </si>
  <si>
    <t>MUHAMMAD ROQIB</t>
  </si>
  <si>
    <t>QOMAI EFTIKA</t>
  </si>
  <si>
    <t>SUKOLILO RT 002 RW 003 SUKODADI LAMONGAN</t>
  </si>
  <si>
    <t>62895420477717</t>
  </si>
  <si>
    <t>ACHMAD SIDDIQ</t>
  </si>
  <si>
    <t>ZAENAL MUSTOFA</t>
  </si>
  <si>
    <t>KUSENAH</t>
  </si>
  <si>
    <t>BANYUBANG RT 011 RW 003 SOLOKURO LAMONGAN</t>
  </si>
  <si>
    <t>6282214993212</t>
  </si>
  <si>
    <t>ACHMAD SYAHRUL DZAKIE AL KAUTSAR</t>
  </si>
  <si>
    <t>MOH. SYAIFUL ANSHOR</t>
  </si>
  <si>
    <t>SHOLIHATUL MUFIDAH</t>
  </si>
  <si>
    <t>JL AMBARAWA PETUNG RT 010 RW 004 PANCENG BABAT</t>
  </si>
  <si>
    <t>MTS-8 F</t>
  </si>
  <si>
    <t>A-3</t>
  </si>
  <si>
    <t>62881027793394</t>
  </si>
  <si>
    <t>ADHIAN SAKANI ZADDA</t>
  </si>
  <si>
    <t>KUSNUL SAKIN</t>
  </si>
  <si>
    <t>MARKUTIK</t>
  </si>
  <si>
    <t>SUGIHAN RT 012 RW 002 SOLOKURO LAMONGAN</t>
  </si>
  <si>
    <t>MTS-8 G</t>
  </si>
  <si>
    <t>628563276002</t>
  </si>
  <si>
    <t>ADI FAJAR MUAYYAD</t>
  </si>
  <si>
    <t>SRIMAT</t>
  </si>
  <si>
    <t>UMMUL HASANAH</t>
  </si>
  <si>
    <t>KARANGTAWAR RT 002 RW 001 LAREN LAMONGAN</t>
  </si>
  <si>
    <t>MTS-8 B</t>
  </si>
  <si>
    <t>6285739097145</t>
  </si>
  <si>
    <t>ADITYA FERYANSYAH</t>
  </si>
  <si>
    <t>ZAENAL ARIFIN W</t>
  </si>
  <si>
    <t>ASLAMIYAH</t>
  </si>
  <si>
    <t>JL. DEMAK JAYA GG 8 NO 9 TEMBOK DUKUH  RT 012 RW 010 BUBUTAN SURABAYA</t>
  </si>
  <si>
    <t>SMK-XI TSM</t>
  </si>
  <si>
    <t>2 WUSTHO A PUTRA</t>
  </si>
  <si>
    <t>6283857988668</t>
  </si>
  <si>
    <t>ADJIE PANGESTU NURZAINI</t>
  </si>
  <si>
    <t>AHKMAD ZAINUDDIN</t>
  </si>
  <si>
    <t>YUNI HARIATI NINGSIH</t>
  </si>
  <si>
    <t>GERMAN RT 002 RW 004 SUGIO LAMONGAN</t>
  </si>
  <si>
    <t>6282132209162</t>
  </si>
  <si>
    <t>AFDHOL MUSYAFA</t>
  </si>
  <si>
    <t>IRWAN</t>
  </si>
  <si>
    <t>MAISAROH</t>
  </si>
  <si>
    <t>JL. KAPAL SELAM LOK TUAN RT 018 RW 000 BONTANG UTARA BONTANG</t>
  </si>
  <si>
    <t>SMK-XI TKJ 1</t>
  </si>
  <si>
    <t>A-9</t>
  </si>
  <si>
    <t>6282240716916</t>
  </si>
  <si>
    <t>AHMAD AUFAR SHOLAHAN HIRZI</t>
  </si>
  <si>
    <t>MOHAMAD NURUL IHSAN</t>
  </si>
  <si>
    <t>SHOFIYATUN</t>
  </si>
  <si>
    <t>PUCANGRO RT 004 RW 001 KALITENGAH LAMONGAN</t>
  </si>
  <si>
    <t>6285707398701</t>
  </si>
  <si>
    <t>AHMAD AVICENNA AHZA</t>
  </si>
  <si>
    <t>ILHAM</t>
  </si>
  <si>
    <t>ARKANI</t>
  </si>
  <si>
    <t>PADENGANPLOSO RT 005 RW 001 PUCUK LAMONGAN</t>
  </si>
  <si>
    <t>MTS-8 E</t>
  </si>
  <si>
    <t>6285231952815</t>
  </si>
  <si>
    <t>AHMAD AZMUL ARIF</t>
  </si>
  <si>
    <t>HUSNUN NADLIF</t>
  </si>
  <si>
    <t>KHOLIDATUL MA`RIFAH</t>
  </si>
  <si>
    <t>BANGERAN GENENG BANGERAN RT 005 RW 003 DUKUN GRESIK</t>
  </si>
  <si>
    <t>6287862214524</t>
  </si>
  <si>
    <t>AHMAD BAHTIAR AL BUSTHOMY</t>
  </si>
  <si>
    <t>MOCH.IWAN PRIBADI</t>
  </si>
  <si>
    <t>NURUS SAIDATUL FUADAH</t>
  </si>
  <si>
    <t>BALONGPANGGANG RT 004 RW 002 BALONGPANGGANG GRESIK</t>
  </si>
  <si>
    <t>6282231132034</t>
  </si>
  <si>
    <t>AHMAD DANIEL IHSAN ADHITAMA</t>
  </si>
  <si>
    <t>MOH. IRSAN</t>
  </si>
  <si>
    <t>MUNJAROTUN</t>
  </si>
  <si>
    <t>KULURAN RT 004 RW 004 KALITENGAH LAMONGAN</t>
  </si>
  <si>
    <t>6285791936623</t>
  </si>
  <si>
    <t>AHMAD DANISH SYAHPUTRA</t>
  </si>
  <si>
    <t>ESNANTO HADI SAPUTRO</t>
  </si>
  <si>
    <t>ZUNI ANISAH</t>
  </si>
  <si>
    <t>GEGER RT 003 RW 003 TURI LAMONGAN</t>
  </si>
  <si>
    <t>6285648764381</t>
  </si>
  <si>
    <t>AHMAD FAIZIN</t>
  </si>
  <si>
    <t>SUKAMTO</t>
  </si>
  <si>
    <t>SITI ROMLAH</t>
  </si>
  <si>
    <t>PELUK PENDOWOLIMO RT 001 RW 003 KARANGBINANGUN LAMONGAN</t>
  </si>
  <si>
    <t>MTS-8 A</t>
  </si>
  <si>
    <t>A-13</t>
  </si>
  <si>
    <t>6285730840655</t>
  </si>
  <si>
    <t>AHMAD FAKHRI AFIF</t>
  </si>
  <si>
    <t>SUPENDI</t>
  </si>
  <si>
    <t>DWI ALFIAH LUTFIANINGSIH</t>
  </si>
  <si>
    <t>BLOK C SUKA DAMAI RT 006 RW 002 MADANG SUKU III OKU TIMUR</t>
  </si>
  <si>
    <t>MA-XI.10</t>
  </si>
  <si>
    <t>6285664844095</t>
  </si>
  <si>
    <t>AHMAD FATIH HASAN AL-FARROS</t>
  </si>
  <si>
    <t>ARIS TRYONO</t>
  </si>
  <si>
    <t>SYARIFATUL FARIDAH</t>
  </si>
  <si>
    <t>BLAWI RT 002 RW 004 KARANGBINANGUN LAMONGAN</t>
  </si>
  <si>
    <t>6281234406503</t>
  </si>
  <si>
    <t>AHMAD FIRDAUS</t>
  </si>
  <si>
    <t>ALAUDIN</t>
  </si>
  <si>
    <t>AFIDAH</t>
  </si>
  <si>
    <t>TEJOASRI RT 001 RW 002 LAREN LAMONGAN</t>
  </si>
  <si>
    <t>6285777892081</t>
  </si>
  <si>
    <t>AHMAD FIROS MUSADDAD</t>
  </si>
  <si>
    <t>MOH. ASYIKIN</t>
  </si>
  <si>
    <t>MUKAYAROH</t>
  </si>
  <si>
    <t>KULURAN RT 003 RW 003 KALITENGAH LAMONGAN</t>
  </si>
  <si>
    <t>6285606726357</t>
  </si>
  <si>
    <t>AHMAD HABIBUR RAHMAN</t>
  </si>
  <si>
    <t>KARTAM</t>
  </si>
  <si>
    <t>JAYANTI</t>
  </si>
  <si>
    <t>BADU BADURAME RT 002 RW 004 TURI LAMONGAN</t>
  </si>
  <si>
    <t>6281649582028</t>
  </si>
  <si>
    <t>AHMAD IRVAN SURYA MAHENDRA</t>
  </si>
  <si>
    <t>SUYANTO</t>
  </si>
  <si>
    <t>FATIMAH</t>
  </si>
  <si>
    <t>TAMAN PRIJEG TAMAN PRIJEK RT 006 RW 002 LAREN LAMONGAN</t>
  </si>
  <si>
    <t>MA-XI.6</t>
  </si>
  <si>
    <t>6281331330878</t>
  </si>
  <si>
    <t>AHMAD KHOMEINI UWAIS SUSILO</t>
  </si>
  <si>
    <t>WAWAN SUSILO</t>
  </si>
  <si>
    <t>BADHI`ATUL ATHORIYAH</t>
  </si>
  <si>
    <t>TABONA RT 010 RW 004 TERNATE SELATAN TERNATE</t>
  </si>
  <si>
    <t>6281218437264</t>
  </si>
  <si>
    <t>AHMAD LAIQLABI ASROFI</t>
  </si>
  <si>
    <t>SUSANTO</t>
  </si>
  <si>
    <t>ENDANG SUSILOWATI</t>
  </si>
  <si>
    <t>GERMAN RT 001 RW 003 SUGIO LAMONGAN</t>
  </si>
  <si>
    <t>6285649385716</t>
  </si>
  <si>
    <t>AHMAD MUSFIS SALAM</t>
  </si>
  <si>
    <t>MAHFUDZ</t>
  </si>
  <si>
    <t>MINARIYATI</t>
  </si>
  <si>
    <t>KULURAN RT 002 RW 003 KALITENGAH LAMONGAN</t>
  </si>
  <si>
    <t>6285899393570</t>
  </si>
  <si>
    <t>AHMAD NUR RIFKY FEBRIANSYAH</t>
  </si>
  <si>
    <t>PASIRUN</t>
  </si>
  <si>
    <t>NI`MATUS SHOLIKHAH</t>
  </si>
  <si>
    <t>GLUMO JELAKCATUR RT 003 RW 005 KALITENGAH LAMONGAN</t>
  </si>
  <si>
    <t>6285852480277</t>
  </si>
  <si>
    <t>AHMAD RAFI MAULANA YUSUF</t>
  </si>
  <si>
    <t>SAI</t>
  </si>
  <si>
    <t>SHOLIHATUN</t>
  </si>
  <si>
    <t>BARU KEMLAGILOR RT 003 RW 001 TURI LAMONGAN</t>
  </si>
  <si>
    <t>6285706624674</t>
  </si>
  <si>
    <t>AHMAD RAFIF RADITIA SA`BANA</t>
  </si>
  <si>
    <t>ABDUL QODIR</t>
  </si>
  <si>
    <t>HIDAYATUL MUNAWAROH</t>
  </si>
  <si>
    <t>PUTATLOR PUTATKUMPUL RT 002 RW 003 TURI LAMONGAN</t>
  </si>
  <si>
    <t>MTS-8 D</t>
  </si>
  <si>
    <t>6281347599509</t>
  </si>
  <si>
    <t>AHMAD SYAUQI AL QORNI</t>
  </si>
  <si>
    <t>MUKAIZIN</t>
  </si>
  <si>
    <t>TITIN HENY HAYYINAH</t>
  </si>
  <si>
    <t>JL. SIDO MAKMUR PETUNG RT 003 RW 001 PANCENG GRESIK</t>
  </si>
  <si>
    <t>6285645546566</t>
  </si>
  <si>
    <t>AHMAD WILDAN ARRIFQI</t>
  </si>
  <si>
    <t>H. ABD ROHIM</t>
  </si>
  <si>
    <t>SHOCHIBAH</t>
  </si>
  <si>
    <t>IMAAN RT 001 RW 001 DUKUN GRESIK</t>
  </si>
  <si>
    <t>A-5</t>
  </si>
  <si>
    <t>ULA</t>
  </si>
  <si>
    <t>6282143079056</t>
  </si>
  <si>
    <t>AHMAD YAZID AL BUSTHOMI</t>
  </si>
  <si>
    <t>ARI KUSMIANTO</t>
  </si>
  <si>
    <t>SITI MUSTAINAH</t>
  </si>
  <si>
    <t>BALUNGTAWUN RT 002 RW 003 SUKODADI LAMONGAN</t>
  </si>
  <si>
    <t>6285730041984</t>
  </si>
  <si>
    <t>AHMAD ZUBAD AL ASROR</t>
  </si>
  <si>
    <t>EKO PRASETIYO NURZAINI</t>
  </si>
  <si>
    <t>MUTHOHAROH</t>
  </si>
  <si>
    <t>BANJARMADU RT 002 RW 007 KARANGGENENG LAMONGAN</t>
  </si>
  <si>
    <t>6285707241922</t>
  </si>
  <si>
    <t>AKBAR MAULANA</t>
  </si>
  <si>
    <t>AJI</t>
  </si>
  <si>
    <t>SITI MAIMUNAH</t>
  </si>
  <si>
    <t>TENGGULUN RT 001 RW 001 SOLOKURO LAMONGAN</t>
  </si>
  <si>
    <t>MA-XI.2</t>
  </si>
  <si>
    <t>6285743392823</t>
  </si>
  <si>
    <t>ALFIN FAIRUS AGATHA</t>
  </si>
  <si>
    <t>UJUD PRASETYO</t>
  </si>
  <si>
    <t>SRI ZULIANINGSIH</t>
  </si>
  <si>
    <t>SUMURAN SEKARBAGUS RT 002 RW 004 SUGIO LAMONGAN</t>
  </si>
  <si>
    <t>6281615235302</t>
  </si>
  <si>
    <t>ANDREI ARSHAVIN ADITYA PRATAMA</t>
  </si>
  <si>
    <t>BENNY KARDYAWAN</t>
  </si>
  <si>
    <t>LULUK LUTFIA</t>
  </si>
  <si>
    <t>BUTUNGAN RT 002 RW 002 KALITENGAH LAMONGAN</t>
  </si>
  <si>
    <t>6285853921007</t>
  </si>
  <si>
    <t>ANTADANNA MAULANA ALVINO</t>
  </si>
  <si>
    <t>VITNARKO</t>
  </si>
  <si>
    <t>KATSIROTUN NI`MAH</t>
  </si>
  <si>
    <t>KARANGLANGIT RT 001 RW 002 LAMONGAN LAMONGAN</t>
  </si>
  <si>
    <t>SMK-XI TKJ 2</t>
  </si>
  <si>
    <t>6282243925015</t>
  </si>
  <si>
    <t>APRIANSYAH BAYU ROBBANY</t>
  </si>
  <si>
    <t>SUPRIYANTO</t>
  </si>
  <si>
    <t>BINTI KHOTIMAH</t>
  </si>
  <si>
    <t>TENGGER BLONGKO RT 004 RW 005 NGETOS NGANJUK</t>
  </si>
  <si>
    <t>6282230736243</t>
  </si>
  <si>
    <t>AQILA AJI ILLIAN SYAH</t>
  </si>
  <si>
    <t>SUTIAJI</t>
  </si>
  <si>
    <t>ELLA TRI YUWANITA</t>
  </si>
  <si>
    <t>JL. KH. AGUS SALIM NO. 11 KULURAN RT 002 RW 001 KALITENGAH LAMONGAN</t>
  </si>
  <si>
    <t>6285697039280</t>
  </si>
  <si>
    <t>ARJUNA AUFAR FEBRIAN</t>
  </si>
  <si>
    <t>CANDRA PERWIRA WIBAWANTO</t>
  </si>
  <si>
    <t>EVI KARTIKA SARI</t>
  </si>
  <si>
    <t>PERUM GRAHA INDAH BLOK M 12 A TAMBAKRIGADUNG RT 001 RW 010 TIKUNG LAMONGAN</t>
  </si>
  <si>
    <t>SMP-VIII A</t>
  </si>
  <si>
    <t>6285748239151</t>
  </si>
  <si>
    <t>AZKA ATHFAL AL IMRON</t>
  </si>
  <si>
    <t>MUHAMMAD IMRON</t>
  </si>
  <si>
    <t>ANIS SHOLIKHAH</t>
  </si>
  <si>
    <t>KARANGWUNGU RT 005 RW 001 KARANGGENENG LAMONGAN</t>
  </si>
  <si>
    <t>6289509221082</t>
  </si>
  <si>
    <t>BILFAQIH REY ALTEZA</t>
  </si>
  <si>
    <t>ARIFIN</t>
  </si>
  <si>
    <t>KHADHIROTUL KUDSIYA</t>
  </si>
  <si>
    <t>BESI TLOGOAGUNG RT 002 RW 002 KEMBANGBAHU LAMONGAN</t>
  </si>
  <si>
    <t>6285748773131</t>
  </si>
  <si>
    <t>BRIAN BILLIY ZADAH</t>
  </si>
  <si>
    <t>EFAN ISWANDI</t>
  </si>
  <si>
    <t>LISMA DWI PRASASTI</t>
  </si>
  <si>
    <t>PADENGANPLOSO RT 012 RW 001 PUCUK LAMONGAN</t>
  </si>
  <si>
    <t>6281333533845</t>
  </si>
  <si>
    <t>DAVID ELBERTA PRAKASA</t>
  </si>
  <si>
    <t>ROCHMAN</t>
  </si>
  <si>
    <t>SUMIATI</t>
  </si>
  <si>
    <t>MOROGO PUTATKUMPUL RT 006 RW 005 TURI LAMONGAN</t>
  </si>
  <si>
    <t>6285150634655</t>
  </si>
  <si>
    <t>FAIRUS ALFIAN ALBAIHAQI</t>
  </si>
  <si>
    <t>ANDIS EKO IRAWAN</t>
  </si>
  <si>
    <t>UMANI WULANDARI</t>
  </si>
  <si>
    <t>KLAMPIS BANJAREJO RT 001 RW 006 KARANGBINANGUN LAMONGAN</t>
  </si>
  <si>
    <t>6283161806155</t>
  </si>
  <si>
    <t>FAREL YOGI MAHARDIKA</t>
  </si>
  <si>
    <t>HERU SUSANTO</t>
  </si>
  <si>
    <t>RINI ASTUTIK</t>
  </si>
  <si>
    <t>GENTING TAMBAK DALAM NO. 200 RT 004 RW 002 ASEMROWO SURABAYA</t>
  </si>
  <si>
    <t>6281333110186</t>
  </si>
  <si>
    <t>FARIEL DWI NUGROHO</t>
  </si>
  <si>
    <t>MUASAN</t>
  </si>
  <si>
    <t>SAMSIATUR ROCHMI</t>
  </si>
  <si>
    <t>APEL TUNJUNGMEKAR RT 001 RW 003 KALITENGAH LAMONGAN</t>
  </si>
  <si>
    <t>2 ULA B PUTRA</t>
  </si>
  <si>
    <t>6281532827112</t>
  </si>
  <si>
    <t>FAUZAN ZAKARIA FIRDAUS</t>
  </si>
  <si>
    <t>KAMAT</t>
  </si>
  <si>
    <t>TAMBIYAH</t>
  </si>
  <si>
    <t>PELABUHAN RT 001 RW 005 JETIS MOJOKERTO</t>
  </si>
  <si>
    <t>6285649576786</t>
  </si>
  <si>
    <t>GALVIN UNA ROMAN SANDI</t>
  </si>
  <si>
    <t>SUWANDI</t>
  </si>
  <si>
    <t>SRINI ROKAYAH</t>
  </si>
  <si>
    <t>PENGANGSALAN RT 001 RW 002 KALITENGAH LAMONGAN</t>
  </si>
  <si>
    <t>6285648208817</t>
  </si>
  <si>
    <t>GAVIN DARREL ZYWANTA</t>
  </si>
  <si>
    <t>HERU SETIYAWAN</t>
  </si>
  <si>
    <t>UMZILAH</t>
  </si>
  <si>
    <t>WATANGAN WATANGPANJANG RT 002 RW 002 KARANGBINANGUN LAMONGAN</t>
  </si>
  <si>
    <t>6281515528147</t>
  </si>
  <si>
    <t>GHULAM AURELIO BHADRIKA</t>
  </si>
  <si>
    <t>HAMID ARIF</t>
  </si>
  <si>
    <t>SEPTINING WULANDARI</t>
  </si>
  <si>
    <t>TANJUNG RT 001 RW 002 LAMONGAN LAMONGAN</t>
  </si>
  <si>
    <t>628561750784</t>
  </si>
  <si>
    <t>HABIBAULLAH ZADAH VARIAN</t>
  </si>
  <si>
    <t>A. KHARIS. R</t>
  </si>
  <si>
    <t>INTAN DWI SATRIYA</t>
  </si>
  <si>
    <t>PADENGANPLOSO RT 013 RW 002 PUCUK LAMONGAN</t>
  </si>
  <si>
    <t>6285645225607</t>
  </si>
  <si>
    <t>HALLI SALAKHUDIN</t>
  </si>
  <si>
    <t>KHAFIDLUM MUJIB</t>
  </si>
  <si>
    <t>SUMILAH</t>
  </si>
  <si>
    <t>RINGIN PAYAMAN RT 001 RW 007 SOLOKURO LAMONGAN</t>
  </si>
  <si>
    <t>6281357414185</t>
  </si>
  <si>
    <t>JABHAL ARZAD AL HUSAIN</t>
  </si>
  <si>
    <t>SUNARTI</t>
  </si>
  <si>
    <t>KEBONANANOM RT 003 RW 002 GEDANGAN SIDOARJO</t>
  </si>
  <si>
    <t>6281286606782</t>
  </si>
  <si>
    <t>KAKA MAULANA AHMAD AL KAHFI</t>
  </si>
  <si>
    <t>SHOKHIBUL KAHFI</t>
  </si>
  <si>
    <t>I`ANATUS SA`ADAH</t>
  </si>
  <si>
    <t>PADENGANPLOSO RT 006 RW 001 PUCUK LAMONGAN</t>
  </si>
  <si>
    <t>6285854881555</t>
  </si>
  <si>
    <t>M. FARHAN FRANANDA RADITYA</t>
  </si>
  <si>
    <t>KASNADI</t>
  </si>
  <si>
    <t>LULUK MAF`ULLAH</t>
  </si>
  <si>
    <t>NGUJUNG NGUJUNGREJO RT 002 RW 001 TURI LAMONGAN</t>
  </si>
  <si>
    <t>6285850274729</t>
  </si>
  <si>
    <t>M. FATIHU AHSANI TAQWIM</t>
  </si>
  <si>
    <t>MUDHOFAR</t>
  </si>
  <si>
    <t>KARYATI</t>
  </si>
  <si>
    <t>MENGAI SUKOREJO RT 002 RW 005 KARANGBINANGUN LAMONGAN</t>
  </si>
  <si>
    <t>MA-XI.8</t>
  </si>
  <si>
    <t>6285607890133</t>
  </si>
  <si>
    <t>M. MARCEL AULIA WICAKSANA</t>
  </si>
  <si>
    <t>ROHMAD</t>
  </si>
  <si>
    <t>FENI SUSANTI</t>
  </si>
  <si>
    <t>BAMBANG RT 005 RW 002 TURI LAMONGAN</t>
  </si>
  <si>
    <t>2 WUSTHO B PUTRA</t>
  </si>
  <si>
    <t>6285692959785</t>
  </si>
  <si>
    <t>M. SHEVA AL ABID</t>
  </si>
  <si>
    <t>M. AFIFUDDIN</t>
  </si>
  <si>
    <t>SITI MUBAROKATUN NI'MAH</t>
  </si>
  <si>
    <t>KANUGRAHAN RT 004 RW 001 MADURAN LAMONGAN</t>
  </si>
  <si>
    <t>SMK-XI TKR 2</t>
  </si>
  <si>
    <t>A-11</t>
  </si>
  <si>
    <t>6285637331175</t>
  </si>
  <si>
    <t>MALLAHUL JAYYIDI ALITSNAN</t>
  </si>
  <si>
    <t>SUHAJIR</t>
  </si>
  <si>
    <t>ISLAMIYATI</t>
  </si>
  <si>
    <t>JETAK RT 001 RW 002 PACIRAN LAMONGAN</t>
  </si>
  <si>
    <t>6285232394315</t>
  </si>
  <si>
    <t>MICKAIL JALU JAGAD</t>
  </si>
  <si>
    <t>PITONO</t>
  </si>
  <si>
    <t>MARDHIYATUS SHOLIKHAH</t>
  </si>
  <si>
    <t>TULUNG WANAR RT 001 RW 004 PUCUK LAMONGAN</t>
  </si>
  <si>
    <t>SMK-XI DKV</t>
  </si>
  <si>
    <t>6281357162725</t>
  </si>
  <si>
    <t>MOCH. DANISH IRFAN NUSHFIANTO WAHID</t>
  </si>
  <si>
    <t>ULUM FIYANTO</t>
  </si>
  <si>
    <t>LILIK SUDARWATI</t>
  </si>
  <si>
    <t>BLURI RT 004 RW 003 SOLOKURO LAMONGAN</t>
  </si>
  <si>
    <t>WUSTHO</t>
  </si>
  <si>
    <t>6282333978889</t>
  </si>
  <si>
    <t>MOCH. FEBRIZANSYAH SAPUTRA</t>
  </si>
  <si>
    <t>MOH. SYAIFUDIN</t>
  </si>
  <si>
    <t>ALIYA</t>
  </si>
  <si>
    <t>PLANDI SUMBEREJO RT 001 RW 003 LAMONGAN LAMONGAN</t>
  </si>
  <si>
    <t>6285857260015</t>
  </si>
  <si>
    <t>MOH. AQIL MUBAROK</t>
  </si>
  <si>
    <t>SUTAMAT</t>
  </si>
  <si>
    <t>SITI ISMAROH</t>
  </si>
  <si>
    <t>TALE BLURI RT 001 RW 001 SOLOKURO LAMONGAN</t>
  </si>
  <si>
    <t>MA-XI.9</t>
  </si>
  <si>
    <t>6283169854714</t>
  </si>
  <si>
    <t>MOH. ELMAR NAFARIL HANIS</t>
  </si>
  <si>
    <t>IMRON HABIB</t>
  </si>
  <si>
    <t>SITI NISWATUN HASANAH</t>
  </si>
  <si>
    <t>DATINAWONG RT 001 RW 006 BABAT LAMONGAN</t>
  </si>
  <si>
    <t>6281332384248</t>
  </si>
  <si>
    <t>MOH. FADLIL SAPUTRA</t>
  </si>
  <si>
    <t>AMARI</t>
  </si>
  <si>
    <t>TUMIASRI</t>
  </si>
  <si>
    <t>KULURAN RT 002 RW 007 KALITENGAH LAMONGAN</t>
  </si>
  <si>
    <t>6285852082730</t>
  </si>
  <si>
    <t>MOH. FAUQON HALWANI</t>
  </si>
  <si>
    <t>IHWAN HADI</t>
  </si>
  <si>
    <t>AMALIATIN</t>
  </si>
  <si>
    <t>KIRINGAN BERASAN KEMLAGILOR RT 004 RW 003 TURI LAMONGAN</t>
  </si>
  <si>
    <t>6285806002627</t>
  </si>
  <si>
    <t>MOH. HAYKAL ZAHID AZZA</t>
  </si>
  <si>
    <t>AHMAD ZUHDIANTO</t>
  </si>
  <si>
    <t>FITROTIN AZIZAH</t>
  </si>
  <si>
    <t>BANJARMADU RT 002 RW 001 KARANGGENENG LAMONGAN</t>
  </si>
  <si>
    <t>6285655316184</t>
  </si>
  <si>
    <t>MOHAMMAD BAGAS ARDIAN PUTRA</t>
  </si>
  <si>
    <t>NARDI</t>
  </si>
  <si>
    <t>FAJRIN KHOTIMA</t>
  </si>
  <si>
    <t>6281235897606</t>
  </si>
  <si>
    <t>MOHAMMAD MAKKI RAFIQNA ADABI</t>
  </si>
  <si>
    <t>MOH IMRON</t>
  </si>
  <si>
    <t>IIS MAFIDAH</t>
  </si>
  <si>
    <t>GEDANGAN RT 002 RW 006 SIDAYU GRESIK</t>
  </si>
  <si>
    <t>6285749696444</t>
  </si>
  <si>
    <t>MOHAMMAD RIDHO</t>
  </si>
  <si>
    <t>RAHMAT</t>
  </si>
  <si>
    <t>SITI MAHMUDAH</t>
  </si>
  <si>
    <t>BAMBANG RT 004 RW 001 TURI LAMONGAN</t>
  </si>
  <si>
    <t>MA-XI.5</t>
  </si>
  <si>
    <t>6285718313441</t>
  </si>
  <si>
    <t>MOHAMMAD RISWANDA IMAWAN</t>
  </si>
  <si>
    <t>ZAINUL ARIFIN</t>
  </si>
  <si>
    <t>MUSANATUN</t>
  </si>
  <si>
    <t>KULURAN RT 005 RW 001 KALITENGAH LAMONGAN</t>
  </si>
  <si>
    <t>6285604160825</t>
  </si>
  <si>
    <t>MUHAMMAD AYUBI TRI NURIL AZZAMY</t>
  </si>
  <si>
    <t>KASTOPO</t>
  </si>
  <si>
    <t>SULASTRI</t>
  </si>
  <si>
    <t>CANDITUNGGAL RT 003 RW 001 KALITENGAH LAMONGAN</t>
  </si>
  <si>
    <t>6285607247419</t>
  </si>
  <si>
    <t>MUHAMMAD AZZAM AL BARIQ</t>
  </si>
  <si>
    <t>NANANG EFENDI</t>
  </si>
  <si>
    <t>SOIMAH</t>
  </si>
  <si>
    <t>PERUM BHUMMI JATI PERMAI BLOK GG NO. 20 JATIREMBE RT 016 RW 002 BENJENG GRESIK</t>
  </si>
  <si>
    <t>6281334828231</t>
  </si>
  <si>
    <t>MUHAMMAD BAHRU NADA</t>
  </si>
  <si>
    <t>MIFTAHUL HUDA</t>
  </si>
  <si>
    <t>JUWARMIN</t>
  </si>
  <si>
    <t>TEJOASRI RT 003 RW 001 LAREN LAMONGAN</t>
  </si>
  <si>
    <t>6281332375889</t>
  </si>
  <si>
    <t>MUHAMMAD DZAKY MUBARAK</t>
  </si>
  <si>
    <t>MUCHAMAD SURADJI</t>
  </si>
  <si>
    <t>NIHAYATUL KHIJJAH</t>
  </si>
  <si>
    <t>KARANGAGUNG RT 003 RW 001 GLAGAH LAMONGAN</t>
  </si>
  <si>
    <t>6281230649991</t>
  </si>
  <si>
    <t>MUHAMMAD FAIRUS NADHIR AMRULLAH</t>
  </si>
  <si>
    <t>ABDUL SALAM</t>
  </si>
  <si>
    <t>LAILATUL MUNAWAROH</t>
  </si>
  <si>
    <t>SAWO RT 008 RW 004 DUKUN GRESIK</t>
  </si>
  <si>
    <t>6285733603080</t>
  </si>
  <si>
    <t>MUHAMMAD HISYAM</t>
  </si>
  <si>
    <t>NASOKHATUL MUNAWAROH</t>
  </si>
  <si>
    <t>GUNUNGANYAR KIDUL RT 002 RW 003 GUNUNG ANYAR SURABAYA</t>
  </si>
  <si>
    <t>628758704525</t>
  </si>
  <si>
    <t>MUHAMMAD KAVA RIZQI ADITYA</t>
  </si>
  <si>
    <t>AAN KHUNAIFI</t>
  </si>
  <si>
    <t>MUALLIFATUL HISBIYAH</t>
  </si>
  <si>
    <t>MENGAI SUKOREJO RT 002 RW 006 KARANGBINANGUN LAMONGAN</t>
  </si>
  <si>
    <t>6285852514150</t>
  </si>
  <si>
    <t>MUHAMMAD MAULIDI NURWAHID</t>
  </si>
  <si>
    <t>SUJARIONO</t>
  </si>
  <si>
    <t>ZULAEMAH</t>
  </si>
  <si>
    <t>RAJAWALI TANGGUNGAN RT 003 RW 001 PUCUK LAMONGAN</t>
  </si>
  <si>
    <t>62895391636106</t>
  </si>
  <si>
    <t>MUHAMMAD NABIL SALMAN</t>
  </si>
  <si>
    <t>MUKHTAR</t>
  </si>
  <si>
    <t>ASMAUL KHUSNAH</t>
  </si>
  <si>
    <t>BLAWI RT 002 RW 003 KARANGBINANGUN LAMONGAN</t>
  </si>
  <si>
    <t>6282334470986</t>
  </si>
  <si>
    <t>MUHAMMAD RAFFA NUR RAMADHAN</t>
  </si>
  <si>
    <t>RAMELAN</t>
  </si>
  <si>
    <t>MUYASIROTUL UMAH</t>
  </si>
  <si>
    <t>BLURI RT 009 RW 002 SOLOKURO LAMONGAN</t>
  </si>
  <si>
    <t>6285852311302</t>
  </si>
  <si>
    <t>MUHAMMAD RAUUF MAULANA</t>
  </si>
  <si>
    <t>MOCHAMAD ARIF</t>
  </si>
  <si>
    <t>DEWI WAHYUNINGSIH</t>
  </si>
  <si>
    <t>SUKOMULYO RT 005 RW 003 LAMONGAN LAMONGAN</t>
  </si>
  <si>
    <t>6288741091429</t>
  </si>
  <si>
    <t>MUHAMMAD RAZIQ RAHMAN</t>
  </si>
  <si>
    <t>KURDI</t>
  </si>
  <si>
    <t>MUSLIHAH</t>
  </si>
  <si>
    <t>6285815333968</t>
  </si>
  <si>
    <t>MUHAMMAD RIZKI RAMDHANI</t>
  </si>
  <si>
    <t>MOH. ZAHID</t>
  </si>
  <si>
    <t>SITI ROHIMAH</t>
  </si>
  <si>
    <t>BAMBANG RT 004 RW 002 TURI LAMONGAN</t>
  </si>
  <si>
    <t>6285730186043</t>
  </si>
  <si>
    <t>MUHAMMAD WATSIQUZ ZIMAM</t>
  </si>
  <si>
    <t>MOH. FATAWI</t>
  </si>
  <si>
    <t>ZULAIKHAH</t>
  </si>
  <si>
    <t>BLURI RT 003 RW 001 SOLOKURO LAMONGAN</t>
  </si>
  <si>
    <t>6285604191141</t>
  </si>
  <si>
    <t>MUHAMMAD ZIDAN SAPUTRA</t>
  </si>
  <si>
    <t>MOH. JAINI</t>
  </si>
  <si>
    <t>NUR HIDAYATI</t>
  </si>
  <si>
    <t>BUTOREJO SIDOGEMBUL RT 002 RW 001 SUKODADI LAMONGAN</t>
  </si>
  <si>
    <t>6281283671417</t>
  </si>
  <si>
    <t>NAUFAL SEBASTIAN ZUHDI</t>
  </si>
  <si>
    <t>NURUL ZUHDI</t>
  </si>
  <si>
    <t>IKE YUSTIN DEVIA</t>
  </si>
  <si>
    <t>DADAPAN RT 003 RW 002 SOLOKURO LAMONGAN</t>
  </si>
  <si>
    <t>6285933222243</t>
  </si>
  <si>
    <t>PUTRADANA ABDY ASY`ARY</t>
  </si>
  <si>
    <t>KHASUN NIDLOM ASY`ARY</t>
  </si>
  <si>
    <t>KHOLIFATUL MA`RIFAH</t>
  </si>
  <si>
    <t>KULURAN RT 004 RW 002 KALITENGAH LAMONGAN</t>
  </si>
  <si>
    <t>6285790574521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</si>
  <si>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</si>
  <si>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RADITYA GUNA ATMAJA</t>
  </si>
  <si>
    <t>NIFUD ROBUL MASUD</t>
  </si>
  <si>
    <t>SUIRAWATI</t>
  </si>
  <si>
    <t>WIDHE SENDANGHARJO RT 014 RW 002 BRONDONG LAMONGAN</t>
  </si>
  <si>
    <t>MA-XI.4</t>
  </si>
  <si>
    <t>6285708380208</t>
  </si>
  <si>
    <t>RAIHAN AUFAR ALDIVA ARSYIL</t>
  </si>
  <si>
    <t>SUKARSONO</t>
  </si>
  <si>
    <t>NANIK ERMAWATI</t>
  </si>
  <si>
    <t>NGUJUNG NGUJUNGREJO RT 001 RW 001 TURI LAMONGAN</t>
  </si>
  <si>
    <t>6285708809822</t>
  </si>
  <si>
    <t>RAIHAN MAWARDI PUTRA ZAINAL</t>
  </si>
  <si>
    <t>ZAINAL ARIF</t>
  </si>
  <si>
    <t>SANTY KUMALA SARY</t>
  </si>
  <si>
    <t>BADAN BOGOBABADAN RT 001 RW 004 KARANGBINANGUN LAMONGAN</t>
  </si>
  <si>
    <t>6285655897293</t>
  </si>
  <si>
    <t>RAMANDA ALKATIRI PRINCE MUIS</t>
  </si>
  <si>
    <t>ABD. MUIS</t>
  </si>
  <si>
    <t>RATNA SYARIYANI</t>
  </si>
  <si>
    <t>TAMAN BUKIT SARI VIP II BLOK J NO 9 GRAHA INDAH RT 025 RW 000 BALIKPAPAN UTARA BALIKPAPAN</t>
  </si>
  <si>
    <t>6281520481213</t>
  </si>
  <si>
    <t>RYAN ARDHIYANSYAH EKA SAPUTRA</t>
  </si>
  <si>
    <t>GUNTUR SUPRIYANTO</t>
  </si>
  <si>
    <t>RANIK FURI RAHAYUNINGSIH</t>
  </si>
  <si>
    <t>MULYOREJO SELATAN II NO. 24 BELAKANG RT 002 RW 004 MULYOREJO SURABAYA</t>
  </si>
  <si>
    <t>6282250540860</t>
  </si>
  <si>
    <t>SA`ID AQIL AL MURTADLA</t>
  </si>
  <si>
    <t>MOH. ALI MURTADLO</t>
  </si>
  <si>
    <t>NUR MA`RIFATUN</t>
  </si>
  <si>
    <t>SIDOMUKTI RT 010 RW 003 KEMBANGBAHU LAMONGAN</t>
  </si>
  <si>
    <t>6285730837888</t>
  </si>
  <si>
    <t>SHOKHIBUL MUQSIT RAMADANI</t>
  </si>
  <si>
    <t>MARTONO</t>
  </si>
  <si>
    <t>SITI KALIMAH</t>
  </si>
  <si>
    <t>NGANGKRIK BALUN RT 003 RW 004 TURI LAMONGAN</t>
  </si>
  <si>
    <t>6285655881598</t>
  </si>
  <si>
    <t>SYARIFUDIN ZUHRI JAELANI IRSYAD</t>
  </si>
  <si>
    <t>SAPII</t>
  </si>
  <si>
    <t>ILYA HASANAH</t>
  </si>
  <si>
    <t>DJATI SUKOSONGO RT 003 RW 002 KEMBANGBAHU LAMONGAN</t>
  </si>
  <si>
    <t>6281331364804</t>
  </si>
  <si>
    <t>SYHARIL FIRMAN MAULANA IRLANGGAH</t>
  </si>
  <si>
    <t>JAMIL</t>
  </si>
  <si>
    <t>NINGSIH</t>
  </si>
  <si>
    <t>6285846482646</t>
  </si>
  <si>
    <t>THAMIL ARIF IBRAHIM</t>
  </si>
  <si>
    <t>SUKIMAN</t>
  </si>
  <si>
    <t>SAROFAH</t>
  </si>
  <si>
    <t>SOKO RT 001 RW 001 TIKUNG LAMONGAN</t>
  </si>
  <si>
    <t>6282132399800</t>
  </si>
  <si>
    <t>VANNY ZUDHA PRATAMA</t>
  </si>
  <si>
    <t>MOCH ERVAN SUKIMAN</t>
  </si>
  <si>
    <t>QURROTUN AINIYAH</t>
  </si>
  <si>
    <t>BANJARMADU RT 001 RW 007 KARANGGENENG LAMONGAN</t>
  </si>
  <si>
    <t>6283893321061</t>
  </si>
  <si>
    <t>YOGA PUTRA PRATAMA</t>
  </si>
  <si>
    <t>ABDUL WAHID</t>
  </si>
  <si>
    <t>NUZIFATIN</t>
  </si>
  <si>
    <t>MOJOPETUNG RT 004 RW 002 DUKUN GRESIK</t>
  </si>
  <si>
    <t>6285604385253</t>
  </si>
  <si>
    <t>ALDA RISMAYANTI</t>
  </si>
  <si>
    <t>DIDIK PRAMONO</t>
  </si>
  <si>
    <t>UMALIYAH</t>
  </si>
  <si>
    <t>MA-XI.3</t>
  </si>
  <si>
    <t>B</t>
  </si>
  <si>
    <t>B-1</t>
  </si>
  <si>
    <t>2 WUSTHO C PUTRI</t>
  </si>
  <si>
    <t>6285746669052</t>
  </si>
  <si>
    <t>ALFIRA NURUS SA`ADAH</t>
  </si>
  <si>
    <t>KHUDHORI</t>
  </si>
  <si>
    <t>SRI AGENG ARICH PRATIWI</t>
  </si>
  <si>
    <t>TIWET RT 002 RW 002 KALITENGAH LAMONGAN</t>
  </si>
  <si>
    <t>SMP-VIII B</t>
  </si>
  <si>
    <t>B-10</t>
  </si>
  <si>
    <t>2 ULA A PUTRI</t>
  </si>
  <si>
    <t>6285812495184</t>
  </si>
  <si>
    <t>ALIFAH MAISAROH</t>
  </si>
  <si>
    <t>CHOIRUL AMRI</t>
  </si>
  <si>
    <t>INDRAWATI</t>
  </si>
  <si>
    <t>KH. ABDUL GHONI KESAMBI RT 001 RW 003 PUCUK LAMONGAN</t>
  </si>
  <si>
    <t>B-2</t>
  </si>
  <si>
    <t>2 ULA C PUTRI</t>
  </si>
  <si>
    <t>6285291411425</t>
  </si>
  <si>
    <t>ALISIA RAHMA AMALIA</t>
  </si>
  <si>
    <t>MUTHI'UR ROHMAN</t>
  </si>
  <si>
    <t>SITI HALIMAH SA'DIYAH</t>
  </si>
  <si>
    <t>BANGERAN RT 001 RW 001 DUKUN GRESIK</t>
  </si>
  <si>
    <t>SMK-XI BD</t>
  </si>
  <si>
    <t>B-3</t>
  </si>
  <si>
    <t>2 WUSTHO B PUTRI</t>
  </si>
  <si>
    <t>6285732704697</t>
  </si>
  <si>
    <t>ALYA INDRA FARISAH</t>
  </si>
  <si>
    <t>INDRA MURWANTO</t>
  </si>
  <si>
    <t>JL. TG DUREN TIMUR I NO. 39 TANJUNG DUREN SELATAN RT 015 RW 001 GROGOL PETAMBURAN JAKARTA BARAT</t>
  </si>
  <si>
    <t>628158257433</t>
  </si>
  <si>
    <t>ANINDYA KALLISTA PUTRI</t>
  </si>
  <si>
    <t>DARU AJAR PRASETYA</t>
  </si>
  <si>
    <t>SITI MUAROFAH</t>
  </si>
  <si>
    <t>JL. JAKFAR KESAMBI RT 002 RW 002 PUCUK LAMONGAN</t>
  </si>
  <si>
    <t>2 ULA B PUTRI</t>
  </si>
  <si>
    <t>6281331157200</t>
  </si>
  <si>
    <t xml:space="preserve">   </t>
  </si>
  <si>
    <t>ANINDYAH ISMI</t>
  </si>
  <si>
    <t>MIFTAKHUL HUDA</t>
  </si>
  <si>
    <t>EVI NUR HIDAYAH</t>
  </si>
  <si>
    <t>WANAR RT 002 RW 002 PUCUK LAMONGAN</t>
  </si>
  <si>
    <t>6281210337004</t>
  </si>
  <si>
    <t>ATIQO NAILATUL FAKHIROH</t>
  </si>
  <si>
    <t>MUJTABA</t>
  </si>
  <si>
    <t>MUYASAROH</t>
  </si>
  <si>
    <t>2 WUSTHO D PUTRI</t>
  </si>
  <si>
    <t>6282245008448</t>
  </si>
  <si>
    <t>AURA FAJRINA SALSABILA</t>
  </si>
  <si>
    <t>MISBAHUL AQSHO</t>
  </si>
  <si>
    <t>NISWATIN</t>
  </si>
  <si>
    <t>TENGGULUN RT 004 RW 002 SOLOKURO LAMONGAN</t>
  </si>
  <si>
    <t>6281330339700</t>
  </si>
  <si>
    <t>AYU WIDYA</t>
  </si>
  <si>
    <t>SHOLEH FUDIN</t>
  </si>
  <si>
    <t>SITI NUR MASITO</t>
  </si>
  <si>
    <t>6285857702561</t>
  </si>
  <si>
    <t>BIYATI AHWARUNI</t>
  </si>
  <si>
    <t>M SYA`RONI</t>
  </si>
  <si>
    <t>MAILISTIN</t>
  </si>
  <si>
    <t>JANGGAN POMAHANJANGGAN RT 007 RW 003 TURI LAMONGAN</t>
  </si>
  <si>
    <t>6285736466131</t>
  </si>
  <si>
    <t>DIAZ ATIKA RAIS</t>
  </si>
  <si>
    <t>AINUL HIDAYAT</t>
  </si>
  <si>
    <t>ARIKATUL MAKADAH</t>
  </si>
  <si>
    <t>BADU WANAR RT 003 RW 007 PUCUK LAMONGAN</t>
  </si>
  <si>
    <t>MA-XI.11</t>
  </si>
  <si>
    <t>6285331177040</t>
  </si>
  <si>
    <t>DINA AULIYAH</t>
  </si>
  <si>
    <t>MUNIF</t>
  </si>
  <si>
    <t>SHOLIHAH</t>
  </si>
  <si>
    <t>BANYUBANG RT 003 RW 001 SOLOKURO LAMONGAN</t>
  </si>
  <si>
    <t>6285604510864</t>
  </si>
  <si>
    <t>DINDA FIZZAH ANNISA`</t>
  </si>
  <si>
    <t>AHMAD ZAINURI</t>
  </si>
  <si>
    <t>LISWATIN</t>
  </si>
  <si>
    <t>TENGGULUN RT 007 RW 003 SOLOKURO LAMONGAN</t>
  </si>
  <si>
    <t>6285649099700</t>
  </si>
  <si>
    <t>DURROTUN NASIHAH</t>
  </si>
  <si>
    <t>KHOIRUL ABDI</t>
  </si>
  <si>
    <t>MUKHAROMAH</t>
  </si>
  <si>
    <t>KEPUDIKULON KEPUDIBENER RT 003 RW 001 TURI LAMONGAN</t>
  </si>
  <si>
    <t>6281347075557</t>
  </si>
  <si>
    <t xml:space="preserve">                              </t>
  </si>
  <si>
    <t>FAHMIDA NAILIL AGHNIYA</t>
  </si>
  <si>
    <t>AHMAD ZAINUL MUSTAKHIM</t>
  </si>
  <si>
    <t>NUR HAYATI</t>
  </si>
  <si>
    <t>SLATUNG TLOGOAGUNG RT 001 RW 001 KEMBANGBAHU LAMONGAN</t>
  </si>
  <si>
    <t>6285731807166</t>
  </si>
  <si>
    <t>FARIH FIRDAUSI NUZULA</t>
  </si>
  <si>
    <t>CHOIRUL HUDA</t>
  </si>
  <si>
    <t>PRATIWI AFAITA</t>
  </si>
  <si>
    <t>GETUNG TAWANGREJO RT 003 RW 002 TURI LAMONGAN</t>
  </si>
  <si>
    <t>6285854669194</t>
  </si>
  <si>
    <t>HANAH RAFIKA AMALIA PUTRI</t>
  </si>
  <si>
    <t>MUJIONO</t>
  </si>
  <si>
    <t>ROFIQOH</t>
  </si>
  <si>
    <t>BALONGPANGGANG RT 002 RW 003 BALONGPANGGANG GRESIK</t>
  </si>
  <si>
    <t>6282257303445</t>
  </si>
  <si>
    <t>HANI HUMAIROH ANNAFISAH</t>
  </si>
  <si>
    <t>M. HARUN ALWI</t>
  </si>
  <si>
    <t>NIKMATUN HAYATI</t>
  </si>
  <si>
    <t>PLAKARAN SOMOSARI RT 003 RW 002 KALITENGAH LAMONGAN</t>
  </si>
  <si>
    <t>B-7</t>
  </si>
  <si>
    <t>6285707627884</t>
  </si>
  <si>
    <t>HANNAH DAMIA IRHAMNI</t>
  </si>
  <si>
    <t>YUDI IRHAMNI</t>
  </si>
  <si>
    <t>EVIE YAWATI</t>
  </si>
  <si>
    <t>BANJARAN TURI RT 007 RW 002 MADURAN LAMONGAN</t>
  </si>
  <si>
    <t>6281515114494</t>
  </si>
  <si>
    <t>HILYATUL FAIRAH</t>
  </si>
  <si>
    <t>ALFAN</t>
  </si>
  <si>
    <t>SUNANIK NUR INAYAH</t>
  </si>
  <si>
    <t>MARGOREJO MARGOANYAR RT 001 RW 004 GLAGAH LAMONGAN</t>
  </si>
  <si>
    <t>2 MAK PUTRI</t>
  </si>
  <si>
    <t>6281515855152</t>
  </si>
  <si>
    <t>INDAH MARTHA NUR AINI</t>
  </si>
  <si>
    <t>SUMARMI</t>
  </si>
  <si>
    <t>VETERAN GANG KAMBOJA JETIS RT 004 RW 003 LAMONGAN LAMONGAN</t>
  </si>
  <si>
    <t>62895603864010</t>
  </si>
  <si>
    <t>INTAN TIFFAH KURNIA ARIF</t>
  </si>
  <si>
    <t>SYAIFUL ARIF</t>
  </si>
  <si>
    <t>MUHAIMINAH</t>
  </si>
  <si>
    <t>WARUK RT 003 RW 002 KARANGBINANGUN LAMONGAN</t>
  </si>
  <si>
    <t>6285731326025</t>
  </si>
  <si>
    <t>ISTNA NOUR SHAUMI RAMADHANI</t>
  </si>
  <si>
    <t>M. RUKUN SUPRANATA</t>
  </si>
  <si>
    <t>TIWET RT 001 RW 001 KALITENGAH LAMONGAN</t>
  </si>
  <si>
    <t>6289530455849</t>
  </si>
  <si>
    <t>JANUARIS AZKA GUMAISHA SAPUTRI</t>
  </si>
  <si>
    <t>NARIP SAPUTRO</t>
  </si>
  <si>
    <t>ENIK ULIYATIN</t>
  </si>
  <si>
    <t>TEJOASRI RT 003 RW 004 LAREN LAMONGAN</t>
  </si>
  <si>
    <t>6282141394371</t>
  </si>
  <si>
    <t>LAESYTAH AGGUSTINA RAMADHANI</t>
  </si>
  <si>
    <t>AL MUTA`IN</t>
  </si>
  <si>
    <t>LILIK ZUBAIDAH</t>
  </si>
  <si>
    <t>TAKERHARJO RT 002 RW 003 SOLOKURO LAMONGAN</t>
  </si>
  <si>
    <t>6285854669977</t>
  </si>
  <si>
    <t>MAKAYLA SAFIRA DWINATASYA</t>
  </si>
  <si>
    <t>ZAINAL ABIDIN</t>
  </si>
  <si>
    <t>SUN`IYAH</t>
  </si>
  <si>
    <t>KURO RT 002 RW 001 KARANGBINANGUN LAMONGAN</t>
  </si>
  <si>
    <t>6285853252042</t>
  </si>
  <si>
    <t>MANOHARA GENDHIS FAROKHA</t>
  </si>
  <si>
    <t>KADIR</t>
  </si>
  <si>
    <t>MUNINGSIH</t>
  </si>
  <si>
    <t>KUDON MADULEGI RT 001 RW 002 SUKODADI LAMONGAN</t>
  </si>
  <si>
    <t>6285632444976</t>
  </si>
  <si>
    <t>MAULIDA BIMILATI ZAKIYAH</t>
  </si>
  <si>
    <t>SENADIANTO</t>
  </si>
  <si>
    <t>ANIFAH</t>
  </si>
  <si>
    <t>WIDE SENDANGHARJO RT 003 RW 002 BRONDONG LAMONGAN</t>
  </si>
  <si>
    <t>6285606172880</t>
  </si>
  <si>
    <t>MILLATUN THOYIBAH</t>
  </si>
  <si>
    <t>MASYHADI</t>
  </si>
  <si>
    <t>SITI KHODIJAH</t>
  </si>
  <si>
    <t>JANGGAN POMAHANJANGGAN RT 006 RW 003 TURI LAMONGAN</t>
  </si>
  <si>
    <t>6285732713016</t>
  </si>
  <si>
    <t>NAFIATUL KHOIROH</t>
  </si>
  <si>
    <t>PRIYADI</t>
  </si>
  <si>
    <t>SYAROFAH</t>
  </si>
  <si>
    <t>BANYUBANG RT 005 RW 002 SOLOKURO LAMONGAN</t>
  </si>
  <si>
    <t>6285231576976</t>
  </si>
  <si>
    <t>NIDIAH ANNISA` ISKARIMAH</t>
  </si>
  <si>
    <t>SHAFWAN</t>
  </si>
  <si>
    <t>MUTAQIYAH</t>
  </si>
  <si>
    <t>RAYUNG RAYUNGGUMUK RT 001 RW 003 GLAGAH LAMONGAN</t>
  </si>
  <si>
    <t>6285746102022</t>
  </si>
  <si>
    <t>NUR ASIVA RAHAYU</t>
  </si>
  <si>
    <t>AS`AD</t>
  </si>
  <si>
    <t>ISVA UMROAH</t>
  </si>
  <si>
    <t>TIWET RT 002 RW 003 KALITENGAH LAMONGAN</t>
  </si>
  <si>
    <t>6285784441243</t>
  </si>
  <si>
    <t>NUR ROFIDATUZ ZAHRA</t>
  </si>
  <si>
    <t>MUJAZIN</t>
  </si>
  <si>
    <t>RINI NORHAYATI</t>
  </si>
  <si>
    <t>KENDALKEMLAGI RT 003 RW 001 KARANGGENENG LAMONGAN</t>
  </si>
  <si>
    <t>SMK-XI Ak</t>
  </si>
  <si>
    <t>6281553870082</t>
  </si>
  <si>
    <t>NUZILAT SHOFWATUL MAR`AH</t>
  </si>
  <si>
    <t>SYUKUR, S.PD</t>
  </si>
  <si>
    <t>ZULIYATI</t>
  </si>
  <si>
    <t>PUCANGRO RT 002 RW 004 KALITENGAH LAMONGAN</t>
  </si>
  <si>
    <t>MA-XI.1</t>
  </si>
  <si>
    <t>TAHFIDZ</t>
  </si>
  <si>
    <t>6281554236367</t>
  </si>
  <si>
    <t>OLIVIA SABITA PUTRI</t>
  </si>
  <si>
    <t>MARJO</t>
  </si>
  <si>
    <t>NAIHATUL MUFIDAH</t>
  </si>
  <si>
    <t>BANGERAN GENENG BANGERAN RT 004 RW 002 DUKUN GRESIK</t>
  </si>
  <si>
    <t>6285890583479</t>
  </si>
  <si>
    <t>RAEESA NABILA YAKTA WAFIQ</t>
  </si>
  <si>
    <t>MOCHAMAD THOHA FATWA</t>
  </si>
  <si>
    <t>WINARSIH</t>
  </si>
  <si>
    <t>BANJARGONDANG RT 002 RW 003 BLULUK LAMONGAN</t>
  </si>
  <si>
    <t>6281332471369</t>
  </si>
  <si>
    <t>RANI HARIROTUL MAHMUDAH</t>
  </si>
  <si>
    <t>MAHMUDI</t>
  </si>
  <si>
    <t>ALIYAH</t>
  </si>
  <si>
    <t>WARUK RT 003 RW 001 KARANGBINANGUN LAMONGAN</t>
  </si>
  <si>
    <t>6281336008122</t>
  </si>
  <si>
    <t>REVALINA INTAN PARAMITA</t>
  </si>
  <si>
    <t>MARUWAN</t>
  </si>
  <si>
    <t>SUMARNI</t>
  </si>
  <si>
    <t>PLOSOLEBAK TAMBAKPLOSO RT 015 RW 003 TURI LAMONGAN</t>
  </si>
  <si>
    <t>6285806977954</t>
  </si>
  <si>
    <t>SEKAR AYU WARDHANI</t>
  </si>
  <si>
    <t>SAINULLAH</t>
  </si>
  <si>
    <t>IIS HUSNAWATI</t>
  </si>
  <si>
    <t>BARON RT 004 RW 002 DUKUN GRESIK</t>
  </si>
  <si>
    <t>6282338115599</t>
  </si>
  <si>
    <t>SEVANI CHINTIA ANGELIA</t>
  </si>
  <si>
    <t>RIEKY WAHYU HERMAWAN</t>
  </si>
  <si>
    <t>ROMLAWATI</t>
  </si>
  <si>
    <t>GORAME BADURAME RT 001 RW 003 TURI LAMONGAN</t>
  </si>
  <si>
    <t>6285859644980</t>
  </si>
  <si>
    <t>SHABRINA RAHMADANI</t>
  </si>
  <si>
    <t>SULIANTO</t>
  </si>
  <si>
    <t>SUKINI</t>
  </si>
  <si>
    <t>SUDIMORO MENDOGO RT 002 RW 001 GLAGAH LAMONGAN</t>
  </si>
  <si>
    <t>6285831478645</t>
  </si>
  <si>
    <t>SHOFIYATUN NISA`</t>
  </si>
  <si>
    <t>SUNAIN</t>
  </si>
  <si>
    <t>MAZROATUL AKHIROH</t>
  </si>
  <si>
    <t>BARON RT 006 RW 003 DUKUN GRESIK</t>
  </si>
  <si>
    <t>6287853490818</t>
  </si>
  <si>
    <t>SYAIDATUN MAULIDIYA MUNAWAROH</t>
  </si>
  <si>
    <t>KARTO</t>
  </si>
  <si>
    <t>WATINI DWI LESTARI</t>
  </si>
  <si>
    <t>KALITENGAH SOKO RT 001 RW 007 TIKUNG LAMONGAN</t>
  </si>
  <si>
    <t>6285604924379</t>
  </si>
  <si>
    <t>SYAKILA RAMADHANI</t>
  </si>
  <si>
    <t>CHAIRUL ANAM</t>
  </si>
  <si>
    <t>MASFUFAH</t>
  </si>
  <si>
    <t>TUNJUNGMEKAR RT 002 RW 004 KALITENGAH LAMONGAN</t>
  </si>
  <si>
    <t>6285536376619</t>
  </si>
  <si>
    <t>SYARIFA ZUHRIYAH</t>
  </si>
  <si>
    <t>KISWADI</t>
  </si>
  <si>
    <t>SITI ZUMAEROH</t>
  </si>
  <si>
    <t>KEDIREN RT 003 RW 002 KALITENGAH LAMONGAN</t>
  </si>
  <si>
    <t>6285739096483</t>
  </si>
  <si>
    <t>THEA CLARESTA</t>
  </si>
  <si>
    <t>SISWANTO</t>
  </si>
  <si>
    <t>DWI KRISTINA</t>
  </si>
  <si>
    <t>BUCUKIDUL MENGANTI RT 004 RW 001 GLAGAH LAMONGAN</t>
  </si>
  <si>
    <t>6285806503341</t>
  </si>
  <si>
    <t>TITIN NUR MAULIDIA</t>
  </si>
  <si>
    <t>ALI AFANDI</t>
  </si>
  <si>
    <t>PIYATI</t>
  </si>
  <si>
    <t>RANGKAH NGUJUNGREJO RT 011 RW 005 TURI LAMONGAN</t>
  </si>
  <si>
    <t>6285859264732</t>
  </si>
  <si>
    <t>TRIANOVA AMALIA AZ-ZAHRA</t>
  </si>
  <si>
    <t>ABDULLAH UBET</t>
  </si>
  <si>
    <t>DWI DIAH ANGGRAINI</t>
  </si>
  <si>
    <t>JL. KH. A. DAHLAN GG. MAWAR MERAH II TLOGOANYAR RT 001 RW 001 LAMONGAN LAMONGAN</t>
  </si>
  <si>
    <t>6281357970159</t>
  </si>
  <si>
    <t>ZAHRIATUL MUHIMATUN NISA`</t>
  </si>
  <si>
    <t>MOHAMMAD ZAERI</t>
  </si>
  <si>
    <t>ANISATUR ROSIDAH</t>
  </si>
  <si>
    <t>RAYUNG RAYUNGGUMUK RT 003 RW 003 GLAGAH LAMONGAN</t>
  </si>
  <si>
    <t>6285607132023</t>
  </si>
  <si>
    <t>ZUNI SARAH</t>
  </si>
  <si>
    <t>TASMAN</t>
  </si>
  <si>
    <t>SULIMAH</t>
  </si>
  <si>
    <t>JANGGAN POMAHANJANGGAN RT 005 RW 003 TURI LAMONGAN</t>
  </si>
  <si>
    <t>628507967794</t>
  </si>
  <si>
    <t>ABNA NADHROH KAMALA FEBRIANI</t>
  </si>
  <si>
    <t>KOMARI</t>
  </si>
  <si>
    <t>NUR AFIFAH</t>
  </si>
  <si>
    <t>SUGIHWARAS RT 002 RW 002 DEKET LAMONGAN</t>
  </si>
  <si>
    <t>C</t>
  </si>
  <si>
    <t>C-6</t>
  </si>
  <si>
    <t>6289530455442</t>
  </si>
  <si>
    <t>AFIFATUT THOHIRO</t>
  </si>
  <si>
    <t>NURUL ZUBAD</t>
  </si>
  <si>
    <t>NISWATUL FAIZUN</t>
  </si>
  <si>
    <t>TEBLURU RT 005 RW 001 SOLOKURO LAMONGAN</t>
  </si>
  <si>
    <t>C-10</t>
  </si>
  <si>
    <t>6288973733770</t>
  </si>
  <si>
    <t>AINUR ZULFA AL-FARIKHAH</t>
  </si>
  <si>
    <t>SUTRISNO</t>
  </si>
  <si>
    <t>UMIYATI</t>
  </si>
  <si>
    <t>SUGIHAN RT 011 RW 002 SOLOKURO LAMONGAN</t>
  </si>
  <si>
    <t>6285746835653</t>
  </si>
  <si>
    <t>AISYA DWI FITRIANI</t>
  </si>
  <si>
    <t>SUWAJI</t>
  </si>
  <si>
    <t>MARJINEM</t>
  </si>
  <si>
    <t xml:space="preserve">GUNUNG LINGKAS TARAKAN TIMUR RT 006 RW 003  </t>
  </si>
  <si>
    <t>C-12</t>
  </si>
  <si>
    <t>6281273814498</t>
  </si>
  <si>
    <t>AISYAH INDAH FARAWANSYAH</t>
  </si>
  <si>
    <t>EKO CAHYONO</t>
  </si>
  <si>
    <t>UMI MUDHOLIFAH</t>
  </si>
  <si>
    <t>SETRO BARU UTARA 10/113 DUKUH SETRO RT 008 RW 004 TAMBAKSARI SURABAYA</t>
  </si>
  <si>
    <t>6281330346915</t>
  </si>
  <si>
    <t>AISYAH NUR KHOLIFAH</t>
  </si>
  <si>
    <t>SUPARMAN</t>
  </si>
  <si>
    <t>SRIYATI</t>
  </si>
  <si>
    <t>NGAYUNG RT 009 RW 003 MADURAN LAMONGAN</t>
  </si>
  <si>
    <t>C-13</t>
  </si>
  <si>
    <t>6281511152728</t>
  </si>
  <si>
    <t>AISYAH REGINA FAHMI AZ-ZAHRA</t>
  </si>
  <si>
    <t>M. FATCHUL HADI</t>
  </si>
  <si>
    <t>MARDLIYAH</t>
  </si>
  <si>
    <t>GUNUNG ANYAR TAMBAK RT 001 RW 001 GUNUNG ANYAR SURABAYA</t>
  </si>
  <si>
    <t>6281775072287</t>
  </si>
  <si>
    <t>ALESSIA SYIFA RAMADHANI</t>
  </si>
  <si>
    <t>DIDIK SUHARTO</t>
  </si>
  <si>
    <t>ANIK TRI HANDAYANI</t>
  </si>
  <si>
    <t>GLOGOK SUMBERWUDI RT 002 RW 001 KARANGGENENG LAMONGAN</t>
  </si>
  <si>
    <t>6285812350778</t>
  </si>
  <si>
    <t>ALFIYATIN NASHIROH</t>
  </si>
  <si>
    <t>MUHAMMAD HAMIDUN</t>
  </si>
  <si>
    <t>WATIRAH</t>
  </si>
  <si>
    <t>TEBLURU RT 007 RW 002 SOLOKURO LAMONGAN</t>
  </si>
  <si>
    <t>6285655845161</t>
  </si>
  <si>
    <t>ALICYA RAHMADITA</t>
  </si>
  <si>
    <t>MOCH. ALEK</t>
  </si>
  <si>
    <t>ASTUTIK</t>
  </si>
  <si>
    <t>BABATKULON BABATAGUNG RT 002 RW 003 DEKET LAMONGAN</t>
  </si>
  <si>
    <t>6285877753654</t>
  </si>
  <si>
    <t>ALINDIKA AYU FAHRABI</t>
  </si>
  <si>
    <t>JUNAIDI ABDILLAH</t>
  </si>
  <si>
    <t>MUFLIHAH</t>
  </si>
  <si>
    <t>KEBALANPELANG RT 002 RW 002 BABAT LAMONGAN</t>
  </si>
  <si>
    <t>C-5</t>
  </si>
  <si>
    <t>6281336343938</t>
  </si>
  <si>
    <t>ALYA WAHIDAH DIVA ADINATA</t>
  </si>
  <si>
    <t>MAHMUDI ADINATA</t>
  </si>
  <si>
    <t>IVA CHUSUMAWATI</t>
  </si>
  <si>
    <t>JL. SEKAWAN ELOK IV BLOK A6 NOMOR 118 PERUMAHAN BUMI CITRA FAJAR RT  RW  SIDOARJO SIDOARJO</t>
  </si>
  <si>
    <t>6282334095226</t>
  </si>
  <si>
    <t>ANDHIRA REGINA PRAMESTI</t>
  </si>
  <si>
    <t>KHOLIS</t>
  </si>
  <si>
    <t>SUKARTI</t>
  </si>
  <si>
    <t>NGUJUNG NGUJUNGREJO RT 003 RW 002 TURI LAMONGAN</t>
  </si>
  <si>
    <t>6288804968028</t>
  </si>
  <si>
    <t>ARINA NIDA AL QUDSIYAH</t>
  </si>
  <si>
    <t>MOH. RODLI</t>
  </si>
  <si>
    <t>IFADAH</t>
  </si>
  <si>
    <t>JL. KARANG ASEM DRAJAT RT 001 RW 003 PACIRAN LAMONGAN</t>
  </si>
  <si>
    <t>6285872618634</t>
  </si>
  <si>
    <t>ARINAH DINA DHABITAH</t>
  </si>
  <si>
    <t>MOHAMMAD YASIN</t>
  </si>
  <si>
    <t>ERLI NUR INDA SARI</t>
  </si>
  <si>
    <t>TAKERHARJO RT 004 RW 002 SOLOKURO LAMONGAN</t>
  </si>
  <si>
    <t>6285732236800</t>
  </si>
  <si>
    <t>ARIS TANIA PUTRI</t>
  </si>
  <si>
    <t>HASAN ANSORI</t>
  </si>
  <si>
    <t>UMI SUNZAITIN</t>
  </si>
  <si>
    <t>SUGIHAN RT 007 RW 002 SOLOKURO LAMONGAN</t>
  </si>
  <si>
    <t>6285730004247</t>
  </si>
  <si>
    <t>AS SYIFANI NUR KHOLIF</t>
  </si>
  <si>
    <t>MISKAN</t>
  </si>
  <si>
    <t>SITI MAEMONAH</t>
  </si>
  <si>
    <t>NGAYUNG RT 008 RW 003 MADURAN LAMONGAN</t>
  </si>
  <si>
    <t>6281259603646</t>
  </si>
  <si>
    <t>ASMA WAFIYAH</t>
  </si>
  <si>
    <t>ASMAN</t>
  </si>
  <si>
    <t>KASIYATUN</t>
  </si>
  <si>
    <t>BESUR RT 005 RW 003 SEKARAN LAMONGAN</t>
  </si>
  <si>
    <t>6285853464204</t>
  </si>
  <si>
    <t>ASYIFAH KAMILATUN NI`AMI</t>
  </si>
  <si>
    <t>ASNAWI</t>
  </si>
  <si>
    <t>ERNA EKONAWATI</t>
  </si>
  <si>
    <t>DORO KARANGWEDORO RT 007 RW 003 TURI LAMONGAN</t>
  </si>
  <si>
    <t>6285812349021</t>
  </si>
  <si>
    <t>ATIKA NIDYA SHOFWA</t>
  </si>
  <si>
    <t>ABDUL MUJIB</t>
  </si>
  <si>
    <t>WOTAN RT 009 RW 003 PANCENG GRESIK</t>
  </si>
  <si>
    <t>6282140161650</t>
  </si>
  <si>
    <t xml:space="preserve">    </t>
  </si>
  <si>
    <t>AULIA SARAH RAHMAWATI</t>
  </si>
  <si>
    <t>ASRODI</t>
  </si>
  <si>
    <t>RUPIATUN</t>
  </si>
  <si>
    <t>KEDIREN RT 002 RW 001 KALITENGAH LAMONGAN</t>
  </si>
  <si>
    <t>6285804221107</t>
  </si>
  <si>
    <t>AULIYA QONITA ALMAIRA</t>
  </si>
  <si>
    <t>MAHMUDIN</t>
  </si>
  <si>
    <t>MUSLICHAH</t>
  </si>
  <si>
    <t>BADU BADURAME RT 001 RW 004 TURI LAMONGAN</t>
  </si>
  <si>
    <t>6283870992471</t>
  </si>
  <si>
    <t>AZZA ULFHIEYANNA FATYYN</t>
  </si>
  <si>
    <t>RUMIJO</t>
  </si>
  <si>
    <t>KARIYANTI</t>
  </si>
  <si>
    <t>KEDIREN RT 001 RW 001 KALITENGAH LAMONGAN</t>
  </si>
  <si>
    <t>6285785367894</t>
  </si>
  <si>
    <t>BISSILMIKAAFA AULIA</t>
  </si>
  <si>
    <t>KUSENO</t>
  </si>
  <si>
    <t>NURUL FATMAWATI</t>
  </si>
  <si>
    <t>TEBLURU RT 006 RW 001 SOLOKURO LAMONGAN</t>
  </si>
  <si>
    <t>6285706493322</t>
  </si>
  <si>
    <t>BUNGA OKTAVIA SASKIA</t>
  </si>
  <si>
    <t>HUSNAN MARZUQI</t>
  </si>
  <si>
    <t>SITI UMAYAH</t>
  </si>
  <si>
    <t>UJUNG KRAWANG PULO GEBANG RT 009 RW 005 CAKUNG JAKARTA TIMUR</t>
  </si>
  <si>
    <t>6282334563206</t>
  </si>
  <si>
    <t>CHAVINA MUFIDAH HARIYANTO</t>
  </si>
  <si>
    <t>BAMBANG HARIYANTO</t>
  </si>
  <si>
    <t>YULIA MAGHFIROH</t>
  </si>
  <si>
    <t>SEMPU DRADAHBLUMBANG RT 003 RW 010 KEDUNGPRING LAMONGAN</t>
  </si>
  <si>
    <t>6281235578444</t>
  </si>
  <si>
    <t>CIKA YULISTINA ADILATUZ ZAFIRAH LI`IZZATI</t>
  </si>
  <si>
    <t>MIFTAHUL ARIF</t>
  </si>
  <si>
    <t>QONI`AH</t>
  </si>
  <si>
    <t>WONOKERTO RT 012 RW 003 DUKUN GRESIK</t>
  </si>
  <si>
    <t>6285732533877</t>
  </si>
  <si>
    <t>DAFINAH ALISHA BATRISYA HARIANTO</t>
  </si>
  <si>
    <t>HARIANTO</t>
  </si>
  <si>
    <t>CANDIPARI TAMBAKPLOSO RT 003 RW 001 TURI LAMONGAN</t>
  </si>
  <si>
    <t>6285733302349</t>
  </si>
  <si>
    <t>DAMARA NAJWA CARISSA</t>
  </si>
  <si>
    <t>SUJARWO</t>
  </si>
  <si>
    <t>ITA AISAROH</t>
  </si>
  <si>
    <t>6285745102590</t>
  </si>
  <si>
    <t>DARA AULIA SYAHBAN</t>
  </si>
  <si>
    <t>NURYANTO</t>
  </si>
  <si>
    <t>LIS ERNAWATI</t>
  </si>
  <si>
    <t>NGAYUNG RT 002 RW 001 MADURAN LAMONGAN</t>
  </si>
  <si>
    <t>6282232108268</t>
  </si>
  <si>
    <t>DINA AYU SASTIYA</t>
  </si>
  <si>
    <t>DARMAJI</t>
  </si>
  <si>
    <t>MALIKAH</t>
  </si>
  <si>
    <t>KEMLAGILOR RT 005 RW 002 TURI LAMONGAN</t>
  </si>
  <si>
    <t>2 WUSTHO A PUTRI</t>
  </si>
  <si>
    <t>6289518431642</t>
  </si>
  <si>
    <t xml:space="preserve">DWI RATIH AZ ZUHRO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</si>
  <si>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ZUHDI</t>
  </si>
  <si>
    <t>YENI MUFTARO</t>
  </si>
  <si>
    <t>LEMBOR RT 007 RW 002 BRONDONG LAMONGAN</t>
  </si>
  <si>
    <t>6281554408544</t>
  </si>
  <si>
    <t>DZAKIYAH TALITA SAKHI</t>
  </si>
  <si>
    <t>ABDULLAH FARIH</t>
  </si>
  <si>
    <t>WINDASARI</t>
  </si>
  <si>
    <t>BANYUURIP RT 001 RW 003 UJUNGPANGKAH GRESIK</t>
  </si>
  <si>
    <t>C-7</t>
  </si>
  <si>
    <t>6285934330538</t>
  </si>
  <si>
    <t>EKA BERLIANA AISYAH MAHARANI</t>
  </si>
  <si>
    <t>SA`IDUN</t>
  </si>
  <si>
    <t>KHOIROH</t>
  </si>
  <si>
    <t>MENTARAS RT 015 RW 006 DUKUN GRESIK</t>
  </si>
  <si>
    <t>6281232076074</t>
  </si>
  <si>
    <t>EKA FADHILATUN NAFSI</t>
  </si>
  <si>
    <t>TAUFIQ ZIN</t>
  </si>
  <si>
    <t>SISWATI</t>
  </si>
  <si>
    <t>GEDONDONG RT 001 RW 003 SARIREJO LAMONGAN</t>
  </si>
  <si>
    <t>6285964364794</t>
  </si>
  <si>
    <t>EKA MEISHA AS SYIFAH</t>
  </si>
  <si>
    <t>HERIONO</t>
  </si>
  <si>
    <t>LATIFATUL MA`RIFAH</t>
  </si>
  <si>
    <t>TLANAK SUKOBENDU RT 001 RW 001 MANTUP LAMONGAN</t>
  </si>
  <si>
    <t>6281353064791</t>
  </si>
  <si>
    <t>ELOK FAIQOH</t>
  </si>
  <si>
    <t>MUHAMMAD HAKIM</t>
  </si>
  <si>
    <t>ZAHROTUL WARDAH</t>
  </si>
  <si>
    <t>KARANGREJO RT 008 RW 004 UJUNGPANGKAH GRESIK</t>
  </si>
  <si>
    <t>MA-XI.12</t>
  </si>
  <si>
    <t>6282120004936</t>
  </si>
  <si>
    <t>FARAH AULIA SYIFA UBAIDILLAH</t>
  </si>
  <si>
    <t>MUCH. SUUDIN UBAIDILLAH</t>
  </si>
  <si>
    <t>WUDI SUKOANYAR RT 001 RW 003 TURI LAMONGAN</t>
  </si>
  <si>
    <t>6282231237990</t>
  </si>
  <si>
    <t>GITA TSANIA ASY SYIFA KHOLIK</t>
  </si>
  <si>
    <t>AHMAD KHOLIK</t>
  </si>
  <si>
    <t>NIKMATUL KHUSNAH</t>
  </si>
  <si>
    <t>JL. AIS NASUTION NO 16 KULURAN RT 005 RW 001 KALITENGAH LAMONGAN</t>
  </si>
  <si>
    <t>6285708607686</t>
  </si>
  <si>
    <t>HANIA SYAKIRA FIRNINA</t>
  </si>
  <si>
    <t>MUSTAHAR</t>
  </si>
  <si>
    <t>SITI MASULAH</t>
  </si>
  <si>
    <t>GETUNG TAWANGREJO RT 001 RW 001 TURI LAMONGAN</t>
  </si>
  <si>
    <t>6285606245524</t>
  </si>
  <si>
    <t>IFFAT TABRIZ NIHAYAH</t>
  </si>
  <si>
    <t>SUHARTONO</t>
  </si>
  <si>
    <t>TITIK HARIANI</t>
  </si>
  <si>
    <t>MENGAI SUKOREJO RT 001 RW 006 KARANGBINANGUN LAMONGAN</t>
  </si>
  <si>
    <t>6285714309498</t>
  </si>
  <si>
    <t>JESSICA MAHARANI KURNIA</t>
  </si>
  <si>
    <t>KURNIAWAN</t>
  </si>
  <si>
    <t>IIS NUR ROHAYATI</t>
  </si>
  <si>
    <t>KH. AGUS SALIM KULURAN RT 001 RW 003 KALITENGAH LAMONGAN</t>
  </si>
  <si>
    <t>6282332616386</t>
  </si>
  <si>
    <t>JIHAN APRILIA</t>
  </si>
  <si>
    <t>AHMAD ERFAN</t>
  </si>
  <si>
    <t>SUDARWATI</t>
  </si>
  <si>
    <t>TEJOASRI RT 001 RW 003 LAREN LAMONGAN</t>
  </si>
  <si>
    <t>6282230612891</t>
  </si>
  <si>
    <t>JOVANKA ALIFFATUZ ZAM-ZAMI</t>
  </si>
  <si>
    <t>JUMIANTO</t>
  </si>
  <si>
    <t>IVA KUMALA</t>
  </si>
  <si>
    <t>KULURAN RT 001 RW 001 KALITENGAH LAMONGAN</t>
  </si>
  <si>
    <t>6281559767628</t>
  </si>
  <si>
    <t>KAMILA RENATA NABILA RIVANZHA</t>
  </si>
  <si>
    <t>SUN`AN RIVA`I</t>
  </si>
  <si>
    <t>ZARA</t>
  </si>
  <si>
    <t>DEKET KULON RT 003 RW 001 DEKET LAMONGAN</t>
  </si>
  <si>
    <t>BOYONG SEMENTARA</t>
  </si>
  <si>
    <t>KAYLA AFRIZA ROHMAH</t>
  </si>
  <si>
    <t>ALIB KUSTIN</t>
  </si>
  <si>
    <t>TITIN NUR FARIDAH</t>
  </si>
  <si>
    <t>JL. TIMOR RAYA NO. 72 PASIR PANJANG RT 007 RW 003 KOTA LAMA KUPANG</t>
  </si>
  <si>
    <t>6285829314640</t>
  </si>
  <si>
    <t>KIRANI AHMADA SALSABILA</t>
  </si>
  <si>
    <t>ALIMIN</t>
  </si>
  <si>
    <t>NINIK SUDARWATI</t>
  </si>
  <si>
    <t>JL. MBAH RANGGON WIDE SENDANGHARJO RT 012 RW 001 BRONDONG LAMONGAN</t>
  </si>
  <si>
    <t>6285706529314</t>
  </si>
  <si>
    <t>LAILATUL KHUSNA</t>
  </si>
  <si>
    <t>MOCHAMAD ANDIK BUONO</t>
  </si>
  <si>
    <t>MAYA DEVI KARTIKA</t>
  </si>
  <si>
    <t>SEMANDING TIMUR RT 002 RW 006 SEMANDING TUBAN</t>
  </si>
  <si>
    <t>6285706850696</t>
  </si>
  <si>
    <t>LENY ANGGRAINI</t>
  </si>
  <si>
    <t>ALI</t>
  </si>
  <si>
    <t>RIANI</t>
  </si>
  <si>
    <t>MUNGSU SUGIHWARAS RT 002 RW 004 KALITENGAH LAMONGAN</t>
  </si>
  <si>
    <t>6285815513440</t>
  </si>
  <si>
    <t>LINTANG RAMADHANI</t>
  </si>
  <si>
    <t>MIFTAHUL BARIR</t>
  </si>
  <si>
    <t>ANI SAIDAH</t>
  </si>
  <si>
    <t>PACIRAN RT 003 RW 002 PACIRAN LAMONGAN</t>
  </si>
  <si>
    <t>6285257577436</t>
  </si>
  <si>
    <t>LUTFIYAH FARADELLA</t>
  </si>
  <si>
    <t>SUKARTONO</t>
  </si>
  <si>
    <t>RUMAINAH</t>
  </si>
  <si>
    <t>KEBEN RT 002 RW 001 TURI LAMONGAN</t>
  </si>
  <si>
    <t>6285731146502</t>
  </si>
  <si>
    <t>MASTALENA FRADITA</t>
  </si>
  <si>
    <t>ABDUL MUHID</t>
  </si>
  <si>
    <t>ROSWATI</t>
  </si>
  <si>
    <t>GELAP RT 006 RW 002 LAREN LAMONGAN</t>
  </si>
  <si>
    <t>6285792398015</t>
  </si>
  <si>
    <t>MAYA NUR ANDYNI</t>
  </si>
  <si>
    <t>KASMUJI</t>
  </si>
  <si>
    <t>MUBARIROH</t>
  </si>
  <si>
    <t>BLURI RT 002 RW 003 SOLOKURO LAMONGAN</t>
  </si>
  <si>
    <t>6285648895170</t>
  </si>
  <si>
    <t>MAZIYAH SARIROH</t>
  </si>
  <si>
    <t>ABDUL MUN`IM</t>
  </si>
  <si>
    <t>SHOLIHATIN</t>
  </si>
  <si>
    <t>DEPEK SUGIHWARAS RT 001 RW 001 KALITENGAH LAMONGAN</t>
  </si>
  <si>
    <t>6281554466483</t>
  </si>
  <si>
    <t>MEISYA JUWITA SARI</t>
  </si>
  <si>
    <t>WIWIT PURWANTORO</t>
  </si>
  <si>
    <t>DJUWARNI</t>
  </si>
  <si>
    <t>JL. DURIAN KETAJEN RT 001 RW 004 GEDANGAN SIDOARJO</t>
  </si>
  <si>
    <t>6285648971522</t>
  </si>
  <si>
    <t>NABILAH FAYRUZ ZAHROH</t>
  </si>
  <si>
    <t>PENDI DARMONO</t>
  </si>
  <si>
    <t>RUSMINI</t>
  </si>
  <si>
    <t>GUNDIK SUKOREJO RT 001 RW 004 KARANGBINANGUN LAMONGAN</t>
  </si>
  <si>
    <t>6285850710087</t>
  </si>
  <si>
    <t>NABILLAH DWI SISILIA</t>
  </si>
  <si>
    <t>IMAM SAFI`I</t>
  </si>
  <si>
    <t>KASMULIATIN</t>
  </si>
  <si>
    <t>JL. PENDIDIKAN TANAH MERAH RT 005 RW 000 TANA LIA TANA TIDUNG</t>
  </si>
  <si>
    <t>6285349502674</t>
  </si>
  <si>
    <t>NADIA LATISHA PUTRI JUNAIDI</t>
  </si>
  <si>
    <t>JUNAIDI SALAT</t>
  </si>
  <si>
    <t>SUNADA</t>
  </si>
  <si>
    <t>KEDIREN RT 002 RW 002 KALITENGAH LAMONGAN</t>
  </si>
  <si>
    <t>6285804145415</t>
  </si>
  <si>
    <t>NAFI`ATUL HAKIMAH</t>
  </si>
  <si>
    <t>SITI MIFTAHUR ROHMAH</t>
  </si>
  <si>
    <t>DORO KARANGWEDORO RT 004 RW 002 TURI LAMONGAN</t>
  </si>
  <si>
    <t>6285853062087</t>
  </si>
  <si>
    <t>NAILA SHOFWA AMALIAH</t>
  </si>
  <si>
    <t>NURMAL</t>
  </si>
  <si>
    <t>SITI ASTUTIN</t>
  </si>
  <si>
    <t>DAGAN RT 001 RW 002 SOLOKURO LAMONGAN</t>
  </si>
  <si>
    <t>6285785806949</t>
  </si>
  <si>
    <t>NAILAH RAHADATUL ASIY ADELIAH</t>
  </si>
  <si>
    <t>BUDI LISMANTO</t>
  </si>
  <si>
    <t>KHUSNUL SAHADAH</t>
  </si>
  <si>
    <t>BLURI RT 011 RW 003 SOLOKURO LAMONGAN</t>
  </si>
  <si>
    <t>6285731461924</t>
  </si>
  <si>
    <t>NATASYA ZUHROTUL ULA</t>
  </si>
  <si>
    <t>KHAFID ABDILLAH</t>
  </si>
  <si>
    <t>SITI ZAINATUL HABIBAH</t>
  </si>
  <si>
    <t>KULURAN RT 004 RW 003 KALITENGAH LAMONGAN</t>
  </si>
  <si>
    <t>6281556649032</t>
  </si>
  <si>
    <t>NAURA NADHIFA FITRI FAJRIA</t>
  </si>
  <si>
    <t>PARMUJI</t>
  </si>
  <si>
    <t>IDA FITRIYAH</t>
  </si>
  <si>
    <t>TRACAL RT 001 RW 002 KARANGGENENG LAMONGAN</t>
  </si>
  <si>
    <t>6281350312748</t>
  </si>
  <si>
    <t>NAURA NADHIFAH AKMAL</t>
  </si>
  <si>
    <t>MOH. NASIHUDDIN</t>
  </si>
  <si>
    <t>SITI FATIMATUL MAGHNUNAH</t>
  </si>
  <si>
    <t>GETUNG TAWANGREJO RT 003 RW 001 TURI LAMONGAN</t>
  </si>
  <si>
    <t>6285745731616</t>
  </si>
  <si>
    <t>NAYSILLA NAFIZZA OKTAVIA</t>
  </si>
  <si>
    <t>SUNAZIR</t>
  </si>
  <si>
    <t>SUHARIYATI</t>
  </si>
  <si>
    <t>6282257586385</t>
  </si>
  <si>
    <t>NAZWA ZAHROTUL RAMADHANI</t>
  </si>
  <si>
    <t>MUTFA`IN</t>
  </si>
  <si>
    <t>SRIFATUN</t>
  </si>
  <si>
    <t>DAGAN RT 003 RW 001 SOLOKURO LAMONGAN</t>
  </si>
  <si>
    <t>6285850263622</t>
  </si>
  <si>
    <t>NEYLA MARITSA AZ ZAHRA</t>
  </si>
  <si>
    <t>ARIFAN</t>
  </si>
  <si>
    <t>LAILY KHULAILAH</t>
  </si>
  <si>
    <t>SERAH RT 011 RW 005 PANCENG GRESIK</t>
  </si>
  <si>
    <t>628563450049</t>
  </si>
  <si>
    <t>NIDAUL KHOFIYAH</t>
  </si>
  <si>
    <t>UBED KHOTIBUL UMAM</t>
  </si>
  <si>
    <t>MAFTUHATUL A`YUN</t>
  </si>
  <si>
    <t>DAGAN RT 003 RW 004 SOLOKURO LAMONGAN</t>
  </si>
  <si>
    <t>6285649695274</t>
  </si>
  <si>
    <t>NIKITA KHAHECA GISELLA</t>
  </si>
  <si>
    <t>LILIK KUMIATI</t>
  </si>
  <si>
    <t>LOWAYU RT 001 RW 001 DUKUN GRESIK</t>
  </si>
  <si>
    <t>6285853013489</t>
  </si>
  <si>
    <t>NOVI AWWALIYATUS SHOLIHAH</t>
  </si>
  <si>
    <t>MAT TUKIM</t>
  </si>
  <si>
    <t>IDA INDA NURHIDAYATI</t>
  </si>
  <si>
    <t>DAGAN RT 001 RW 003 SOLOKURO LAMONGAN</t>
  </si>
  <si>
    <t>6285645284852</t>
  </si>
  <si>
    <t>NUR ADILA FITRI</t>
  </si>
  <si>
    <t>MOH. YAMAN</t>
  </si>
  <si>
    <t>MURIYEM</t>
  </si>
  <si>
    <t>6285855012085</t>
  </si>
  <si>
    <t>NUR QOMARIYAH</t>
  </si>
  <si>
    <t>SUTA`AT</t>
  </si>
  <si>
    <t>SUCI SANIA</t>
  </si>
  <si>
    <t>PILANG TEJOASRI RT 003 RW 001 LAREN LAMONGAN</t>
  </si>
  <si>
    <t>6288991851255</t>
  </si>
  <si>
    <t>NURUL AINI LAILIYAH</t>
  </si>
  <si>
    <t>SYAFI`I</t>
  </si>
  <si>
    <t>ALIMATUS SHOLIKHAH</t>
  </si>
  <si>
    <t>628121782262</t>
  </si>
  <si>
    <t>NURUL HAFIZAH</t>
  </si>
  <si>
    <t>AHMAD ZAINI</t>
  </si>
  <si>
    <t>SITI THOYYIBATUN NI`MAH</t>
  </si>
  <si>
    <t>DAGAN RT 003 RW 002 SOLOKURO LAMONGAN</t>
  </si>
  <si>
    <t>6285648857302</t>
  </si>
  <si>
    <t>NUZULUL AINURROHMA</t>
  </si>
  <si>
    <t>ASNAN</t>
  </si>
  <si>
    <t>NUZULATUS SHOIDAH</t>
  </si>
  <si>
    <t>SAWO RT 008 RW 004 DUKUN DUKUN</t>
  </si>
  <si>
    <t>6285649304810</t>
  </si>
  <si>
    <t>PUTRI DEWI SEKAR SARI</t>
  </si>
  <si>
    <t>KASIADI</t>
  </si>
  <si>
    <t>SUSILOWATI</t>
  </si>
  <si>
    <t>GUCI RT 003 RW 001 KARANGGENENG LAMONGAN</t>
  </si>
  <si>
    <t>6285852532735</t>
  </si>
  <si>
    <t>PUTRI NOVIANA</t>
  </si>
  <si>
    <t>M. YUYUS ANWAR</t>
  </si>
  <si>
    <t>SIFAURROHMAH</t>
  </si>
  <si>
    <t>DARINGAN MAESAN RT 001 RW 008 MOJO KEDIRI</t>
  </si>
  <si>
    <t>6285707375910</t>
  </si>
  <si>
    <t>RARA CINDRA NATASYA</t>
  </si>
  <si>
    <t>SARIYANTO</t>
  </si>
  <si>
    <t>HARTIK</t>
  </si>
  <si>
    <t>TAMAN PRIJEK TAMANPRIJEG RT 002 RW 001 LAREN LAMONGAN</t>
  </si>
  <si>
    <t>6285707136264</t>
  </si>
  <si>
    <t>REVANA HIKMATUL AULIA</t>
  </si>
  <si>
    <t>NUR HASAN</t>
  </si>
  <si>
    <t xml:space="preserve">KHUSNUL KHOTIMAH </t>
  </si>
  <si>
    <t>BLURI RT 012 RW 003 SOLOKURO LAMONGAN</t>
  </si>
  <si>
    <t>628155162065</t>
  </si>
  <si>
    <t>REVANI PUTRI ANGGRAENI</t>
  </si>
  <si>
    <t>BENI ISWANTO</t>
  </si>
  <si>
    <t>SELVIA ANGGRAENI</t>
  </si>
  <si>
    <t>PADENGANPLOSO RT 011 RW 001 PUCUK LAMONGAN</t>
  </si>
  <si>
    <t>6285785848825</t>
  </si>
  <si>
    <t>SAFNA NUR AULIYA`</t>
  </si>
  <si>
    <t>A YANI</t>
  </si>
  <si>
    <t>KHOIROH NISWATIN</t>
  </si>
  <si>
    <t>6282232129390</t>
  </si>
  <si>
    <t>SALSA ZANI RAMADINA</t>
  </si>
  <si>
    <t>MATENUR</t>
  </si>
  <si>
    <t>SEPAT TAMBAKMENJANGAN RT 001 RW 008 SARIREJO LAMONGAN</t>
  </si>
  <si>
    <t>6285136532021</t>
  </si>
  <si>
    <t>SALWA `ALINA ROSYADA</t>
  </si>
  <si>
    <t>ISLAHUL FAUZI</t>
  </si>
  <si>
    <t>ALFATUN NIKMAH</t>
  </si>
  <si>
    <t>BLURI RT 001 RW 001 SOLOKURO LAMONGAN</t>
  </si>
  <si>
    <t>6285731139975</t>
  </si>
  <si>
    <t>SALWA SHOFIYANA ATIQOH</t>
  </si>
  <si>
    <t>ALI AHMADI</t>
  </si>
  <si>
    <t>IIS IZZATUL LUTHFIYAH</t>
  </si>
  <si>
    <t>BANGERAN RT 003 RW 002 DUKUN GRESIK</t>
  </si>
  <si>
    <t>6285829454955</t>
  </si>
  <si>
    <t>SAVA NUR ALFIKA</t>
  </si>
  <si>
    <t>MUFIDL</t>
  </si>
  <si>
    <t>SITI MUSLIKAH</t>
  </si>
  <si>
    <t>JL. PUTRI AYU SIDOMULYO BABAKBAWO RT 011 RW 004 DUKUN GRESIK</t>
  </si>
  <si>
    <t>6281515801313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</si>
  <si>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</si>
  <si>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SHOFIYATUL AWWALIYYAH</t>
  </si>
  <si>
    <t>ABDUL GHOFUR</t>
  </si>
  <si>
    <t>QOMARIYATUL HIDAYAH</t>
  </si>
  <si>
    <t>GAYAM PAYAMAN RT 004 RW 009 SOLOKURO LAMONGAN</t>
  </si>
  <si>
    <t>6285746894245</t>
  </si>
  <si>
    <t>SILAH KAMILAH</t>
  </si>
  <si>
    <t>ENDANG MUJIATI</t>
  </si>
  <si>
    <t>BUGOHARJO RT 003 RW 005 PUCUK LAMONGAN</t>
  </si>
  <si>
    <t>6285230611819</t>
  </si>
  <si>
    <t>SINTA ROBBATUL BARIYAH</t>
  </si>
  <si>
    <t>ISTIKLAN BUDI UTOMO</t>
  </si>
  <si>
    <t>UMI HANIK</t>
  </si>
  <si>
    <t>6285850178252</t>
  </si>
  <si>
    <t>SINTYA AYU RAMADHONI</t>
  </si>
  <si>
    <t>NURUL HUDA</t>
  </si>
  <si>
    <t>SRI RAHAYU</t>
  </si>
  <si>
    <t>SANUR JOTOSANUR RT 001 RW 004 TIKUNG LAMONGAN</t>
  </si>
  <si>
    <t>6285730288055</t>
  </si>
  <si>
    <t>SYA`BANIA ROHMA RISQIYAH WULANDARI</t>
  </si>
  <si>
    <t>ACHMAD TOHAR</t>
  </si>
  <si>
    <t>KUSNAH</t>
  </si>
  <si>
    <t>SARIREJO SUKOREJO RT 003 RW 003 LAMONGAN LAMONGAN</t>
  </si>
  <si>
    <t>6285796171854</t>
  </si>
  <si>
    <t>SYAHIDA MAULA</t>
  </si>
  <si>
    <t>SHOLIHUN</t>
  </si>
  <si>
    <t>NURUL MAHMUDAH</t>
  </si>
  <si>
    <t>6281515501631</t>
  </si>
  <si>
    <t>TRI AMALIYAH NABILA</t>
  </si>
  <si>
    <t>HERMAN</t>
  </si>
  <si>
    <t>HIDAYATUL FITRIYAH</t>
  </si>
  <si>
    <t>BANYUTENGAH RT 001 RW 001 PANCENG GRESIK</t>
  </si>
  <si>
    <t>6282132903669</t>
  </si>
  <si>
    <t>TRIAS NABILA ARCHIDEA SYARIFAH</t>
  </si>
  <si>
    <t>LAPIN</t>
  </si>
  <si>
    <t>ERRY MURNIASIH</t>
  </si>
  <si>
    <t>KEDIREN RT 004 RW 001 KALITENGAH LAMONGAN</t>
  </si>
  <si>
    <t>6285731727960</t>
  </si>
  <si>
    <t>VALENCIA MEGA DEALOVA</t>
  </si>
  <si>
    <t>SRI LASWIJI</t>
  </si>
  <si>
    <t>WINONG WANGUNREJO RT 001 RW 002 TURI LAMONGAN</t>
  </si>
  <si>
    <t>628123276159</t>
  </si>
  <si>
    <t>VANESYA OKTAVIDIA AULIA BALQIS</t>
  </si>
  <si>
    <t>MANSUR UBAIDI</t>
  </si>
  <si>
    <t>IKA VITA NUR DIANA</t>
  </si>
  <si>
    <t>LEMBOR RT 005 RW 002 BRONDONG LAMONGAN</t>
  </si>
  <si>
    <t>6285251555052</t>
  </si>
  <si>
    <t>VIYA DIWANI AUDI</t>
  </si>
  <si>
    <t>NUR SHODIQ</t>
  </si>
  <si>
    <t>MUTMA`INAH</t>
  </si>
  <si>
    <t>BABAT WETAN BABATAGUNG RT 002 RW 001 DEKET LAMONGAN</t>
  </si>
  <si>
    <t>6285730240542</t>
  </si>
  <si>
    <t>WAKHIDATUL AMELIA</t>
  </si>
  <si>
    <t>JOKO PURWANTO</t>
  </si>
  <si>
    <t>MAR`ATUS SHOLIHAH</t>
  </si>
  <si>
    <t>6285856126328</t>
  </si>
  <si>
    <t>YASMIN ELIKA RAMDANI</t>
  </si>
  <si>
    <t>LESTARI</t>
  </si>
  <si>
    <t>SITI AMANAH</t>
  </si>
  <si>
    <t>NGAYUNG RT 010 RW 003 MADURAN LAMONGAN</t>
  </si>
  <si>
    <t>6288983113464</t>
  </si>
  <si>
    <t>ZAHRA QURROTA AINI</t>
  </si>
  <si>
    <t>MOCH. NURUL HUDA</t>
  </si>
  <si>
    <t>NURROTUL ILMA</t>
  </si>
  <si>
    <t>KAUMAN TAWANGREJO RT 004 RW 003 TURI LAMONGAN</t>
  </si>
  <si>
    <t>6285711574550</t>
  </si>
  <si>
    <t>ZAHWA AULIA SYAHIRAH</t>
  </si>
  <si>
    <t>TAKOH</t>
  </si>
  <si>
    <t>NUR IZZATIN</t>
  </si>
  <si>
    <t>MENTARAS RT 012 RW 005 DUKUN GRESIK</t>
  </si>
  <si>
    <t>6281332084557</t>
  </si>
  <si>
    <t>ZAKIA AULIA RUSTIC</t>
  </si>
  <si>
    <t>AKHMAD SAIKHU</t>
  </si>
  <si>
    <t>MUALIMAH</t>
  </si>
  <si>
    <t>BONTEN BRUMBUN RT 003 RW 003 MADURAN LAMONGAN</t>
  </si>
  <si>
    <t>6285258943334</t>
  </si>
  <si>
    <t>ZAKIYATUL MAULIDIYAH</t>
  </si>
  <si>
    <t>SUPRO</t>
  </si>
  <si>
    <t>SUBAIKAH</t>
  </si>
  <si>
    <t>BESUR RT 004 RW 002 SEKARAN LAMONGAN</t>
  </si>
  <si>
    <t>6283121371276</t>
  </si>
  <si>
    <t>ZANNUBA ARIFAH HAFSHO</t>
  </si>
  <si>
    <t>M SUWARNO</t>
  </si>
  <si>
    <t>MUSTIKA SARI</t>
  </si>
  <si>
    <t>KARANGASEM KARANGSAMBIGALIH RT 003 RW 004 SUGIO LAMONGAN</t>
  </si>
  <si>
    <t>6281231204455</t>
  </si>
  <si>
    <t>ZANNUBA ARIFFAH CHOFSOH</t>
  </si>
  <si>
    <t>MOHAMMAD ZAENI</t>
  </si>
  <si>
    <t>CHOIRUL AMALIYAH</t>
  </si>
  <si>
    <t>BANTENGPUTIH RT 002 RW 002 KARANGGENENG LAMONGAN</t>
  </si>
  <si>
    <t>6282142912003</t>
  </si>
  <si>
    <t>ZETTY FITRIANI AFIDAH</t>
  </si>
  <si>
    <t>SUMARJI</t>
  </si>
  <si>
    <t>MUJAYANAH</t>
  </si>
  <si>
    <t>KEBALANPELANG RT 002 RW 003 BABAT LAMONGAN</t>
  </si>
  <si>
    <t>6285739223308</t>
  </si>
  <si>
    <t>ZULIANA HIDAYATUZZAHRAH</t>
  </si>
  <si>
    <t>SAMPURNO</t>
  </si>
  <si>
    <t>KARYA BINANGUN MADURAN RT 001 RW 002 MADURAN LAMONGAN</t>
  </si>
  <si>
    <t>6285714806167</t>
  </si>
  <si>
    <t>ZUYIN NISA AL IZZATI</t>
  </si>
  <si>
    <t>SISWANDI</t>
  </si>
  <si>
    <t>NINIK ANISA</t>
  </si>
  <si>
    <t>KOMPLEKS APO CAMAT BHAYANGKARA RT 005 RW 004 JAYAPURA UTARA JAYAPURA</t>
  </si>
  <si>
    <t>6281252554677</t>
  </si>
  <si>
    <t>ALLANA PUTRI CALYSTA</t>
  </si>
  <si>
    <t>NAIMIN HARIANTO</t>
  </si>
  <si>
    <t>MARATUS SHOLIHAH</t>
  </si>
  <si>
    <t>KARTINI RT 002 RW 004 SOLOKURO LAMONGAN</t>
  </si>
  <si>
    <t>D</t>
  </si>
  <si>
    <t>D-7</t>
  </si>
  <si>
    <t>6281230760242</t>
  </si>
  <si>
    <t>ALYA KHAIRANI MAHFUDZ</t>
  </si>
  <si>
    <t>MUKIYANTO</t>
  </si>
  <si>
    <t>RIF`ATUL AZIZAH</t>
  </si>
  <si>
    <t>SUNGELEBAK RT 007 RW 002 KARANGGENENG LAMONGAN</t>
  </si>
  <si>
    <t>D-2</t>
  </si>
  <si>
    <t>6281331482101</t>
  </si>
  <si>
    <t>ARISTA WIDYA SALSABILA</t>
  </si>
  <si>
    <t>DJUMAIN</t>
  </si>
  <si>
    <t>SITI ZAINAB</t>
  </si>
  <si>
    <t>KARANGANOM KULON KARANGANOM RT 001 RW 001 KARANGBINANGUN LAMONGAN</t>
  </si>
  <si>
    <t>D-8</t>
  </si>
  <si>
    <t>6285707536170</t>
  </si>
  <si>
    <t>AZKIYATUL MISKIYAH</t>
  </si>
  <si>
    <t>AHMAD ARIFIN</t>
  </si>
  <si>
    <t>MISDAROYAH</t>
  </si>
  <si>
    <t>GEGER RT 001 RW 003 TURI LAMONGAN</t>
  </si>
  <si>
    <t>6285731466168</t>
  </si>
  <si>
    <t>DEWI AZKIYAH RIZQI ALFIAN ULYA</t>
  </si>
  <si>
    <t>AINUL YAKIN</t>
  </si>
  <si>
    <t>ULIK MALIKATUS SOLIKAH</t>
  </si>
  <si>
    <t>SUNGELEBAK RT 016 RW 005 KARANGGENENG LAMONGAN</t>
  </si>
  <si>
    <t>6281249883082</t>
  </si>
  <si>
    <t>DZAKIRA TALITA ZAHRA</t>
  </si>
  <si>
    <t>SUWANTO</t>
  </si>
  <si>
    <t>YAYUK</t>
  </si>
  <si>
    <t>BALI PLUMPANG RT 002 RW 004 SUKODADI LAMONGAN</t>
  </si>
  <si>
    <t>6285706513453</t>
  </si>
  <si>
    <t>ELSA MARSHA ANDITA</t>
  </si>
  <si>
    <t>SURATNO</t>
  </si>
  <si>
    <t>PUTRI INDAH LESTARI</t>
  </si>
  <si>
    <t>PERUM NAJWA ASRI BLUNGKAN SENDANGREJO RT 007 RW 003 LAMONGAN LAMONGAN</t>
  </si>
  <si>
    <t>6285704642352</t>
  </si>
  <si>
    <t>FARAH ADIBAH</t>
  </si>
  <si>
    <t>AHMAD KHOLIQ</t>
  </si>
  <si>
    <t>FADILAH</t>
  </si>
  <si>
    <t>SUNGELEBAK RT 015 RW 005 KARANGGENENG LAMONGAN</t>
  </si>
  <si>
    <t>6282142187105</t>
  </si>
  <si>
    <t>HALIMATUS SA`DIYYAH</t>
  </si>
  <si>
    <t>H. MUKHLISIN</t>
  </si>
  <si>
    <t>HJ. ISTIANAH</t>
  </si>
  <si>
    <t>SUNGELEBAK RT 013 RW 004 KARANGGENENG LAMONGAN</t>
  </si>
  <si>
    <t>6281332519614</t>
  </si>
  <si>
    <t>HILDA ABIDAH ANJANI</t>
  </si>
  <si>
    <t>HANAFI</t>
  </si>
  <si>
    <t>SITI MUNAWAROH</t>
  </si>
  <si>
    <t>GOWAH POMAHANJANGGAN RT 002 RW 001 TURI LAMONGAN</t>
  </si>
  <si>
    <t>6285707652707</t>
  </si>
  <si>
    <t>KHOSIATUL NUR KARIMAH</t>
  </si>
  <si>
    <t>SAMIN</t>
  </si>
  <si>
    <t>SHOLIKHAH</t>
  </si>
  <si>
    <t>PADENGANPLOSO RT 008 RW 001 PUCUK LAMONGAN</t>
  </si>
  <si>
    <t>6285732185674</t>
  </si>
  <si>
    <t>LATHIFATUL FATIHAH ALMASYRIFAH</t>
  </si>
  <si>
    <t>AHMAD MUJIB</t>
  </si>
  <si>
    <t>ROHMATUL ARIFAH</t>
  </si>
  <si>
    <t>KH. FAQIH UTSMAN KARANGTAWAR RT 001 RW 002 LAREN LAMONGAN</t>
  </si>
  <si>
    <t>6285700800189</t>
  </si>
  <si>
    <t>LUTHFIYAH AHSANAL HURI</t>
  </si>
  <si>
    <t>MUHAMMAD AHSIN HUDA</t>
  </si>
  <si>
    <t>MU`AWANAH</t>
  </si>
  <si>
    <t>PARENGAN RT 002 RW 004 MADURAN LAMONGAN</t>
  </si>
  <si>
    <t>6285735201839</t>
  </si>
  <si>
    <t>NUR SAFIRA ALFA NIKMAH</t>
  </si>
  <si>
    <t>MUSTOHA</t>
  </si>
  <si>
    <t>DAMPIT GEMPOLTUKMLOKO RT 001 RW 001 SARIREJO LAMONGAN</t>
  </si>
  <si>
    <t>6285782663806</t>
  </si>
  <si>
    <t>NURUSSHAFIYAH RAHMANI</t>
  </si>
  <si>
    <t>WOLIANTO</t>
  </si>
  <si>
    <t>ENDANG SULISTIYOWATI</t>
  </si>
  <si>
    <t>KARANGWUNGULOR RT 001 RW 001 LAREN LAMONGAN</t>
  </si>
  <si>
    <t>6285852886928</t>
  </si>
  <si>
    <t>OKTAVIA NUR ASTI WULANDARI</t>
  </si>
  <si>
    <t>SUNARIAJI</t>
  </si>
  <si>
    <t>ASIYAH</t>
  </si>
  <si>
    <t>6285794636195</t>
  </si>
  <si>
    <t>RANA FALIHATUL FARHAH</t>
  </si>
  <si>
    <t>ROHATIN</t>
  </si>
  <si>
    <t>BANYUBANG RT 002 RW 001 SOLOKURO LAMONGAN</t>
  </si>
  <si>
    <t>6285646637564</t>
  </si>
  <si>
    <t>REZA FARAH DILLA</t>
  </si>
  <si>
    <t>MUHAMMAD SU'UDI</t>
  </si>
  <si>
    <t>PINGGIRAN SUMBERAGUNG RT 001 RW 003 SUKODADI KALITENGAH</t>
  </si>
  <si>
    <t>SMK-XI LPb</t>
  </si>
  <si>
    <t>6285856200276</t>
  </si>
  <si>
    <t>RICHANAH NADWA</t>
  </si>
  <si>
    <t>MOHAMMAD HASAN</t>
  </si>
  <si>
    <t>MUKARROMAH</t>
  </si>
  <si>
    <t>KARANGANOM KULON KARANGANOM RT 002 RW 001 KARANGBINANGUN LAMONGAN</t>
  </si>
  <si>
    <t>6281246891846</t>
  </si>
  <si>
    <t>SALWA WAFIIA ANNISA`</t>
  </si>
  <si>
    <t>HARTONO</t>
  </si>
  <si>
    <t>MAZIDATUL FAIZAH</t>
  </si>
  <si>
    <t>6285731619846</t>
  </si>
  <si>
    <t>SARIFATUL HIDAYAH</t>
  </si>
  <si>
    <t>SUPRIYADI</t>
  </si>
  <si>
    <t>MAZRO`ATUL HASANAH</t>
  </si>
  <si>
    <t>LUMBANGAN PENDOWOLIMO RT 003 RW 001 KARANGBINANGUN LAMONGAN</t>
  </si>
  <si>
    <t>6285791612961</t>
  </si>
  <si>
    <t>SELENA SHERIN MARGARET</t>
  </si>
  <si>
    <t>BAMBANG HERMANTO</t>
  </si>
  <si>
    <t>IMAYATUS SA`ADAH</t>
  </si>
  <si>
    <t>GEGER RT 003 RW 002 TURI LAMONGAN</t>
  </si>
  <si>
    <t>6285732432857</t>
  </si>
  <si>
    <t>SYAFA`ATUL INAYAH</t>
  </si>
  <si>
    <t>SHODIQIN</t>
  </si>
  <si>
    <t>AFIFAH</t>
  </si>
  <si>
    <t>GOWAH POMAHANJANGGAN RT 001 RW 001 TURI LAMONGAN</t>
  </si>
  <si>
    <t>6285759178949</t>
  </si>
  <si>
    <t>SYARIFATUL ULEM AZ ZUMY</t>
  </si>
  <si>
    <t>MATUHUM</t>
  </si>
  <si>
    <t>SITI HABIBAH</t>
  </si>
  <si>
    <t>KEPUDIWETAN KEPUDIBENER RT 001 RW 002 TURI LAMONGAN</t>
  </si>
  <si>
    <t>6281515883545</t>
  </si>
  <si>
    <t>VANESA MAURA AS SHAFANIA</t>
  </si>
  <si>
    <t>SUMARTONO</t>
  </si>
  <si>
    <t>NI'AM AL ULYA</t>
  </si>
  <si>
    <t>KARANGTAWAR RT 003 RW 001 LAREN LAMONGAN</t>
  </si>
  <si>
    <t>6285648260302</t>
  </si>
  <si>
    <t>VELANI MAKHSUFI AZZARETHA</t>
  </si>
  <si>
    <t>SHODIKIN</t>
  </si>
  <si>
    <t>YENI WIDIAWATI</t>
  </si>
  <si>
    <t>BANJARMADU RT 002 RW 002 KARANGGENENG LAMONGAN</t>
  </si>
  <si>
    <t>6285748191884</t>
  </si>
  <si>
    <t>ZUMLATIN AZFIRUH RIZFAH</t>
  </si>
  <si>
    <t>AKHMAD JAIS</t>
  </si>
  <si>
    <t>SURI`AH</t>
  </si>
  <si>
    <t>NGUJUNG NGUJUNGREJO RT 005 RW 002 TURI LAMONGAN</t>
  </si>
  <si>
    <t>6282331336664</t>
  </si>
  <si>
    <t>AFRA NAILA ARKARNA</t>
  </si>
  <si>
    <t>SUMANTRI</t>
  </si>
  <si>
    <t>ENDANG ASTUTIK</t>
  </si>
  <si>
    <t>RANDUBENER RT 007 RW 002 KEMBANGBAHU LAMONGAN</t>
  </si>
  <si>
    <t>E</t>
  </si>
  <si>
    <t>E-5</t>
  </si>
  <si>
    <t>62881026635988</t>
  </si>
  <si>
    <t>ALMIRA GHANIYAH AZ-ZAHRAH</t>
  </si>
  <si>
    <t>HADI SUPRAYITNO</t>
  </si>
  <si>
    <t>NUR LAILI</t>
  </si>
  <si>
    <t>TUMENGGUNGAN RT 003 RW 006 LAMONGAN LAMONGAN</t>
  </si>
  <si>
    <t>62895410761833</t>
  </si>
  <si>
    <t>ALVINA AGHNIYA FATMAH</t>
  </si>
  <si>
    <t>EFENDI</t>
  </si>
  <si>
    <t>NUR ELIS MUNASHOFA</t>
  </si>
  <si>
    <t>SUNAN MURIA LATUKAN RT 002 RW 001 KARANGGENENG LAMONGAN</t>
  </si>
  <si>
    <t>6285802923208</t>
  </si>
  <si>
    <t>ANISA RETNO LULUK NUR MANGGALI</t>
  </si>
  <si>
    <t>ARIPIN</t>
  </si>
  <si>
    <t>LULUK MAHFUDHOTIN</t>
  </si>
  <si>
    <t>KLITIK RT 019 RW 005 SUGIHWARAS BOJONEGORO</t>
  </si>
  <si>
    <t>E-6</t>
  </si>
  <si>
    <t>6285749892788</t>
  </si>
  <si>
    <t>ANITA RETNO LULUK NUR WAKISTASARI</t>
  </si>
  <si>
    <t>ASYIFATUR RAHMAH AL AZZA</t>
  </si>
  <si>
    <t>MARKUWAT</t>
  </si>
  <si>
    <t>KHOLIFAH</t>
  </si>
  <si>
    <t>DIBEE RT 009 RW 003 KALITENGAH LAMONGAN</t>
  </si>
  <si>
    <t>6285859446395</t>
  </si>
  <si>
    <t>AZZAHRA SAYLA RAHMAH</t>
  </si>
  <si>
    <t>MISBAKHUL KHOIR</t>
  </si>
  <si>
    <t>ZAHROTUL HASANAH</t>
  </si>
  <si>
    <t>E-4</t>
  </si>
  <si>
    <t>6285706388647</t>
  </si>
  <si>
    <t>CITRA RAMADHANIA ABDILLAH</t>
  </si>
  <si>
    <t>ABDULLAH</t>
  </si>
  <si>
    <t>WIJIANTI</t>
  </si>
  <si>
    <t>BETOYOGUCI RT 014 RW 005 MANYAR GRESIK</t>
  </si>
  <si>
    <t>6281293344944</t>
  </si>
  <si>
    <t>DEEPIKA ATHALIA PRASANTI</t>
  </si>
  <si>
    <t>SUMBER AGUNG</t>
  </si>
  <si>
    <t>KUSNATUL MARYAM</t>
  </si>
  <si>
    <t>KEDUNGMEGARIH RT 007 RW 002 KEMBANGBAHU LAMONGAN</t>
  </si>
  <si>
    <t>6281235016503</t>
  </si>
  <si>
    <t>ELVA FITRIANI FATIKHAH</t>
  </si>
  <si>
    <t>MA`RUF</t>
  </si>
  <si>
    <t>MAFTUKAH</t>
  </si>
  <si>
    <t>NGAMBEG RT 008 RW 002 PUCUK LAMONGAN</t>
  </si>
  <si>
    <t>6285755196151</t>
  </si>
  <si>
    <t>FAIZAH WAHIDATUR RAHMAH</t>
  </si>
  <si>
    <t>ARIF RAHMAN</t>
  </si>
  <si>
    <t>MAISYATUL FARIDAH</t>
  </si>
  <si>
    <t>JL. SUNAN DRAJAT NO. 87 SIDOHARJO RT 002 RW 002 LAMONGAN LAMONGAN</t>
  </si>
  <si>
    <t>6287701956767</t>
  </si>
  <si>
    <t>FAJRIYAH NIKMATUS SU`AMAN</t>
  </si>
  <si>
    <t>SUPENO</t>
  </si>
  <si>
    <t>AMANAH</t>
  </si>
  <si>
    <t>JL. SIDOREJO KEBALANDONO RT 002 RW 003 BABAT LAMONGAN</t>
  </si>
  <si>
    <t>6285792072867</t>
  </si>
  <si>
    <t>FARIZA KAHLA` NAJWA</t>
  </si>
  <si>
    <t>ACHMAD NURU DHUHA</t>
  </si>
  <si>
    <t>HERLIN FARDA HABIBA</t>
  </si>
  <si>
    <t>6281216494000</t>
  </si>
  <si>
    <t>HALWA MALEEHATUL FITRIYAH</t>
  </si>
  <si>
    <t>SUKARTO</t>
  </si>
  <si>
    <t>LAILATUL MAYA</t>
  </si>
  <si>
    <t>PETIYIN TAKERHARJO RT 001 RW 005 SOLOKURO LAMONGAN</t>
  </si>
  <si>
    <t>6281515526152</t>
  </si>
  <si>
    <t>HILWAA FARIDATUL AZIZAH</t>
  </si>
  <si>
    <t>ZAINUL FATAH</t>
  </si>
  <si>
    <t>SITI UMI MAFTUKAH</t>
  </si>
  <si>
    <t>TINARO DUKUHAGUNG RT 004 RW 004 TIKUNG LAMONGAN</t>
  </si>
  <si>
    <t>6288989765237</t>
  </si>
  <si>
    <t>INDAH AYU FERA</t>
  </si>
  <si>
    <t>MUDHOFIR</t>
  </si>
  <si>
    <t>KHOYUM MAHTUM</t>
  </si>
  <si>
    <t>KUCUR SIDOMUKTI RT 001 RW 001 LAMONGAN LAMONGAN</t>
  </si>
  <si>
    <t>6281331557560</t>
  </si>
  <si>
    <t>KAYSYAH AZIZATUS SAADA</t>
  </si>
  <si>
    <t>MOHAMAD ZAINUL ARIFIN</t>
  </si>
  <si>
    <t>SITI ZULAIKAH</t>
  </si>
  <si>
    <t>BANGKAL RT 001 RW 003 LAMONGAN LAMONGAN</t>
  </si>
  <si>
    <t>6285784282773</t>
  </si>
  <si>
    <t>KHANSA ASADEL AL KHAIBAH</t>
  </si>
  <si>
    <t>MUHAMMAD FAJRUDDIN</t>
  </si>
  <si>
    <t>FAMILA KARTIKA FITRI ANGGARANI</t>
  </si>
  <si>
    <t>6285755176962</t>
  </si>
  <si>
    <t>KHANSA ZHAFIRAH AFRAH</t>
  </si>
  <si>
    <t>ABD. MANAN</t>
  </si>
  <si>
    <t>SUMAINAH</t>
  </si>
  <si>
    <t>BANGERAN GENENG RT 001 RW 001 DUKUN GRESIK</t>
  </si>
  <si>
    <t>6281216956050</t>
  </si>
  <si>
    <t>MAULIDA ARIFAH</t>
  </si>
  <si>
    <t>ALI ARIFIN</t>
  </si>
  <si>
    <t>RIRIN ISMIATI</t>
  </si>
  <si>
    <t>BLANGIT KARANGLANGIT RT 003 RW 001 LAMONGAN LAMONGAN</t>
  </si>
  <si>
    <t>6281230750632</t>
  </si>
  <si>
    <t>NAILATUS SYIFA`UL HUSNA</t>
  </si>
  <si>
    <t>SUWARNO</t>
  </si>
  <si>
    <t>SRIATUN</t>
  </si>
  <si>
    <t>SIDOREJO PLAOSAN RT 004 RW 003 BABAT LAMONGAN</t>
  </si>
  <si>
    <t>6285257244488</t>
  </si>
  <si>
    <t>NAJWA BILQIS NAFISAH</t>
  </si>
  <si>
    <t>KURNIAWAN DWI SETYONO</t>
  </si>
  <si>
    <t>ISTICHFARIN CHASANAH</t>
  </si>
  <si>
    <t>JL. SUNAN KALIJOGO GG JAMBU MENTE SUKOREJO RT 001 RW 004 LAMONGAN LAMONGAN</t>
  </si>
  <si>
    <t>6285606769994</t>
  </si>
  <si>
    <t>NOVITA PUTRI SALSABILA</t>
  </si>
  <si>
    <t>ILHAM ZAWAWI</t>
  </si>
  <si>
    <t>NURHAYANA</t>
  </si>
  <si>
    <t>JL. CILANGKAP BARU CILANGKAP RT 004 RW 001 CIPAYUNG JAKARTA TIMUR</t>
  </si>
  <si>
    <t>6287783842404</t>
  </si>
  <si>
    <t>NURISMA ZIANA</t>
  </si>
  <si>
    <t>SUGIANTO</t>
  </si>
  <si>
    <t>MURIYATUN</t>
  </si>
  <si>
    <t>SIWALAN RT 013 RW 005 PANCENG GRESIK</t>
  </si>
  <si>
    <t>6285815643321</t>
  </si>
  <si>
    <t>RIZKA ILMA HAQQIYA</t>
  </si>
  <si>
    <t>KHOIRUL ANWAR</t>
  </si>
  <si>
    <t>LAILATUL MUKARROMAH</t>
  </si>
  <si>
    <t>NGAMBEG RT 004 RW 002 PUCUK LAMONGAN</t>
  </si>
  <si>
    <t>6285815230735</t>
  </si>
  <si>
    <t>SHOFFI NANDHA RISTASARI</t>
  </si>
  <si>
    <t>SUPARJOH</t>
  </si>
  <si>
    <t>MUSYAROH</t>
  </si>
  <si>
    <t>PETIYIN TAKERHARJO RT 002 RW 006 SOLOKURO LAMONGAN</t>
  </si>
  <si>
    <t>6285755749598</t>
  </si>
  <si>
    <t>SHOFIE AULIA AFIQAH MARSAID</t>
  </si>
  <si>
    <t>ACHMAD UMAR SAID</t>
  </si>
  <si>
    <t>MARATUS SHOLIQAH</t>
  </si>
  <si>
    <t>TENGGER TENGGEREJO RT 001 RW 002 KEDUNGPRING LAMONGAN</t>
  </si>
  <si>
    <t>6285706162506</t>
  </si>
  <si>
    <t>SINTIYA PUTRI HIDAYAH</t>
  </si>
  <si>
    <t>SITI KHALIMAH</t>
  </si>
  <si>
    <t>NGEMBET BANJARMADU RT 002 RW 007 KARANGGENENG LAMONGAN</t>
  </si>
  <si>
    <t>6281335474858</t>
  </si>
  <si>
    <t>TITIN HAMIDAH ALIFIA</t>
  </si>
  <si>
    <t>AHMAD</t>
  </si>
  <si>
    <t>SITI MAGHFIROH</t>
  </si>
  <si>
    <t>GUYANGAN KEMLAGIGEDE RT 013 RW 003 TURI LAMONGAN</t>
  </si>
  <si>
    <t>6285755628243</t>
  </si>
  <si>
    <t xml:space="preserve">  </t>
  </si>
  <si>
    <t>YOGI ROFIATUS MAULA</t>
  </si>
  <si>
    <t>MOHAMMAD MUSLIK</t>
  </si>
  <si>
    <t>PILANG GEDANGAN RT 002 RW 003 SUKODADI LAMONGAN</t>
  </si>
  <si>
    <t>6285755100370</t>
  </si>
  <si>
    <t>ZAHIRA JULIA SAIDAH</t>
  </si>
  <si>
    <t>SAKIM</t>
  </si>
  <si>
    <t>SAUDAH</t>
  </si>
  <si>
    <t>KUCUR SIDOMUKTI RT 002 RW 001 LAMONGAN LAMONGAN</t>
  </si>
  <si>
    <t>6285859402324</t>
  </si>
  <si>
    <t>AQILAH AULIYA` AL FATHONY</t>
  </si>
  <si>
    <t>WAHIB FATHONY</t>
  </si>
  <si>
    <t>MUDAWAMAH</t>
  </si>
  <si>
    <t>PALOH RT 005 RW 003 PACIRAN LAMONGAN</t>
  </si>
  <si>
    <t>6285855737597</t>
  </si>
  <si>
    <t>CAHAYA ROSANA AIRA KURNIA CANTIK</t>
  </si>
  <si>
    <t>I`IM NURYANTO</t>
  </si>
  <si>
    <t>DESI AYU WULANDARI</t>
  </si>
  <si>
    <t>LENGKONG SIDOMLANGEAN RT 001 RW 001 KEDUNGPRING LAMONGAN</t>
  </si>
  <si>
    <t>F</t>
  </si>
  <si>
    <t>F-2</t>
  </si>
  <si>
    <t>6285737577869</t>
  </si>
  <si>
    <t>MIRANTI PUSPITA DEWI</t>
  </si>
  <si>
    <t>MOH. SUTIKNO</t>
  </si>
  <si>
    <t>KUMIYATIN</t>
  </si>
  <si>
    <t>6285731324023</t>
  </si>
  <si>
    <t>NAFISAH AZ-ZAHRAH</t>
  </si>
  <si>
    <t>SUPADI</t>
  </si>
  <si>
    <t>SUMINARTI</t>
  </si>
  <si>
    <t>SETRO BLURI RT 005 RW 002 SOLOKURO LAMONGAN</t>
  </si>
  <si>
    <t>6285696949089</t>
  </si>
  <si>
    <t>NAILAH MAULIDAH ISNAH</t>
  </si>
  <si>
    <t>YUDI IRAWAN</t>
  </si>
  <si>
    <t>AMINATUR ROHMAH</t>
  </si>
  <si>
    <t>UKA 4/01 SEMEMI RT 006 RW 002 BENOWO SURABAYA</t>
  </si>
  <si>
    <t>RATIH RAHMAH YUNITA</t>
  </si>
  <si>
    <t>SIRNOTO</t>
  </si>
  <si>
    <t>LILIS RUKIYATI</t>
  </si>
  <si>
    <t>6285755004790</t>
  </si>
  <si>
    <t>SAFAWATI NURUL AFIQAH</t>
  </si>
  <si>
    <t>MU`ALIMIN</t>
  </si>
  <si>
    <t>SITI MUHAYATUN</t>
  </si>
  <si>
    <t>DAGAN RT 004 RW 002 SOLOKURO LAMONGAN</t>
  </si>
  <si>
    <t>6285731562895</t>
  </si>
  <si>
    <t>SAFINA NUR AULIA WAHIDA</t>
  </si>
  <si>
    <t>MUHAMMAD SYAIFUL MUNIR</t>
  </si>
  <si>
    <t>INARIYATI</t>
  </si>
  <si>
    <t>WONOKERTO RT 014 RW 003 DUKUN GRESIK</t>
  </si>
  <si>
    <t>6281329978580</t>
  </si>
  <si>
    <t>SALWA WARDATUL MISKIYAH</t>
  </si>
  <si>
    <t>H. MASHARI</t>
  </si>
  <si>
    <t>HJ. MUCHOLIFAH</t>
  </si>
  <si>
    <t>6285732833427</t>
  </si>
  <si>
    <t>TIFLAH HANIFAH ARSITA</t>
  </si>
  <si>
    <t>SUBANDI</t>
  </si>
  <si>
    <t>ARLIYAH</t>
  </si>
  <si>
    <t>PRIJEK PRIJEKNGABLAG RT 003 RW 001 KARANGGENENG LAMONGAN</t>
  </si>
  <si>
    <t>6281316684664</t>
  </si>
  <si>
    <t>WULAN FIRNANDA</t>
  </si>
  <si>
    <t>SUUD</t>
  </si>
  <si>
    <t>ASRIYAH</t>
  </si>
  <si>
    <t>BULANGAN RT 006 RW 002 DUKUN GRESIK</t>
  </si>
  <si>
    <t>601160807199</t>
  </si>
  <si>
    <t xml:space="preserve">              </t>
  </si>
  <si>
    <t>XENA AMEERA AZZAHRAH</t>
  </si>
  <si>
    <t>MARSUDI</t>
  </si>
  <si>
    <t>NUR AZIZAH</t>
  </si>
  <si>
    <t>KALANGANYAR RT 002 RW 001 KARANGGENENG LAMONGAN</t>
  </si>
  <si>
    <t>6281554218940</t>
  </si>
  <si>
    <t>FRIKA AURORA NOVANI</t>
  </si>
  <si>
    <t>SUTIKNO</t>
  </si>
  <si>
    <t>HANNY MUSTIKA</t>
  </si>
  <si>
    <t>BALUN RT 003 RW 001 TURI LAMONGAN</t>
  </si>
  <si>
    <t>6285855666978</t>
  </si>
  <si>
    <t>SHOHIFAH</t>
  </si>
  <si>
    <t>MUDLOFIR</t>
  </si>
  <si>
    <t>ZAIDAH</t>
  </si>
  <si>
    <t>POMAHANJANGGAN RT 007 RW 003 TURI LAMONGAN</t>
  </si>
  <si>
    <t>628139398016</t>
  </si>
  <si>
    <t>MOHAMMAD NAWANG NABIL AL FARISYI</t>
  </si>
  <si>
    <t>ROFIIL ISLAMIYAH</t>
  </si>
  <si>
    <t>USWATUN HASANAH</t>
  </si>
  <si>
    <t>JL. RAYA SENTANI WAENA RT 002 RW 005 HERAM JAYAPURA</t>
  </si>
  <si>
    <t>6281248060403</t>
  </si>
  <si>
    <t>MUHAMMAD FAIZUL FAWWAZ</t>
  </si>
  <si>
    <t>HARIYANTO</t>
  </si>
  <si>
    <t>PANCASENO ANASWORO</t>
  </si>
  <si>
    <t>SUKOANYAR SIDOMUKTI RT 005 RW 002 KEMBANGBAHU LAMONGAN</t>
  </si>
  <si>
    <t>6282245048774</t>
  </si>
  <si>
    <t>JALALUDDIN MUHAMMAD AKBAR</t>
  </si>
  <si>
    <t>SUNARTO</t>
  </si>
  <si>
    <t>ELLI ISMAWATI</t>
  </si>
  <si>
    <t>MEGARIH KEDUNGMEGARIH RT 007 RW 002 KEMBANGBAHU LAMONGAN</t>
  </si>
  <si>
    <t>6285707911232</t>
  </si>
  <si>
    <t>MUHAMMAD `AAQIL SIROJUL MUNIR</t>
  </si>
  <si>
    <t>IMAM SYA`RONI</t>
  </si>
  <si>
    <t>PUJI ASIYAH</t>
  </si>
  <si>
    <t>KALANGANYAR RT 005 RW 001 KARANGGENENG LAMONGAN</t>
  </si>
  <si>
    <t>6285730289577</t>
  </si>
  <si>
    <t>MUHAMMAD AINUR DZIKRY</t>
  </si>
  <si>
    <t>SUJONO</t>
  </si>
  <si>
    <t>NIKMATUS SOLIKHA</t>
  </si>
  <si>
    <t>PENGANGSALAN RT 003 RW 003 KALITENGAH LAMONGAN</t>
  </si>
  <si>
    <t>6285648107918</t>
  </si>
  <si>
    <t>NABIL ZAKWAN ALZENA</t>
  </si>
  <si>
    <t>SUPRAPTO</t>
  </si>
  <si>
    <t>ZUMROTUS SHOLIHAH</t>
  </si>
  <si>
    <t>NGAYUNG RT 008 RW 001 MADURAN LAMONGAN</t>
  </si>
  <si>
    <t>6285785323818</t>
  </si>
  <si>
    <t>EMILDA KRISTIANA DWI RAMADHANI</t>
  </si>
  <si>
    <t>MUNTARI</t>
  </si>
  <si>
    <t>ASMAIYA</t>
  </si>
  <si>
    <t>TURI RT 011 RW 001 TURI LAMONGAN</t>
  </si>
  <si>
    <t>6281239188019</t>
  </si>
  <si>
    <t>ZAHROTUS SHOFA SYAWALIYAH</t>
  </si>
  <si>
    <t>NUR SA`IDAH</t>
  </si>
  <si>
    <t>KEMLAGIGEDE RT 001 RW 001 TURI LAMONGAN</t>
  </si>
  <si>
    <t>6281357323465</t>
  </si>
  <si>
    <t>WASILATUL HUSNA ABIDAH AL BANAN</t>
  </si>
  <si>
    <t>TSABIT AL BANAN</t>
  </si>
  <si>
    <t>HIDAYATUL ABIDAH</t>
  </si>
  <si>
    <t>JANGGAN POMAHAN JANGGAN RT 007 RW 003 TURI LAMONGAN</t>
  </si>
  <si>
    <t>6285655438946</t>
  </si>
  <si>
    <t>MELI NOVITA SARI</t>
  </si>
  <si>
    <t>ALI MASRUKIN</t>
  </si>
  <si>
    <t>KUSNIFATUN</t>
  </si>
  <si>
    <t>6281248264920</t>
  </si>
  <si>
    <t>MUTIARA A`IZZANA LUBIS</t>
  </si>
  <si>
    <t>LUBIS</t>
  </si>
  <si>
    <t>DIMAS NUR JANNAH</t>
  </si>
  <si>
    <t>TELUK SUNGAI TELUK RT 000 RW 000 SANGKAPURA GRESIK</t>
  </si>
  <si>
    <t>6282139709144</t>
  </si>
  <si>
    <t>ARINI DINA AKMALIYAH</t>
  </si>
  <si>
    <t>KASDI</t>
  </si>
  <si>
    <t>NUR `AINIYAH</t>
  </si>
  <si>
    <t>KEMLAGIGEDE RT 010 RW 002 TURI LAMONGAN</t>
  </si>
  <si>
    <t>6285730465502</t>
  </si>
  <si>
    <t>NAJWA HANUM PUTRI MAHMUDA</t>
  </si>
  <si>
    <t>MAHMUD</t>
  </si>
  <si>
    <t>SUKARYA NINGSIH</t>
  </si>
  <si>
    <t>JATISARI JATIRENGGO RT 003 RW 001 GLAGAH LAMONGAN</t>
  </si>
  <si>
    <t>6285748610167</t>
  </si>
  <si>
    <t>CITRA MULYA SARI</t>
  </si>
  <si>
    <t>MULYADI</t>
  </si>
  <si>
    <t>SRI WAHYUNINGSIH</t>
  </si>
  <si>
    <t>BADU WANAR RT 002 RW 007 PUCUK LAMONGAN</t>
  </si>
  <si>
    <t>6289604401834</t>
  </si>
  <si>
    <t>DENIS BALQIS IZZA ROHMANI</t>
  </si>
  <si>
    <t>DENI FATHUR ROHMAN</t>
  </si>
  <si>
    <t>WAHYUNIS SHILKHA</t>
  </si>
  <si>
    <t>KEMUDI RT 001 RW 001 DUDUKSAMPEAYAN GRESIK</t>
  </si>
  <si>
    <t>6281235618573</t>
  </si>
  <si>
    <t>WINDA FAKHIRAH APRILIA</t>
  </si>
  <si>
    <t>SLAMET WIDOWO</t>
  </si>
  <si>
    <t>HANIATUL LUTFIAH</t>
  </si>
  <si>
    <t>62895635136011</t>
  </si>
  <si>
    <t>AURA HANNA ZILFAH DLOFWATUL `AISY</t>
  </si>
  <si>
    <t>SUCI NASROTUL UMMAH</t>
  </si>
  <si>
    <t>PANGEAN RT 006 RW 002 MADURAN LAMONGAN</t>
  </si>
  <si>
    <t>6282141276033</t>
  </si>
  <si>
    <t>RIA RESTY TRI UTAMI</t>
  </si>
  <si>
    <t>MUSTAKIM</t>
  </si>
  <si>
    <t>SUBAIAH</t>
  </si>
  <si>
    <t>KARANGBOYO RT 010 RW 004 KARANGWEDORO TURI LAMONGAN</t>
  </si>
  <si>
    <t>6285815946929</t>
  </si>
  <si>
    <t>NURUL AZMY</t>
  </si>
  <si>
    <t>MUCHLISIN</t>
  </si>
  <si>
    <t>NUNUK UMA`IYAH</t>
  </si>
  <si>
    <t>6285607273151</t>
  </si>
  <si>
    <t>INTAN PUTRI CAHYANI</t>
  </si>
  <si>
    <t>SUMARNO</t>
  </si>
  <si>
    <t>TRISNA WATI</t>
  </si>
  <si>
    <t>NGASINAN KEPATIHAN RT 002 RW 007 MENGANTI GRESIK</t>
  </si>
  <si>
    <t>62882010266512</t>
  </si>
  <si>
    <t>ZAIMAH LULU AZKIYAH</t>
  </si>
  <si>
    <t>FATAHUL HUDA</t>
  </si>
  <si>
    <t>AISOFATUL HABIBAH</t>
  </si>
  <si>
    <t>GOWAH POMAHANJANGGAN RT 003 RW 001 TURI LAMONGAN</t>
  </si>
  <si>
    <t>6285812457269</t>
  </si>
  <si>
    <t>AJENG `AINUS SHOFIA</t>
  </si>
  <si>
    <t>KHOIRUL HUDA</t>
  </si>
  <si>
    <t>TUTUS YUVANA</t>
  </si>
  <si>
    <t>GUMINING GUMININGREJO RT 003 RW 001 TIKUNG LAMONGAN</t>
  </si>
  <si>
    <t>62816216569</t>
  </si>
  <si>
    <t>NI`MATUL JANNAH</t>
  </si>
  <si>
    <t>IMAM FAUZI</t>
  </si>
  <si>
    <t>YUSROTIN</t>
  </si>
  <si>
    <t>GEDONGKEDOAN RT 002 RW 001 DUKUN GRESIK</t>
  </si>
  <si>
    <t>6285606014252</t>
  </si>
  <si>
    <t>ALILATUL BARIZA</t>
  </si>
  <si>
    <t>MUSYAFI`IN</t>
  </si>
  <si>
    <t>UMI BAROROH</t>
  </si>
  <si>
    <t>CUMPLENG BRENGKOK RT 001 RW 012 BRONDONG LAMONGAN</t>
  </si>
  <si>
    <t>C-1</t>
  </si>
  <si>
    <t>6285731864758</t>
  </si>
  <si>
    <t>NAJWA DURROTUS TSANIA</t>
  </si>
  <si>
    <t>SUDARSONO</t>
  </si>
  <si>
    <t>MUJAIYAH</t>
  </si>
  <si>
    <t>6285546050558</t>
  </si>
  <si>
    <t>MUHAMMAD JEFFRY JUNAIDI</t>
  </si>
  <si>
    <t>KHOIRUL JUNAIDI</t>
  </si>
  <si>
    <t>MASRO ERNAWATI</t>
  </si>
  <si>
    <t>JL. PANGLIMA SUDIRMAN 33 RT 003 RW 004 SIDOKUMPUL LAMONGAN</t>
  </si>
  <si>
    <t>6285880120002</t>
  </si>
  <si>
    <t>HURIN INHAYATUS SHOLIHAH</t>
  </si>
  <si>
    <t>SHOLIHUL AMIN</t>
  </si>
  <si>
    <t>UMU FAROHAH</t>
  </si>
  <si>
    <t>6285856480046</t>
  </si>
  <si>
    <t>JAZILATUN NURUN NABILA</t>
  </si>
  <si>
    <t>MUKHAMAD GUNAWAN</t>
  </si>
  <si>
    <t>NINIM LATHIFAH</t>
  </si>
  <si>
    <t>BESUR RT 005 RW 002 SEKARAN LAMONGAN</t>
  </si>
  <si>
    <t>6285746584003</t>
  </si>
  <si>
    <t>REVALINA AZZAHRA</t>
  </si>
  <si>
    <t>HONEST MAHFUDZOH</t>
  </si>
  <si>
    <t>AHMAD AZKA ALFIKRI</t>
  </si>
  <si>
    <t>AGUS DIDIK ERMANU</t>
  </si>
  <si>
    <t>MASRUAH</t>
  </si>
  <si>
    <t>LASEM RT 001 RW 001 SIDAYU GRESIK</t>
  </si>
  <si>
    <t>MTS-9 E</t>
  </si>
  <si>
    <t>A-7</t>
  </si>
  <si>
    <t>3 ULA B PUTRA</t>
  </si>
  <si>
    <t>6285645389910</t>
  </si>
  <si>
    <t>AHMAD BAHRUL FITRONI</t>
  </si>
  <si>
    <t>ILYAS</t>
  </si>
  <si>
    <t>SRI MULYATI</t>
  </si>
  <si>
    <t>KEBET RT 005 RW 001 LAMONGAN LAMONGAN</t>
  </si>
  <si>
    <t>A-8</t>
  </si>
  <si>
    <t>6285812677937</t>
  </si>
  <si>
    <t>AHMAD BAKER ADLAN</t>
  </si>
  <si>
    <t>EKO MIFTAHUL ANAM</t>
  </si>
  <si>
    <t>NOVRI YANTI</t>
  </si>
  <si>
    <t>DAGAN RT 003 RW 003 SOLOKURO LAMONGAN</t>
  </si>
  <si>
    <t>MTS-9 B</t>
  </si>
  <si>
    <t>3 ULA A PUTRA</t>
  </si>
  <si>
    <t>6285765987279</t>
  </si>
  <si>
    <t>AHMAD HAFIDZ RIZKI AL ZAMZAMI</t>
  </si>
  <si>
    <t>SITI ZUMAROH</t>
  </si>
  <si>
    <t>6285759930572</t>
  </si>
  <si>
    <t>AHMAD MUZAKKI</t>
  </si>
  <si>
    <t>MOCH. SAIFUL</t>
  </si>
  <si>
    <t>FITRIATUN NADHIROH</t>
  </si>
  <si>
    <t>JUBAK NGUWOK RT 014 RW 006 MODO LAMONGAN</t>
  </si>
  <si>
    <t>6285230826998</t>
  </si>
  <si>
    <t>AHMAD SUSETO ANGGA SUKMA</t>
  </si>
  <si>
    <t>SLAMET RATMINTO</t>
  </si>
  <si>
    <t>MUSYAFAAH</t>
  </si>
  <si>
    <t>WEDENG SUKOREJO RT 001 RW 003 KARANGBINANGUN LAMONGAN</t>
  </si>
  <si>
    <t>6281330117049</t>
  </si>
  <si>
    <t>ALFIYAN NADA FIRDAUS</t>
  </si>
  <si>
    <t>SUTOMO</t>
  </si>
  <si>
    <t>KHUSNIYAH</t>
  </si>
  <si>
    <t>BANGO PAYAMAN RT 004 RW 015 SOLOKURO LAMONGAN</t>
  </si>
  <si>
    <t>MTS-9 A</t>
  </si>
  <si>
    <t/>
  </si>
  <si>
    <t>6285733111734</t>
  </si>
  <si>
    <t>ALMAIR FADHIL ABID ALHAQ</t>
  </si>
  <si>
    <t>MOHAMAD KHOLIS LUTFI</t>
  </si>
  <si>
    <t>IIN UMAYYAH</t>
  </si>
  <si>
    <t>JL. PENDIDIKAN 20 B RT 001 RW 005 BABAT LAMONGAN</t>
  </si>
  <si>
    <t>MTS-9 C</t>
  </si>
  <si>
    <t>6285230844686</t>
  </si>
  <si>
    <t>ANDIKA CAHYO BUDI LAKSONO</t>
  </si>
  <si>
    <t>KARIMAN</t>
  </si>
  <si>
    <t>KEMLAGIGEDE RT 007 RW 002 TURI LAMONGAN</t>
  </si>
  <si>
    <t>MTS-9 F</t>
  </si>
  <si>
    <t>628579002358</t>
  </si>
  <si>
    <t>ARVEL ALIF SYAIFULLAH</t>
  </si>
  <si>
    <t>AMRI</t>
  </si>
  <si>
    <t>DEWI IRMAWATI</t>
  </si>
  <si>
    <t>DUKUH GEMPOL PENDOWO RT 004 RW 002 GLAGAH LAMONGAN</t>
  </si>
  <si>
    <t>6282139016910</t>
  </si>
  <si>
    <t>AZZA IBNU ARJUN</t>
  </si>
  <si>
    <t>EDI SUCIPTO</t>
  </si>
  <si>
    <t>IKA NUR KHOLIFAH</t>
  </si>
  <si>
    <t>MALINAU HULU RT 009 RW 000 MALINAU KOTA MALINAU</t>
  </si>
  <si>
    <t>SMP-IX A</t>
  </si>
  <si>
    <t>6282234721856</t>
  </si>
  <si>
    <t>AZZAM ABDILLAH SAPTA</t>
  </si>
  <si>
    <t>CHOIRUL ZANIB</t>
  </si>
  <si>
    <t>MUIYATI</t>
  </si>
  <si>
    <t>NGAYUNG RT 005 RW 002 MADURAN LAMONGAN</t>
  </si>
  <si>
    <t>MTS-9 D</t>
  </si>
  <si>
    <t>6282143068892</t>
  </si>
  <si>
    <t>BAGAS KHOIRUL AZAM</t>
  </si>
  <si>
    <t>SUBAKIR</t>
  </si>
  <si>
    <t>SUKANI</t>
  </si>
  <si>
    <t>WONOSARI MULYO 5/37 WONOKUSUMO RT 017 RW 007 SEMAMPIR SURABAYA</t>
  </si>
  <si>
    <t>6285738565150</t>
  </si>
  <si>
    <t>BENY OCKTA</t>
  </si>
  <si>
    <t>CECEP FIRDAUS</t>
  </si>
  <si>
    <t>SUSANTI</t>
  </si>
  <si>
    <t>6285252386649</t>
  </si>
  <si>
    <t>BINTANG FARSYA HUSBANA</t>
  </si>
  <si>
    <t>YOYOK</t>
  </si>
  <si>
    <t>SITI MUNFARIDA</t>
  </si>
  <si>
    <t>SEREN JATIPANDAK RT 007 RW 003 SAMBENG LAMONGAN</t>
  </si>
  <si>
    <t>6285851833747</t>
  </si>
  <si>
    <t>DIMAS ALFIAN SAPUTRA</t>
  </si>
  <si>
    <t>MOH. MUFID</t>
  </si>
  <si>
    <t>MAHZUMAH</t>
  </si>
  <si>
    <t>WEDENG SUKOREJO RT 001 RW 002 KARANGBINANGUN LAMONGAN</t>
  </si>
  <si>
    <t>6285855732030</t>
  </si>
  <si>
    <t>DIMAS PRATAMA ARIYANTO</t>
  </si>
  <si>
    <t>AHMAD RIANTO</t>
  </si>
  <si>
    <t>YAYUK ERNAWATI</t>
  </si>
  <si>
    <t>SUKOWATI SUKOSONGO RT 017 RW 008 KEMBANGBAHU LAMONGAN</t>
  </si>
  <si>
    <t>6281515026997</t>
  </si>
  <si>
    <t>DZAKIR ZAMAHSARI EL GHIFARI ZEIN</t>
  </si>
  <si>
    <t>ZAINURI</t>
  </si>
  <si>
    <t>SITI ZUBAIDAH</t>
  </si>
  <si>
    <t>JL. MESDJID NO. 4 CIPULIR RT 011 RW 001 KEBAYORAN LAMA JAKARTA SELATAN</t>
  </si>
  <si>
    <t>6281779129473</t>
  </si>
  <si>
    <t>EZZAR RADITYA PUTRA RAMADHAN</t>
  </si>
  <si>
    <t>SLAMET RIFA`I</t>
  </si>
  <si>
    <t>NUR AINI</t>
  </si>
  <si>
    <t>PUCANGRO RT 002 RW 001 KALITENGAH LAMONGAN</t>
  </si>
  <si>
    <t>6285707124359</t>
  </si>
  <si>
    <t>FAIRUZZABADI WAHYU MAHFUL</t>
  </si>
  <si>
    <t>KUSWADIYANTO</t>
  </si>
  <si>
    <t>TRI UTAMI</t>
  </si>
  <si>
    <t>PAJANGAN RT 001 RW 002 SUKODADI LAMONGAN</t>
  </si>
  <si>
    <t>6285730482785</t>
  </si>
  <si>
    <t>FAQUR ROZIQ MAULUDI</t>
  </si>
  <si>
    <t>MIADI</t>
  </si>
  <si>
    <t>LASIANAH</t>
  </si>
  <si>
    <t>GANGIN JELAKCATUR RT 004 RW 003 KALITENGAH LAMONGAN</t>
  </si>
  <si>
    <t>6285871052078</t>
  </si>
  <si>
    <t>FATIR APRILIANT SYAH</t>
  </si>
  <si>
    <t>THOHA FADLI</t>
  </si>
  <si>
    <t>SUGIATI</t>
  </si>
  <si>
    <t>6285853949817</t>
  </si>
  <si>
    <t>GALANG SAPUTRA</t>
  </si>
  <si>
    <t>WARTO</t>
  </si>
  <si>
    <t>SULIYATI</t>
  </si>
  <si>
    <t>DORO KARANGWEDORO RT 009 RW 003 TURI LAMONGAN</t>
  </si>
  <si>
    <t>6285756513128</t>
  </si>
  <si>
    <t>HAFIDZ ALFITO ZAEIN</t>
  </si>
  <si>
    <t>MOKHAMAD ZAINUL ARIFIN, S.AG</t>
  </si>
  <si>
    <t>TAYEM</t>
  </si>
  <si>
    <t>JELAKCATUR RT 001 RW 004 KALITENGAH LAMONGAN</t>
  </si>
  <si>
    <t>628130372202</t>
  </si>
  <si>
    <t>HAMDAN ALIEF</t>
  </si>
  <si>
    <t>SHOLICHIN</t>
  </si>
  <si>
    <t>NUR AMALAH</t>
  </si>
  <si>
    <t>SEMOLOWARU UTARA 1/31 RT 005 RW 001 SUKOLILO SURABAYA</t>
  </si>
  <si>
    <t>6281216694589</t>
  </si>
  <si>
    <t>ILHAM AWALUDDIN RIJALUL BARPI</t>
  </si>
  <si>
    <t>SYIDRI BARPI</t>
  </si>
  <si>
    <t>ROKHMAWATI</t>
  </si>
  <si>
    <t>DEKETWETAN RT 001 RW 005 DEKET LAMONGAN</t>
  </si>
  <si>
    <t>6285748111696</t>
  </si>
  <si>
    <t>KAFA MUZAMIL BILHAQ</t>
  </si>
  <si>
    <t>MUHENDRO</t>
  </si>
  <si>
    <t>SITI FATIMAH</t>
  </si>
  <si>
    <t>MOJORANU RT 002 RW 005 TIKUNG LAMONGAN</t>
  </si>
  <si>
    <t>6285815585925</t>
  </si>
  <si>
    <t>KHARIS DWI FIRMANA</t>
  </si>
  <si>
    <t>SUMALI</t>
  </si>
  <si>
    <t>6285777721366</t>
  </si>
  <si>
    <t>LABIB AZAM</t>
  </si>
  <si>
    <t>NASIR EFENDI</t>
  </si>
  <si>
    <t>EVA YUNIARTI</t>
  </si>
  <si>
    <t>TENGGER RAYA 1 KANDANGAN RT 007 RW 002 BENOWO SURABAYA</t>
  </si>
  <si>
    <t>SMP-IX B</t>
  </si>
  <si>
    <t>6282333086607</t>
  </si>
  <si>
    <t>M. FAHRY SATRIA KURNIAWAN</t>
  </si>
  <si>
    <t>DWI DIDIK KURNIAWAN</t>
  </si>
  <si>
    <t>IVA WAHYU NINGSIH</t>
  </si>
  <si>
    <t>SUGIHWARAS RT 002 RW 001 DEKET LAMONGAN</t>
  </si>
  <si>
    <t>6282143497363</t>
  </si>
  <si>
    <t>M. FARID ALI MUSLIMIN</t>
  </si>
  <si>
    <t>SOLIKIN</t>
  </si>
  <si>
    <t>SUPARTI</t>
  </si>
  <si>
    <t>BULAKWATU BANJAREJO RT 003 RW 003 SUKODADI LAMONGAN</t>
  </si>
  <si>
    <t>6285731459363</t>
  </si>
  <si>
    <t>M. JA`FAR SHODIQ FIRMANSYAH</t>
  </si>
  <si>
    <t>DENY KURNIAWAN</t>
  </si>
  <si>
    <t>ULFATIN KHOFSAH</t>
  </si>
  <si>
    <t>SEMBUNG RT 005 RW 002 PERAK JOMBANG</t>
  </si>
  <si>
    <t>6285646766057</t>
  </si>
  <si>
    <t>M. RADIFQI ALFARISTY</t>
  </si>
  <si>
    <t>GANDUNG RISANTONO</t>
  </si>
  <si>
    <t>KUSNAWATI</t>
  </si>
  <si>
    <t>DORO KARANGWEDORO RT 001 RW 001 TURI LAMONGAN</t>
  </si>
  <si>
    <t>SMP-IX C</t>
  </si>
  <si>
    <t>6285649740556</t>
  </si>
  <si>
    <t>M. SYAHRUL BAHRI ALSYAFIK</t>
  </si>
  <si>
    <t>SU`AIDI</t>
  </si>
  <si>
    <t>ETIK NUR KUMALA</t>
  </si>
  <si>
    <t>PENDOWO LIMO RT 001 RW 003 KARANGBINANGUN LAMONGAN</t>
  </si>
  <si>
    <t>6285704248674</t>
  </si>
  <si>
    <t>MIRZA ATHA HIBATULLAH</t>
  </si>
  <si>
    <t>ABU KHOIR, S.SOS.I</t>
  </si>
  <si>
    <t>HARWATI, S,SOS I</t>
  </si>
  <si>
    <t>6285731205500</t>
  </si>
  <si>
    <t>MOCH SLAMET JULIANTO</t>
  </si>
  <si>
    <t>SUYOTO</t>
  </si>
  <si>
    <t>SRI ULFIATI</t>
  </si>
  <si>
    <t>SAWAH 2-A PEGIRIAN RT 009 RW 002 SEMAMPIR SURABAYA</t>
  </si>
  <si>
    <t>6285851745443</t>
  </si>
  <si>
    <t>MOCH. RAYYAN ZIDNY IRHAMNI</t>
  </si>
  <si>
    <t>ERFANIYANTO</t>
  </si>
  <si>
    <t>ERNAWATI</t>
  </si>
  <si>
    <t>WONOKERTO RT 015 RW 003 DUKUN GRESIK</t>
  </si>
  <si>
    <t>6285708249869</t>
  </si>
  <si>
    <t>MOCHAMMAD AL FATIH ABRISAM KURNIAWAN</t>
  </si>
  <si>
    <t>BAKHTIAR DENI KURNIAWAN</t>
  </si>
  <si>
    <t>WIWIT INDRAYATI</t>
  </si>
  <si>
    <t>SUKOANYAR SIDOMUKTI RT 006 RW 002 KEMBANGBAHU LAMONGAN</t>
  </si>
  <si>
    <t>6281553088645</t>
  </si>
  <si>
    <t>MOCHAMMAD NEIZTAHUL HUDA</t>
  </si>
  <si>
    <t>MUHAMMAD BANDI</t>
  </si>
  <si>
    <t>RIYAYUK</t>
  </si>
  <si>
    <t>NGAYUNG RT 007 RW 002 MADURAN LAMONGAN</t>
  </si>
  <si>
    <t>6282237520701</t>
  </si>
  <si>
    <t>MOH. FAKHRI ARVIANSYAH</t>
  </si>
  <si>
    <t>MOH ASARI</t>
  </si>
  <si>
    <t>SUFINAH DWI ROKHMAH</t>
  </si>
  <si>
    <t>KARANGTAPEN KARANGLANGIT RT 002 RW 004 LAMONGAN LAMONGAN</t>
  </si>
  <si>
    <t>6285732561338</t>
  </si>
  <si>
    <t>MOH. VERRY HILMI MUBAROK</t>
  </si>
  <si>
    <t>MAHRUS ALI</t>
  </si>
  <si>
    <t>NUR UMIYATI</t>
  </si>
  <si>
    <t>JL. GUNUNG BATU NO. 102 SUKARAJA RT 007 RW 002 CICENDO BANDUNG</t>
  </si>
  <si>
    <t>6281221567120</t>
  </si>
  <si>
    <t>MOHAMAD ARZAQ DWI SAPUTRA</t>
  </si>
  <si>
    <t>HUSNUL MUKHOTIB</t>
  </si>
  <si>
    <t>UMMU ZAHROTIN</t>
  </si>
  <si>
    <t>TRACAL RT 003 RW 003 KARANGGENENG LAMONGAN</t>
  </si>
  <si>
    <t>6287794604684</t>
  </si>
  <si>
    <t>MOHAMAD NOVAL JALALUDIN</t>
  </si>
  <si>
    <t>MUCHAMAD ZAINUDIN</t>
  </si>
  <si>
    <t>NURUL LAILI</t>
  </si>
  <si>
    <t>6281237377978</t>
  </si>
  <si>
    <t>MUHAMMAD ALAM FIRMANSYAH</t>
  </si>
  <si>
    <t>AHMAD KHOIRUL ANAM</t>
  </si>
  <si>
    <t>MUFA ROKAH</t>
  </si>
  <si>
    <t>KAMAL RT 004 RW 000 KAIRATU BARAT SERAM BAGIAN BARAT</t>
  </si>
  <si>
    <t>6282199817002</t>
  </si>
  <si>
    <t>MUHAMMAD ALFIN JAMIL</t>
  </si>
  <si>
    <t>MOH. KHOLIP</t>
  </si>
  <si>
    <t>DAROAINI</t>
  </si>
  <si>
    <t>PRINGGOBOYO RT 009 RW 001 MADURAN LAMONGAN</t>
  </si>
  <si>
    <t>6281230455748</t>
  </si>
  <si>
    <t>MUHAMMAD BINTANG MAULANA</t>
  </si>
  <si>
    <t>AHMAD HUMAIDI</t>
  </si>
  <si>
    <t>DEVININGTYAS</t>
  </si>
  <si>
    <t>DADAPAN RT 003 RW 001 SOLOKURO LAMONGAN</t>
  </si>
  <si>
    <t>6285745898936</t>
  </si>
  <si>
    <t>MUHAMMAD DEDY FIRMANSYAH</t>
  </si>
  <si>
    <t>ANDY SUMARSONO</t>
  </si>
  <si>
    <t>SITI FILIZAH</t>
  </si>
  <si>
    <t>BLANGIT KARANGLANGIT RT 002 RW 002 LAMONGAN LAMONGAN</t>
  </si>
  <si>
    <t>6285425525123</t>
  </si>
  <si>
    <t>MUHAMMAD EZA AL`IMRON</t>
  </si>
  <si>
    <t>ZAINUR ROHMAN</t>
  </si>
  <si>
    <t>MAESAROH</t>
  </si>
  <si>
    <t>KEMLAGIGEDE RT 012 RW 002 TURI LAMONGAN</t>
  </si>
  <si>
    <t>6285755534326</t>
  </si>
  <si>
    <t>MUHAMMAD FADLY HANANIA RABBANI</t>
  </si>
  <si>
    <t>HADI SUSANTO</t>
  </si>
  <si>
    <t>FITRI JULIANA</t>
  </si>
  <si>
    <t>PERUM GRAND GRESIK HARMONI BLOK B-6/9 KEMBANGAN RT 001 RW 003 KEBOMAS GRESIK</t>
  </si>
  <si>
    <t>6289533798465</t>
  </si>
  <si>
    <t>MUHAMMAD HAIKAL JAMALUDDIN RUMMY</t>
  </si>
  <si>
    <t>MAQRUS ZAINUL</t>
  </si>
  <si>
    <t>YENNY FIRDIANING TYAS</t>
  </si>
  <si>
    <t>WARU KULON RT 002 RW 005 PUCUK LAMONGAN</t>
  </si>
  <si>
    <t>6285536895754</t>
  </si>
  <si>
    <t>MUHAMMAD HAKIKI CHANDRA</t>
  </si>
  <si>
    <t>AGUS CAHYONO</t>
  </si>
  <si>
    <t>UMU SALAMAH</t>
  </si>
  <si>
    <t>WANGUN BARAT RT 003 RW 002 PALANG TUBAN</t>
  </si>
  <si>
    <t>6282261176617</t>
  </si>
  <si>
    <t>MUHAMMAD HANIF AFIYAN</t>
  </si>
  <si>
    <t>FARIDATUZ ZUHRIYAH</t>
  </si>
  <si>
    <t>RINGIN TLOGOREJO RT 002 RW 002 SUKODADI LAMONGAN</t>
  </si>
  <si>
    <t>6285748905402</t>
  </si>
  <si>
    <t>MUHAMMAD IBRA HAJAR FARUQI</t>
  </si>
  <si>
    <t>SUBKHI</t>
  </si>
  <si>
    <t>SARPIYATUN</t>
  </si>
  <si>
    <t>628574573760</t>
  </si>
  <si>
    <t>MUHAMMAD IQBAL MAULANA PUTRA</t>
  </si>
  <si>
    <t>NIA MUSTIANA</t>
  </si>
  <si>
    <t>SUKLEN KETAPANGTELU RT 001 RW 004 KARANGBINANGUN LAMONGAN</t>
  </si>
  <si>
    <t>6285648971511</t>
  </si>
  <si>
    <t>MUHAMMAD RAFA AL KAUTSAR</t>
  </si>
  <si>
    <t>MUHAMMAD RIFA`I</t>
  </si>
  <si>
    <t>SHOIFAH</t>
  </si>
  <si>
    <t>BANJARANYAR BANJARWATI RT 002 RW 002 PACIRAN LAMONGAN</t>
  </si>
  <si>
    <t>6285859853448</t>
  </si>
  <si>
    <t>MUHAMMAD RAFI TAMAM</t>
  </si>
  <si>
    <t>SULTONU</t>
  </si>
  <si>
    <t>MAHFUDLOTIN</t>
  </si>
  <si>
    <t>DADAPAN RT 002 RW 001 SOLOKURO LAMONGAN</t>
  </si>
  <si>
    <t>628578500200</t>
  </si>
  <si>
    <t>MUHAMMAD RISKI MISHBAHUL MUNIR</t>
  </si>
  <si>
    <t>MOHAMAD KARMAN</t>
  </si>
  <si>
    <t>6285648380596</t>
  </si>
  <si>
    <t>MUHAMMAD ROHID ALY WAFA ASSYUKUR</t>
  </si>
  <si>
    <t>MUJI SYUKUR</t>
  </si>
  <si>
    <t>ASMAUL HUSNA</t>
  </si>
  <si>
    <t>6285607086322</t>
  </si>
  <si>
    <t>MUHAMMAD SABIL FIRDAUS</t>
  </si>
  <si>
    <t>KHOIRUL MUSTAKIM</t>
  </si>
  <si>
    <t>SITI MUSAROH</t>
  </si>
  <si>
    <t>SUMBERMULYO SUKOMULYO RT 004 RW 002 LAMONGAN LAMONGAN</t>
  </si>
  <si>
    <t>6285816909650</t>
  </si>
  <si>
    <t>MUHAMMAD SYAFI` AL FATHIR</t>
  </si>
  <si>
    <t>MUCHAMAD KHOLIK</t>
  </si>
  <si>
    <t>SULISTIAWATI</t>
  </si>
  <si>
    <t>NGAYUNG RT 003 RW 001 MADURAN LAMONGAN</t>
  </si>
  <si>
    <t>6285850361410</t>
  </si>
  <si>
    <t>MUHAMMAD TSAQIF WIRA ARDANA</t>
  </si>
  <si>
    <t>KHOTIB</t>
  </si>
  <si>
    <t>YUYUN HANIFAH</t>
  </si>
  <si>
    <t>PRINGGOBOYO RT 002 RW 001 MADURAN LAMONGAN</t>
  </si>
  <si>
    <t>6281330019092</t>
  </si>
  <si>
    <t>NAUFAL DESTA ARYADI</t>
  </si>
  <si>
    <t>RUMIATIK</t>
  </si>
  <si>
    <t>6285604016410</t>
  </si>
  <si>
    <t>NOVAL ARYA PRATAMA</t>
  </si>
  <si>
    <t>ABDUL ROHMAN</t>
  </si>
  <si>
    <t>NURANITA LARASATI</t>
  </si>
  <si>
    <t>BULAKWATU BANJAREJO RT 003 RW 001 SUKODADI LAMONGAN</t>
  </si>
  <si>
    <t>6285707106640</t>
  </si>
  <si>
    <t>NUR RIZKI FEBRIAN WAHYU PUTRA</t>
  </si>
  <si>
    <t>NUR QOMARI</t>
  </si>
  <si>
    <t>NANIK SURYANI</t>
  </si>
  <si>
    <t>BLAJO RT 005 RW 003 KALITENGAH LAMONGAN</t>
  </si>
  <si>
    <t>6285546527780</t>
  </si>
  <si>
    <t>RAIHAN DWI WIRATAMA</t>
  </si>
  <si>
    <t>TATAG HENY SUBAGYO</t>
  </si>
  <si>
    <t>ANI FATEMAHWATI</t>
  </si>
  <si>
    <t>BLANGIT KARANGLANGIT RT 001 RW 002 LAMONGAN LAMONGAN</t>
  </si>
  <si>
    <t>6282337249449</t>
  </si>
  <si>
    <t>RAUFA IKHSANUL ALIM</t>
  </si>
  <si>
    <t>RIFA`I</t>
  </si>
  <si>
    <t>VIRGARIA SRI PURNAMAWATIK</t>
  </si>
  <si>
    <t>BANJARAN TURI RT 005 RW 002 MADURAN LAMONGAN</t>
  </si>
  <si>
    <t>6285815312298</t>
  </si>
  <si>
    <t>RIZKY ADITYA</t>
  </si>
  <si>
    <t>SUDIRMAN</t>
  </si>
  <si>
    <t>ANISA SARI</t>
  </si>
  <si>
    <t>PARANGA KAPITA RT - RW - BANGKALA JENEPONTO</t>
  </si>
  <si>
    <t>6282255832815</t>
  </si>
  <si>
    <t>RIZKY YUSUF MAULANA</t>
  </si>
  <si>
    <t>M. CATUR PRAWOTO</t>
  </si>
  <si>
    <t>SRI KUSTINIAH</t>
  </si>
  <si>
    <t>TEJOASRI RT 003 RW 005 LAREN LAMONGAN</t>
  </si>
  <si>
    <t>SAHRUL DICKY ARDIANSYAH</t>
  </si>
  <si>
    <t>NUR SALIM</t>
  </si>
  <si>
    <t>MASRIFAH</t>
  </si>
  <si>
    <t>GLUMO JELAKCATUR RT 002 RW 005 KALITENGAH LAMONGAN</t>
  </si>
  <si>
    <t>6285645276494</t>
  </si>
  <si>
    <t>ZIDNY ILMAN NAFI`</t>
  </si>
  <si>
    <t>ABD. ROUF</t>
  </si>
  <si>
    <t>CHOLIFATUS SIYADAH</t>
  </si>
  <si>
    <t>TANGGULREJO UTARA RT 005 RW 001 MANYAR GRESIK</t>
  </si>
  <si>
    <t>6281230961334</t>
  </si>
  <si>
    <t>AHMAD AGUS JAZULI IRFAN</t>
  </si>
  <si>
    <t>IRFANDI</t>
  </si>
  <si>
    <t>IMROATIN JALILAH</t>
  </si>
  <si>
    <t>BOJOASRI RT  RW  KALITENGAH LAMONGAN</t>
  </si>
  <si>
    <t>SMK-XII TKJ 1</t>
  </si>
  <si>
    <t>A-10</t>
  </si>
  <si>
    <t>3 WUSTHO PUTRA</t>
  </si>
  <si>
    <t>6285648607075</t>
  </si>
  <si>
    <t>AHMAD GUTI JAELANI</t>
  </si>
  <si>
    <t>AGUNG JAZULI</t>
  </si>
  <si>
    <t>SITI MA`RUFAH</t>
  </si>
  <si>
    <t>MADURAN RT 5 RW 2 MADURAN LAMONGAN</t>
  </si>
  <si>
    <t>MA-XII.3</t>
  </si>
  <si>
    <t>6285646030802</t>
  </si>
  <si>
    <t>AHMAD MANSYAUL HIKAMI</t>
  </si>
  <si>
    <t>LUQMAN HAKIM</t>
  </si>
  <si>
    <t>KHOIRIYAH</t>
  </si>
  <si>
    <t>MAYONG NGABLAK RT 1 RW 2 KARANGBINANGUN LAMONGAN</t>
  </si>
  <si>
    <t>MA-XII.9</t>
  </si>
  <si>
    <t>6285852940999</t>
  </si>
  <si>
    <t>AHMAD NUR FAJAR ROMADHONI</t>
  </si>
  <si>
    <t>SAMULI</t>
  </si>
  <si>
    <t>SITI ULFAH</t>
  </si>
  <si>
    <t>MA-XII.13</t>
  </si>
  <si>
    <t>3 MAK PUTRA</t>
  </si>
  <si>
    <t>685736441139</t>
  </si>
  <si>
    <t>AKHMAD FATIKHUL IN`AM</t>
  </si>
  <si>
    <t>ACH. SAEKAN</t>
  </si>
  <si>
    <t>NURUL MUTHOHAROH</t>
  </si>
  <si>
    <t>LUMBER KALIPANG RT 001 RW 001 SUGIO LAMONGAN</t>
  </si>
  <si>
    <t>6285645455467</t>
  </si>
  <si>
    <t>AZKA YAFIS FIRMANSYAH</t>
  </si>
  <si>
    <t>AFAN ARIS</t>
  </si>
  <si>
    <t>ISWATI</t>
  </si>
  <si>
    <t>WIDHE SENDANGHARJO RT 006 RW 001 BRONDONG LAMONGAN</t>
  </si>
  <si>
    <t>MA-XII.10</t>
  </si>
  <si>
    <t>628585028102</t>
  </si>
  <si>
    <t>IMAM ALI SAMUDRA ARIF</t>
  </si>
  <si>
    <t>SAIFUL ARIF</t>
  </si>
  <si>
    <t>AYSYYA ISLAMIAH</t>
  </si>
  <si>
    <t>KALITENGAH RT 1 RW 4 KALITENGAH LAMONGAN</t>
  </si>
  <si>
    <t>MA-XII.7</t>
  </si>
  <si>
    <t>6285648494406</t>
  </si>
  <si>
    <t>IRSYAD KAHFI SOFYAN</t>
  </si>
  <si>
    <t>AGUS SOFYAN ARIFIN</t>
  </si>
  <si>
    <t>FAIDATUN NISA'</t>
  </si>
  <si>
    <t>KAUMAN REGENCY BLOK L NO. 6 RT 5 RW 9 MRANGGEN DEMAK</t>
  </si>
  <si>
    <t>MA-XII.4</t>
  </si>
  <si>
    <t>6285708222090</t>
  </si>
  <si>
    <t>M. FAHMI ALFIYAN NURIL HAQ</t>
  </si>
  <si>
    <t>SUNARYO</t>
  </si>
  <si>
    <t>PLAKARAN SOMOSARI RT 3 RW 2 KALITENGAH LAMONGAN</t>
  </si>
  <si>
    <t>SMK-XII DKV</t>
  </si>
  <si>
    <t>6289677807375</t>
  </si>
  <si>
    <t>M. SAFIUL REZA SELOHANDOYO</t>
  </si>
  <si>
    <t>SITI HALIMAH</t>
  </si>
  <si>
    <t>6282229847381</t>
  </si>
  <si>
    <t>M. SATRIA PUTRA AMILINA</t>
  </si>
  <si>
    <t>AHSANUL AMILIN</t>
  </si>
  <si>
    <t>LINA ANGGRAINI</t>
  </si>
  <si>
    <t>TALUN RT 4 RW 1 SUMBERREJO BOJONEGORO</t>
  </si>
  <si>
    <t>628568406710</t>
  </si>
  <si>
    <t>MAEKAL RAHMAT</t>
  </si>
  <si>
    <t>AGUS SUPRAYITNO</t>
  </si>
  <si>
    <t>WIWIK WIDAYATI</t>
  </si>
  <si>
    <t>JL. PUTER DALAM SELATAN 39 A TANJUNGREJO RT 10 RW 12 SUKUN MALANG</t>
  </si>
  <si>
    <t>6281998985638</t>
  </si>
  <si>
    <t>MAHATMA SATYA GRAHA</t>
  </si>
  <si>
    <t>MUHAMMAD KAHAR</t>
  </si>
  <si>
    <t>AIYINATUL JAMILAH</t>
  </si>
  <si>
    <t>JELAK JELAKCATUR RT 001 RW 004 KALITENGAH LAMONGAN</t>
  </si>
  <si>
    <t>628557692330</t>
  </si>
  <si>
    <t>MARVELL RIZIQ AMIN</t>
  </si>
  <si>
    <t>AJI SUNARJI</t>
  </si>
  <si>
    <t>SITI ANISAH</t>
  </si>
  <si>
    <t>GENENG RT 5 RW 8 BRONDONG LAMONGAN</t>
  </si>
  <si>
    <t>MA-XII.6</t>
  </si>
  <si>
    <t>62895323652394</t>
  </si>
  <si>
    <t>MOCH. FAJAR QOMARUDIN FEBRIAN</t>
  </si>
  <si>
    <t>WARDI</t>
  </si>
  <si>
    <t>SA'ADATUN NI'MAH</t>
  </si>
  <si>
    <t>KANDANGAN CANDISARI RT 012 RW 002 SAMBENG LAMONGAN</t>
  </si>
  <si>
    <t>6285809004813</t>
  </si>
  <si>
    <t>MOH. RAFY ANDIKA ROHMAN</t>
  </si>
  <si>
    <t>SUTATIK</t>
  </si>
  <si>
    <t>PUTATREJO PUTATBANGAH RT 002 RW 003 KARANGBINANGUN LAMONGAN</t>
  </si>
  <si>
    <t>SMK-XII TKR 2</t>
  </si>
  <si>
    <t>6285730854693</t>
  </si>
  <si>
    <t>MUHAMMAD ARIS IBRAHIM</t>
  </si>
  <si>
    <t>HARTOYO</t>
  </si>
  <si>
    <t>EMI LAKSEMI ZAHARA</t>
  </si>
  <si>
    <t>WANAR RT 001 RW 007 PUCUK LAMONGAN</t>
  </si>
  <si>
    <t>6289523611658</t>
  </si>
  <si>
    <t>MUHAMMAD FIRDAUS AL AYYUBI</t>
  </si>
  <si>
    <t>DAYUS NUR AFNI</t>
  </si>
  <si>
    <t>SITI NASRIYATUN</t>
  </si>
  <si>
    <t>DAGAN RT 002 RW 002 SOLOKURO LAMONGAN</t>
  </si>
  <si>
    <t>6285648339606</t>
  </si>
  <si>
    <t>MUHAMMAD HIBATULLAH TSAQIF</t>
  </si>
  <si>
    <t>RIRIN FITYATUN YUNIS SA'IDAH</t>
  </si>
  <si>
    <t>SOLOKURO RT 004 RW 003 SOLOKURO LAMONGAN</t>
  </si>
  <si>
    <t>6285182276192</t>
  </si>
  <si>
    <t>MUHAMMAD NASRUL FALAQ</t>
  </si>
  <si>
    <t>IFA TRIANA</t>
  </si>
  <si>
    <t>WONOKERTO RT 017 RW 003 DUKUN GRESIK</t>
  </si>
  <si>
    <t>A-12</t>
  </si>
  <si>
    <t>6285602657179</t>
  </si>
  <si>
    <t>MUHAMMAD SYA`DANA</t>
  </si>
  <si>
    <t>ACHMAD MU'ID</t>
  </si>
  <si>
    <t>FATMAWATI</t>
  </si>
  <si>
    <t>PARENGAN RT 4 RW 3 MADURAN LAMONGAN</t>
  </si>
  <si>
    <t>SMK-XII TKJ 2</t>
  </si>
  <si>
    <t>6281216068509</t>
  </si>
  <si>
    <t>MUHAMMAD ULINNUHA</t>
  </si>
  <si>
    <t>MOH. MUSTA`IN</t>
  </si>
  <si>
    <t>RUKHOYATN</t>
  </si>
  <si>
    <t>WARUK RT 001 RW 002 KARANGBINANGUN LAMONGAN</t>
  </si>
  <si>
    <t>MA-XII.2</t>
  </si>
  <si>
    <t>6285230868111</t>
  </si>
  <si>
    <t>MUHYIDDIN FAQIH</t>
  </si>
  <si>
    <t>LAM KUDRON</t>
  </si>
  <si>
    <t>SUHARNIK</t>
  </si>
  <si>
    <t>SAWO RT 003 RW 002 DUKUN GRESIK</t>
  </si>
  <si>
    <t>6281554403924</t>
  </si>
  <si>
    <t>NASHIH AMIN</t>
  </si>
  <si>
    <t>SABAR NARIMO</t>
  </si>
  <si>
    <t>LISTIANAH</t>
  </si>
  <si>
    <t>TAMBAK ASRI 262-C MOROKREMBANGAN RT 008 RW 009 KREMBANGAN SURABAYA</t>
  </si>
  <si>
    <t>6285715548194</t>
  </si>
  <si>
    <t>NAURIL ASTRA DIRGANTARA</t>
  </si>
  <si>
    <t>ERTINA YAROH</t>
  </si>
  <si>
    <t>BANJARANYAR RT 007 RW 002 BAURENO BOJONEGORO</t>
  </si>
  <si>
    <t>6281286452697</t>
  </si>
  <si>
    <t>RAHMAT NURRUZAMAN AL ALI</t>
  </si>
  <si>
    <t>ALI SHODIKIN</t>
  </si>
  <si>
    <t>SITI MAIDAH</t>
  </si>
  <si>
    <t>PUCANGRO RT 1 RW 1 KALITENGAH LAMONGAN</t>
  </si>
  <si>
    <t>MA-XII.5</t>
  </si>
  <si>
    <t>62895605958887</t>
  </si>
  <si>
    <t>RIDHO BINTANG PAMUNGKAS</t>
  </si>
  <si>
    <t>PETIYIN TAKERHARJO RT 002 RW 005 SOLOKURO LAMONGAN</t>
  </si>
  <si>
    <t>6285732113931</t>
  </si>
  <si>
    <t>RIJALU FACHRI NA`IM</t>
  </si>
  <si>
    <t>SAUPIN</t>
  </si>
  <si>
    <t>RIZKUL MAFTUHAH</t>
  </si>
  <si>
    <t>GENENG INDAH RT 5 RW 8 BRONDONG LAMONGAN</t>
  </si>
  <si>
    <t>6281333389848</t>
  </si>
  <si>
    <t>ROKHMAT</t>
  </si>
  <si>
    <t>BAMBANG SUPRAYITNO</t>
  </si>
  <si>
    <t>SITI AMINAH</t>
  </si>
  <si>
    <t>PERTANIAN RT 002 RW 002 SEKARAN LAMONGAN</t>
  </si>
  <si>
    <t>628564609510</t>
  </si>
  <si>
    <t>SYAHRUL MAULANA ARIF</t>
  </si>
  <si>
    <t>MOKHAMAD ASIKIN KURNIAWAN</t>
  </si>
  <si>
    <t>IRMAWATI</t>
  </si>
  <si>
    <t>PATALAN SUMBERJO RT 3 RW 1 PUCUK LAMONGAN</t>
  </si>
  <si>
    <t>6285606326321</t>
  </si>
  <si>
    <t>WAHYU UBAIDHILLAH</t>
  </si>
  <si>
    <t>SUBEKAN</t>
  </si>
  <si>
    <t>LEMU SA`ADAH</t>
  </si>
  <si>
    <t>KARANGGAYAM CT. VIII CATURTUNGGAL RT 2 RW 1 DEPOK SLEMAN</t>
  </si>
  <si>
    <t>6285640124812</t>
  </si>
  <si>
    <t>WILDAN ARFIAN</t>
  </si>
  <si>
    <t>ZAENAL ARIFIN</t>
  </si>
  <si>
    <t>MARATUL MUKARROMAH</t>
  </si>
  <si>
    <t>KREBET KAYULEMAH RT 006 RW 002 SUMBERREJO BOJONEGORO</t>
  </si>
  <si>
    <t>6282275756518</t>
  </si>
  <si>
    <t>ADELIAH PUTRI FEBRIANI</t>
  </si>
  <si>
    <t>MASKUN</t>
  </si>
  <si>
    <t>NASHOHAH</t>
  </si>
  <si>
    <t>B-9</t>
  </si>
  <si>
    <t>3 ULA C PUTRI</t>
  </si>
  <si>
    <t>6285706603124</t>
  </si>
  <si>
    <t>ALIFIA SEPTIANI AZ ZAHRA</t>
  </si>
  <si>
    <t>JOKO SUTRISNO</t>
  </si>
  <si>
    <t>KHOIRUL FITRI</t>
  </si>
  <si>
    <t>DORO KARANGWEDORO RT 006 RW 002 TURI LAMONGAN</t>
  </si>
  <si>
    <t>6281556637615</t>
  </si>
  <si>
    <t>ALYA SHIFA AZZAHRA</t>
  </si>
  <si>
    <t>ARIF ROHMAN</t>
  </si>
  <si>
    <t>BANJARAN TURI RT 008 RW 002 MADURAN LAMONGAN</t>
  </si>
  <si>
    <t>MTS-9 G</t>
  </si>
  <si>
    <t>3 ULA B PUTRI</t>
  </si>
  <si>
    <t>6285738896773</t>
  </si>
  <si>
    <t>AYUNDA KIRANA QURROTUL ISHAQIYYAH</t>
  </si>
  <si>
    <t>ERWANTO</t>
  </si>
  <si>
    <t>ZUMAROH</t>
  </si>
  <si>
    <t>PANGEAN RT 008 RW 002 MADURAN LAMONGAN</t>
  </si>
  <si>
    <t>3 ULA A PUTRI</t>
  </si>
  <si>
    <t>6285648522402</t>
  </si>
  <si>
    <t>DESTIYA NUR LAILI</t>
  </si>
  <si>
    <t>ARIS SAMSUDIN</t>
  </si>
  <si>
    <t>LUTFI NUR ROHMAWATI</t>
  </si>
  <si>
    <t>LERAN BARU KEYONGAN RT 003 RW 006 BABAT LAMONGAN</t>
  </si>
  <si>
    <t>6285745740702</t>
  </si>
  <si>
    <t>FAHDINA ZAHRA RAMADHANI</t>
  </si>
  <si>
    <t>MOH. ANDIK</t>
  </si>
  <si>
    <t>DEFI NUR CHUSAINI</t>
  </si>
  <si>
    <t>SIDOMULYO RT 004 RW 003 DEKET LAMONGAN</t>
  </si>
  <si>
    <t>6285748441057</t>
  </si>
  <si>
    <t>FATIMAH AZ-ZAHRAH</t>
  </si>
  <si>
    <t>AHMAD ZUHDI</t>
  </si>
  <si>
    <t>SITI LUTHFIYAH</t>
  </si>
  <si>
    <t>SONGO SUKOSONGO RT 013 RW 006 KEMBANGBAHU LAMONGAN</t>
  </si>
  <si>
    <t>MTS-9 H</t>
  </si>
  <si>
    <t>6285706056735</t>
  </si>
  <si>
    <t>IMELDA CAHYA ANGGRAENI</t>
  </si>
  <si>
    <t>IMAM MUJIANTO</t>
  </si>
  <si>
    <t>ELIYAH LUTFIANAH</t>
  </si>
  <si>
    <t>MELUKE SIDOMULYO RT 002 RW 003 DEKET LAMONGAN</t>
  </si>
  <si>
    <t>6285604272784</t>
  </si>
  <si>
    <t>KAYYISA ILMI RAFANDA</t>
  </si>
  <si>
    <t>MAFTUKIN</t>
  </si>
  <si>
    <t>MAFTUKHAH</t>
  </si>
  <si>
    <t>PANGEAN RT 002 RW 001 MADURAN LAMONGAN</t>
  </si>
  <si>
    <t>6282139931854</t>
  </si>
  <si>
    <t>KHAYLA NOVITA PUTRI</t>
  </si>
  <si>
    <t>6281259310643</t>
  </si>
  <si>
    <t>KHOLIFAH AMIYZANI NUR ISNAINI</t>
  </si>
  <si>
    <t>6285855453839</t>
  </si>
  <si>
    <t>KHUMAIRO FAUZIA</t>
  </si>
  <si>
    <t>RUDI SANTOSO</t>
  </si>
  <si>
    <t>SITI MUFARROKHAH</t>
  </si>
  <si>
    <t>KESAMBI RT 002 RW 002 PUCUK LAMONGAN</t>
  </si>
  <si>
    <t>6281216463303</t>
  </si>
  <si>
    <t>KURNIA MUFIDATUL FATIHAH</t>
  </si>
  <si>
    <t>FATKHUR ROKHMAN</t>
  </si>
  <si>
    <t>FARIHATUS SHOLIHAH</t>
  </si>
  <si>
    <t>BOJOASRI RT 005 RW 002 KALITENGAH LAMONGAN</t>
  </si>
  <si>
    <t>6285748349331</t>
  </si>
  <si>
    <t>NAILATUN NUR LAILATUL QUDSIYAH</t>
  </si>
  <si>
    <t>RAMELI</t>
  </si>
  <si>
    <t>HARTATIK</t>
  </si>
  <si>
    <t>WONOSARI SEKARBAGUS RT 003 RW 001 SUGIO LAMONGAN</t>
  </si>
  <si>
    <t>6285785360969</t>
  </si>
  <si>
    <t>RAISA PUTRI ELYSIA SADIRA</t>
  </si>
  <si>
    <t>YANA</t>
  </si>
  <si>
    <t>TIREMRNGGAL RT 011 RW 004 DUKUN GRESIK</t>
  </si>
  <si>
    <t>6285805516619</t>
  </si>
  <si>
    <t>SALWA EKA SAFITRI</t>
  </si>
  <si>
    <t>SHOKIB PURWO</t>
  </si>
  <si>
    <t>DJUWARIYAH</t>
  </si>
  <si>
    <t>6289653941550</t>
  </si>
  <si>
    <t>SELLY NOVI ANDINI</t>
  </si>
  <si>
    <t>AHMAD SHOLEH</t>
  </si>
  <si>
    <t>ELI KUSUMAWATI</t>
  </si>
  <si>
    <t>PUCANGRO RT 001 RW 001 KALITENGAH LAMONGAN</t>
  </si>
  <si>
    <t>6285788313508</t>
  </si>
  <si>
    <t>AFILIA MEGA NURFATMA</t>
  </si>
  <si>
    <t>M. NURDIN</t>
  </si>
  <si>
    <t>ALIYATUN</t>
  </si>
  <si>
    <t>TENGGULUN RT 003 RW 002 SOLOKURO LAMONGAN</t>
  </si>
  <si>
    <t>6285812446154</t>
  </si>
  <si>
    <t>ANINDYA FAZURA RAHMA</t>
  </si>
  <si>
    <t>MOH NADLIF</t>
  </si>
  <si>
    <t>HUBBATUN NAJAH</t>
  </si>
  <si>
    <t>SMK-XII BD</t>
  </si>
  <si>
    <t>B-4</t>
  </si>
  <si>
    <t>3 WUSTHO C PUTRI</t>
  </si>
  <si>
    <t>6281357042388</t>
  </si>
  <si>
    <t>DINI WAHYU NINGTYAS</t>
  </si>
  <si>
    <t>DARTO</t>
  </si>
  <si>
    <t>YA ANTI</t>
  </si>
  <si>
    <t>TIRTA MULIA BATU MERANTI RT 011 RW 005 SUNGAILOBAN TANAH BUMBU</t>
  </si>
  <si>
    <t>6281255133458</t>
  </si>
  <si>
    <t>FARIKHA AULIA SALSABILLAH</t>
  </si>
  <si>
    <t>JAURI</t>
  </si>
  <si>
    <t>C-4</t>
  </si>
  <si>
    <t>3 WUSTHO B PUTRI</t>
  </si>
  <si>
    <t>6285645468404</t>
  </si>
  <si>
    <t>JESSICA SALSABILA</t>
  </si>
  <si>
    <t>SUNANDAR</t>
  </si>
  <si>
    <t>NUR MILA</t>
  </si>
  <si>
    <t>KEDUNG KAMPIL SUKOSONGO RT - RW - KEMBANGBAHU LAMONGAN</t>
  </si>
  <si>
    <t>628585260032</t>
  </si>
  <si>
    <t>KHILYATUL MUROQOBAH ASSA`ADAH</t>
  </si>
  <si>
    <t>MUROKIB</t>
  </si>
  <si>
    <t>UMMI HHANIK</t>
  </si>
  <si>
    <t>PUCANGRO RT 3 RW 3 KALITENGAH LAMONGAN</t>
  </si>
  <si>
    <t>6285707694746</t>
  </si>
  <si>
    <t>NAILA MALIHA PUTRI</t>
  </si>
  <si>
    <t>YADI</t>
  </si>
  <si>
    <t>KHOMSATUN</t>
  </si>
  <si>
    <t>TENGGULUN RT 006 RW 003 SOLOKURO LAMONGAN</t>
  </si>
  <si>
    <t>B-5</t>
  </si>
  <si>
    <t>6285804308769</t>
  </si>
  <si>
    <t>NOVI ADELIA SALSABILLA</t>
  </si>
  <si>
    <t>SUKIRNO</t>
  </si>
  <si>
    <t>SUSMIYATIN</t>
  </si>
  <si>
    <t>6285706307948</t>
  </si>
  <si>
    <t>NUR AILATUN NAKHWA</t>
  </si>
  <si>
    <t>KARDIMAN</t>
  </si>
  <si>
    <t>QUROTUL UMMAH</t>
  </si>
  <si>
    <t>6282338617496</t>
  </si>
  <si>
    <t>NUR MA`RIFAH</t>
  </si>
  <si>
    <t>SUN`AN</t>
  </si>
  <si>
    <t>SUMA`IDAH</t>
  </si>
  <si>
    <t>BANJARAN TURI RT 006 RW 002 MADURAN LAMONGAN</t>
  </si>
  <si>
    <t>6285730196160</t>
  </si>
  <si>
    <t>NURUL QHOIYIMATUL ALFIYAH</t>
  </si>
  <si>
    <t>MUKRI HAJI</t>
  </si>
  <si>
    <t>MA`RIFAH</t>
  </si>
  <si>
    <t>TENGGULUN RT 008 RW 003 SOLOKURO LAMONGAN</t>
  </si>
  <si>
    <t>3 MAK PUTRI</t>
  </si>
  <si>
    <t>628812496056661</t>
  </si>
  <si>
    <t>PARAMITA ANGGRAINI</t>
  </si>
  <si>
    <t>SUROSO</t>
  </si>
  <si>
    <t>ISMIRA</t>
  </si>
  <si>
    <t>SEREN JATIPANDAK RT 005 RW 003 SAMBENG LAMONGAN</t>
  </si>
  <si>
    <t>6285645123489</t>
  </si>
  <si>
    <t>PUTRI FARHANA AMALIA</t>
  </si>
  <si>
    <t>SYAIFUL AMIN</t>
  </si>
  <si>
    <t>SUNDARTI</t>
  </si>
  <si>
    <t>6282245431749</t>
  </si>
  <si>
    <t>SHAFA KIRANA KAMALAT AZIZAH</t>
  </si>
  <si>
    <t>SHAFIK UDIN</t>
  </si>
  <si>
    <t>KUSNUL AMALIYAH</t>
  </si>
  <si>
    <t>PUCUK SRIRANDE RT 004 RW 003 DEKET LAMONGAN</t>
  </si>
  <si>
    <t>6285790323117</t>
  </si>
  <si>
    <t>SILVY AYU WULANDARI</t>
  </si>
  <si>
    <t>ADI LAKSONO</t>
  </si>
  <si>
    <t>SITI KOMARIYAH</t>
  </si>
  <si>
    <t>DADUNGAN RT 001 RW 004 KALITENGAH LAMONGAN</t>
  </si>
  <si>
    <t>6281554219741</t>
  </si>
  <si>
    <t>SITI MAGFIROH</t>
  </si>
  <si>
    <t>SUPARTO</t>
  </si>
  <si>
    <t>SITI MARDLIYAH NOVIA ROHMA</t>
  </si>
  <si>
    <t>TIWET RT 2 RW 2 KALITENGAH LAMONGAN</t>
  </si>
  <si>
    <t>6285707732016</t>
  </si>
  <si>
    <t>SYABANTA NIHAYATUS SYAQIYYAH</t>
  </si>
  <si>
    <t>MUHAMMAD MUSLIH</t>
  </si>
  <si>
    <t>FADHILATIN NISFAKURIYAH</t>
  </si>
  <si>
    <t>BALAI DESA III CUNGKUP RT 004 RW 001 PUCUK LAMONGAN</t>
  </si>
  <si>
    <t>6285648897421</t>
  </si>
  <si>
    <t>ADELIA YULIANTI PUTRI</t>
  </si>
  <si>
    <t>ENDANG MAYAWATI</t>
  </si>
  <si>
    <t>ASEMROWO II NO. 19 RT 002 RW 001 ASEM ROWO SURABAYA</t>
  </si>
  <si>
    <t>6285808721207</t>
  </si>
  <si>
    <t>AFANIA AQILATUS SHAFA</t>
  </si>
  <si>
    <t>ACHMAD SUCHAIMI</t>
  </si>
  <si>
    <t>DWI OKTAFIA NINGSIH</t>
  </si>
  <si>
    <t>PAJANGAN RT 002 RW 002 SUKODADI LAMONGAN</t>
  </si>
  <si>
    <t>6285257103018</t>
  </si>
  <si>
    <t>AIDZILA DHEA ANANTA</t>
  </si>
  <si>
    <t>MUHAMMAD HAFIDIN</t>
  </si>
  <si>
    <t>MARATUS SHOLICHAH</t>
  </si>
  <si>
    <t>NGUWOK RT 004 RW 002 MODO LAMONGAN</t>
  </si>
  <si>
    <t>6281559586998</t>
  </si>
  <si>
    <t>ALFA FALAJ SALSABILA</t>
  </si>
  <si>
    <t>NUR HADI</t>
  </si>
  <si>
    <t>SUMIANAH</t>
  </si>
  <si>
    <t>C-3</t>
  </si>
  <si>
    <t>6285859539394</t>
  </si>
  <si>
    <t>ALIFATUN BINTU KHUMAIROH</t>
  </si>
  <si>
    <t>ALI MASHUDI</t>
  </si>
  <si>
    <t>SRI SULISTYANINGSIH</t>
  </si>
  <si>
    <t>SIDOBRANTI SIDOMUKTI RT 009 RW 003 KEMBANGBAHU LAMONGAN</t>
  </si>
  <si>
    <t>6285704238402</t>
  </si>
  <si>
    <t>ALVELLYTA APRILIA KIRANA</t>
  </si>
  <si>
    <t>ALFIN ZAINUL FUAD</t>
  </si>
  <si>
    <t>ITA NURO</t>
  </si>
  <si>
    <t>KRAJAN SUKOBENDU RT 002 RW 001 MANTUP LAMONGAN</t>
  </si>
  <si>
    <t>6281537636395</t>
  </si>
  <si>
    <t>ASYIFATUL LAILI</t>
  </si>
  <si>
    <t>BUDI WINARNO</t>
  </si>
  <si>
    <t>NUR MARDLIYAH</t>
  </si>
  <si>
    <t>KUBANG LABAN PANGGUNG RAWI RT 003 RW 002 JOMBANG CILEGON</t>
  </si>
  <si>
    <t>6281946613922</t>
  </si>
  <si>
    <t>ATHIIYAH AULIYA`UL MUSHOFAROH</t>
  </si>
  <si>
    <t>UMAR USMAN</t>
  </si>
  <si>
    <t>NUR KHOMSATUN FINARIYAH</t>
  </si>
  <si>
    <t>KEDIREN RT 003 RW 001 KALITENGAH LAMONGAN</t>
  </si>
  <si>
    <t>6285731317533</t>
  </si>
  <si>
    <t>AUFA NUR LAILI FADHILAH</t>
  </si>
  <si>
    <t>MUKANAN</t>
  </si>
  <si>
    <t>KUNARTIN</t>
  </si>
  <si>
    <t>CANDITUNGGAL RT 003 RW 002 KALITENGAH LAMONGAN</t>
  </si>
  <si>
    <t>6285815665883</t>
  </si>
  <si>
    <t>AUFARA DHEA TUNGGA DEWI</t>
  </si>
  <si>
    <t>FAISOL HARIANTO</t>
  </si>
  <si>
    <t>DEWI UTARI</t>
  </si>
  <si>
    <t>PRIYOSO WETAN PRIYOSO RT 001 RW 001 KARANGBINANGUN LAMONGAN</t>
  </si>
  <si>
    <t>6281334198484</t>
  </si>
  <si>
    <t>CALLYSTA QOWIM AZ-ZAHRA</t>
  </si>
  <si>
    <t>ARIS SUGIANTO</t>
  </si>
  <si>
    <t>PAJI RT 002 RW 005 PUCUK LAMONGAN</t>
  </si>
  <si>
    <t>2682131710998</t>
  </si>
  <si>
    <t>FARAH ALTHAFUN NISA`</t>
  </si>
  <si>
    <t>MUHAMMAD KHOTIB</t>
  </si>
  <si>
    <t>NURUL HIDAYAH</t>
  </si>
  <si>
    <t>6281615233482</t>
  </si>
  <si>
    <t>FATMA NAJWA ZAHIRA</t>
  </si>
  <si>
    <t>MARUJI</t>
  </si>
  <si>
    <t>SITI NURIYAH</t>
  </si>
  <si>
    <t>6282337956113</t>
  </si>
  <si>
    <t>GHITA RAINA AZZAHRA PRIYANTO</t>
  </si>
  <si>
    <t>ANIS ROHMAWATI</t>
  </si>
  <si>
    <t>TULUNG WANAR RT 004 RW 005 PUCUK LAMONGAN</t>
  </si>
  <si>
    <t>6281260170147</t>
  </si>
  <si>
    <t>HILDA AFRILLIA SALSA FUNNY</t>
  </si>
  <si>
    <t>SUNTIANAH</t>
  </si>
  <si>
    <t>628570216013</t>
  </si>
  <si>
    <t>ISYTI DZIL KARIMAH</t>
  </si>
  <si>
    <t>M. AMIN</t>
  </si>
  <si>
    <t>NURUL FAIZAH</t>
  </si>
  <si>
    <t>BUCULOR RAYUNGGUMUK RT 001 RW 001 GLAGAH LAMONGAN</t>
  </si>
  <si>
    <t>6285850796841</t>
  </si>
  <si>
    <t>MEIRZA TRISNA DWI ANDINI</t>
  </si>
  <si>
    <t>PATRIS</t>
  </si>
  <si>
    <t>KEDIREN RT 001 RW 002 KALITENGAH LAMONGAN</t>
  </si>
  <si>
    <t>6285815031286</t>
  </si>
  <si>
    <t>NASYA PUTRI YUNAISYAH</t>
  </si>
  <si>
    <t>DAVID AINUR ROFIQ</t>
  </si>
  <si>
    <t>FITRIYAH MAGHFIROH</t>
  </si>
  <si>
    <t>BARON RT 008 RW 004 DUKUN GRESIK</t>
  </si>
  <si>
    <t>6281331730197</t>
  </si>
  <si>
    <t>NAURAH KHUNI`ATUN MUBAYYINA</t>
  </si>
  <si>
    <t>A. FATHUL ARIF</t>
  </si>
  <si>
    <t>NANIK NURLISAH</t>
  </si>
  <si>
    <t>KULURAN RT 003 RW 001 KALITENGAH LAMONGAN</t>
  </si>
  <si>
    <t>6285608954077</t>
  </si>
  <si>
    <t>NAYLA SALSABILA</t>
  </si>
  <si>
    <t>MUHAMAD MUHAJIR</t>
  </si>
  <si>
    <t>MINTUTIK</t>
  </si>
  <si>
    <t>6285755534024</t>
  </si>
  <si>
    <t>NIA KRISNAWATI</t>
  </si>
  <si>
    <t>ISWAHYUDI</t>
  </si>
  <si>
    <t>MAISUN</t>
  </si>
  <si>
    <t>GAGAR SUKOBENDU RT 002 RW 001 MANTUP LAMONGAN</t>
  </si>
  <si>
    <t>6281999644191</t>
  </si>
  <si>
    <t>PRADIPTA PUTRI ALIFIA</t>
  </si>
  <si>
    <t>JUMADI</t>
  </si>
  <si>
    <t>MU`ALIMAH</t>
  </si>
  <si>
    <t>6287815912057</t>
  </si>
  <si>
    <t>QUEENSHA ALEA ARSYILA</t>
  </si>
  <si>
    <t>AGUS BUDIONO</t>
  </si>
  <si>
    <t>TANTI YUNI MUSFITA</t>
  </si>
  <si>
    <t>KRAJAN SUKOBENDU RT 003 RW 005 MANTUP LAMONGAN</t>
  </si>
  <si>
    <t>6285732838577</t>
  </si>
  <si>
    <t>RAVAUL ZAHIDAH</t>
  </si>
  <si>
    <t>FATCHUR ROZAK</t>
  </si>
  <si>
    <t>ULIN NI`MAH</t>
  </si>
  <si>
    <t>PENCARAN BLAWI RT 002 RW 005 KARANGBINANGUN LAMONGAN</t>
  </si>
  <si>
    <t>6282231516103</t>
  </si>
  <si>
    <t>RIZATUL ZAMIRA ATMAJA</t>
  </si>
  <si>
    <t>SUWIGNYO PRIYO UTOMO</t>
  </si>
  <si>
    <t>ELI ROCHIANAH</t>
  </si>
  <si>
    <t>BANJARMADU RT 001 RW 004 KARANGGENENG LAMONGAN</t>
  </si>
  <si>
    <t>6285234346480</t>
  </si>
  <si>
    <t>SAFIRA FIDIYASARI</t>
  </si>
  <si>
    <t>M AGUS WIJAYA</t>
  </si>
  <si>
    <t>SOFIYA WIDIYAWATI</t>
  </si>
  <si>
    <t>6285732998926</t>
  </si>
  <si>
    <t>SELVIA DEWI ASMAUL KHUSNADA</t>
  </si>
  <si>
    <t>MADUKI</t>
  </si>
  <si>
    <t>SUKARSIH</t>
  </si>
  <si>
    <t>PETIYIN PETIYINTUNGGAL RT 007 RW 003 DUKUN GRESIK</t>
  </si>
  <si>
    <t>6281252102661</t>
  </si>
  <si>
    <t>SOFIATUS SYARIFAH</t>
  </si>
  <si>
    <t>SULUFUN NAJIB</t>
  </si>
  <si>
    <t>SRI AGUSTIN</t>
  </si>
  <si>
    <t>JL. ROGONOTO V/13 PAGENTAN RT 001 RW 001 SINGOSARI MALANG</t>
  </si>
  <si>
    <t>6281230986395</t>
  </si>
  <si>
    <t>SUCI ABELIA IMROATUS SHOLIHA</t>
  </si>
  <si>
    <t>MATENO</t>
  </si>
  <si>
    <t>JETIS PETIYINTUNGGAL RT 006 RW 002 DUKUN GRESIK</t>
  </si>
  <si>
    <t>6285852427521</t>
  </si>
  <si>
    <t>TEVY MAULIDAH AMIN</t>
  </si>
  <si>
    <t>M. ZUHDI AMIN</t>
  </si>
  <si>
    <t>6285731140388</t>
  </si>
  <si>
    <t>VANIA WANGSA SYAH ADAM</t>
  </si>
  <si>
    <t>MUNIR EFENDI</t>
  </si>
  <si>
    <t>SITI MASITOH AGUSTIANA</t>
  </si>
  <si>
    <t>SUKOBENDU MANTUP LAMONGAN</t>
  </si>
  <si>
    <t>6281216110229</t>
  </si>
  <si>
    <t>WAHYUNI SUCI RAHMADANI</t>
  </si>
  <si>
    <t>SURATMAN</t>
  </si>
  <si>
    <t>MARIA ULFA</t>
  </si>
  <si>
    <t>6281527879085</t>
  </si>
  <si>
    <t>ZAHRA RISKI ALFIANA</t>
  </si>
  <si>
    <t>MUNIF SUSANTO</t>
  </si>
  <si>
    <t>YULIANI</t>
  </si>
  <si>
    <t>SUMBERARUM RT 027 RW 009 DANDER BOJONEGORO</t>
  </si>
  <si>
    <t>6285604387587</t>
  </si>
  <si>
    <t>ZAHROTUS SYIFA FAIHATUL MAGHFIROH</t>
  </si>
  <si>
    <t>SITI KHOLIFAH</t>
  </si>
  <si>
    <t>628585527679</t>
  </si>
  <si>
    <t>ZIYADAH WAHYU NINGSIH</t>
  </si>
  <si>
    <t>ICHYAUL CHOIRI</t>
  </si>
  <si>
    <t>LATHIFAH</t>
  </si>
  <si>
    <t>KALIREJO RT 006 RW 004 DUKUN GRESIK</t>
  </si>
  <si>
    <t>628564090893</t>
  </si>
  <si>
    <t>ABIDAH OKTA SALSABILA</t>
  </si>
  <si>
    <t>ACH. SYAICHUDIN</t>
  </si>
  <si>
    <t>CICIK LUTFIANAH</t>
  </si>
  <si>
    <t>RANDEKAN RT 001 RW 001 KEMBANGBAHU LAMONGAN</t>
  </si>
  <si>
    <t>C-9</t>
  </si>
  <si>
    <t>6285649525237</t>
  </si>
  <si>
    <t>AFINA AGUSTIN ROMADHONI</t>
  </si>
  <si>
    <t>PONO</t>
  </si>
  <si>
    <t>MAZROATUN</t>
  </si>
  <si>
    <t>KEBEN RT 004 RW 002 TURI LAMONGAN</t>
  </si>
  <si>
    <t>6285748099065</t>
  </si>
  <si>
    <t>AHDA KAISYA BADAATIL MUFIDAH</t>
  </si>
  <si>
    <t>IMAM AS`ARI</t>
  </si>
  <si>
    <t>INAYATUL KARIMAH</t>
  </si>
  <si>
    <t>KEBET RT 008 RW 002 LAMONGAN LAMONGAN</t>
  </si>
  <si>
    <t>6285895759423</t>
  </si>
  <si>
    <t>AININ QORIROH UMMU SALWA</t>
  </si>
  <si>
    <t>NUR JANNAH</t>
  </si>
  <si>
    <t>PLOSO BUDEN RT 003 RW 003 DEKET LAMONGAN</t>
  </si>
  <si>
    <t>MA-XII.11</t>
  </si>
  <si>
    <t>C-8</t>
  </si>
  <si>
    <t>6287844690419</t>
  </si>
  <si>
    <t>AMINATUS SALMA</t>
  </si>
  <si>
    <t>SUDARMAJI</t>
  </si>
  <si>
    <t>SYAMSIAMAH</t>
  </si>
  <si>
    <t>KEBONSARI PALANGAN RT 2 RW 1 KARANGBINANGUN LAMONGAN</t>
  </si>
  <si>
    <t>D-6</t>
  </si>
  <si>
    <t>6285608570934</t>
  </si>
  <si>
    <t>ASTNA ANIS ADUBA</t>
  </si>
  <si>
    <t>NURUL YAQIN</t>
  </si>
  <si>
    <t>ZUMROHAH</t>
  </si>
  <si>
    <t>MA-XII.1</t>
  </si>
  <si>
    <t>C-2</t>
  </si>
  <si>
    <t>6285790863008</t>
  </si>
  <si>
    <t>ATIQAH FAIRUZAH</t>
  </si>
  <si>
    <t>KHOIRUL ANIS</t>
  </si>
  <si>
    <t>TISATUL AQOBAH</t>
  </si>
  <si>
    <t>SEMBUNGAN KIDUL RT 003 RW 002 DUKUN GRESIK</t>
  </si>
  <si>
    <t>6285731022920</t>
  </si>
  <si>
    <t>AUVA HILYA LUBABAH</t>
  </si>
  <si>
    <t>SUPII</t>
  </si>
  <si>
    <t>RODHIATUN</t>
  </si>
  <si>
    <t>GEDONG GEDONGBOYOUNTUNG RT 001 RW 001 TURI LAMONGAN</t>
  </si>
  <si>
    <t>6285608051421</t>
  </si>
  <si>
    <t>AYU YOVA NAYLA FAZA</t>
  </si>
  <si>
    <t>MASYHARI</t>
  </si>
  <si>
    <t>HANIK ASYRIFAH</t>
  </si>
  <si>
    <t>DAGAN RT 002 RW 003 SOLOKURO LAMONGAN</t>
  </si>
  <si>
    <t>3 WUSTHO A PUTRI</t>
  </si>
  <si>
    <t>6285856022187</t>
  </si>
  <si>
    <t>BALQIS FITHROTUN NUFUS</t>
  </si>
  <si>
    <t>SU`IMAH</t>
  </si>
  <si>
    <t>BARON RT 003 RW 002 DUKUN GRESIK</t>
  </si>
  <si>
    <t>6281357024383</t>
  </si>
  <si>
    <t>BUNGA SALSABILA RAHMAH</t>
  </si>
  <si>
    <t>MOCH. ANAS</t>
  </si>
  <si>
    <t>SEMEMI JAYA 10 LANGGAR NO. 21 RT 005 RW 001 BENOWO SURABAYA</t>
  </si>
  <si>
    <t>MA-XIII.13</t>
  </si>
  <si>
    <t>6285102700597</t>
  </si>
  <si>
    <t>CERLITA VANIA NUGRAHENI</t>
  </si>
  <si>
    <t>ERIC DWI NUGROHO</t>
  </si>
  <si>
    <t>LILIS SUJIATI</t>
  </si>
  <si>
    <t>628563025554</t>
  </si>
  <si>
    <t>DEWI LAILA ANISAH SHOFIYAH</t>
  </si>
  <si>
    <t>SITI ROKANI</t>
  </si>
  <si>
    <t>KADUNG KADUNGREMBUG RT 001 RW 005 SUKODADI LAMONGAN</t>
  </si>
  <si>
    <t>MA-XII.12</t>
  </si>
  <si>
    <t>6285748023154</t>
  </si>
  <si>
    <t>DIVA APRILIA SHOLIKHA</t>
  </si>
  <si>
    <t>KHOTIM SUNARIYAH</t>
  </si>
  <si>
    <t>KARANGCANGKRING RT 7 RW 3 DUKUN GRESIK</t>
  </si>
  <si>
    <t>6281553483950</t>
  </si>
  <si>
    <t>DIVA EKA LESTARI</t>
  </si>
  <si>
    <t>MOHAMMAD BISRI MUSTHOFA</t>
  </si>
  <si>
    <t>NING MINARSIH</t>
  </si>
  <si>
    <t>P. TENDEAN 24 KULURAN RT 004 RW 004 KALITENGAH LAMONGAN</t>
  </si>
  <si>
    <t>6285755339391</t>
  </si>
  <si>
    <t>DZUN NUHA MAHMUDAH</t>
  </si>
  <si>
    <t>MENGAI SUKOREJO RT 2 RW 5 KARANGBINANGUN LAMONGAN</t>
  </si>
  <si>
    <t>6285604191924</t>
  </si>
  <si>
    <t>EIRMA NAFISYAH ADILLAH</t>
  </si>
  <si>
    <t>MOHD SUPARMAN</t>
  </si>
  <si>
    <t>ENDANG SUGIARTI</t>
  </si>
  <si>
    <t>SHOBEROH DALEGAN RT 003 RW 009 PANCENG GRESIK</t>
  </si>
  <si>
    <t>601163973701</t>
  </si>
  <si>
    <t>ELSA LAILATUN NIHAYAH</t>
  </si>
  <si>
    <t>SAMUDJI</t>
  </si>
  <si>
    <t>KARMU</t>
  </si>
  <si>
    <t>CLURING RT 002 RW 002 KALITENGAH LAMONGAN</t>
  </si>
  <si>
    <t>6287794103025</t>
  </si>
  <si>
    <t>FAIQOTU NABILA</t>
  </si>
  <si>
    <t>HASAN ARIF</t>
  </si>
  <si>
    <t>KASMUDAH</t>
  </si>
  <si>
    <t>WEDENG SUKOREJO RT 001 RW 003 KARANGBINANGUNG LAMONGAN</t>
  </si>
  <si>
    <t>6285791219990</t>
  </si>
  <si>
    <t>FARADIVA AQILLA ELFARIANI</t>
  </si>
  <si>
    <t>ASKUR</t>
  </si>
  <si>
    <t>SRI PURWANI</t>
  </si>
  <si>
    <t>KAWISTOLEGI RT 002 RW 001 KARANGGENENG LAMONGAN</t>
  </si>
  <si>
    <t>6285648727712</t>
  </si>
  <si>
    <t>FARIKHATUL ISTIMAROH</t>
  </si>
  <si>
    <t>RADI</t>
  </si>
  <si>
    <t>MURNI</t>
  </si>
  <si>
    <t>MOROGO PUTATKUMPUL RT 003 RW 005 TURI LAMONGAN</t>
  </si>
  <si>
    <t>6285648855706</t>
  </si>
  <si>
    <t>FARIKHTA RAMADHANI RIDWAN</t>
  </si>
  <si>
    <t>RIDWAN</t>
  </si>
  <si>
    <t>YENI KHUSNIYAH</t>
  </si>
  <si>
    <t>PEGANDEN PALACE PEGANDEN RT 3 RW 7 MANYAR GRESIK</t>
  </si>
  <si>
    <t>6283856686322</t>
  </si>
  <si>
    <t>FATHIMAH ANNAJWA</t>
  </si>
  <si>
    <t>AH YASIR</t>
  </si>
  <si>
    <t>MARIYATUL QIBTIYAH</t>
  </si>
  <si>
    <t>TAMBAKREJO RT 005 RW 001 DUDUK SAMPEYAN GRESIK</t>
  </si>
  <si>
    <t>6282132397918</t>
  </si>
  <si>
    <t>FATIMATUZZAHROH MUSOFFA</t>
  </si>
  <si>
    <t>SUFYAN ZAKARIYAH</t>
  </si>
  <si>
    <t>MUSLIMAH</t>
  </si>
  <si>
    <t>WEDENG SUKOREJO RT 002 RW 003 KARANGBINANGUN LAMONGAN</t>
  </si>
  <si>
    <t>6285893727203</t>
  </si>
  <si>
    <t>FILDZAH ALTOFUN NESA</t>
  </si>
  <si>
    <t>MOCH SAIFUL ARIF</t>
  </si>
  <si>
    <t>LUSIANA DWININGTIAS</t>
  </si>
  <si>
    <t>NGULEK KALIREJO RT 003 RW 002 DUKUN GRESIK</t>
  </si>
  <si>
    <t>628121719135</t>
  </si>
  <si>
    <t>FIRNANDA KHOLAGUL HIDAYATUS MUAWIYAH</t>
  </si>
  <si>
    <t>M ASYHARI</t>
  </si>
  <si>
    <t>MU'INAH</t>
  </si>
  <si>
    <t>WEDENG SUKOREJO RT 001 RW 001 KARANGBINANGUN LAMONGAN</t>
  </si>
  <si>
    <t>628564085976</t>
  </si>
  <si>
    <t>FITA ARUMNI SEPTHIANY</t>
  </si>
  <si>
    <t>SOLADI</t>
  </si>
  <si>
    <t>KASTILAH</t>
  </si>
  <si>
    <t>KULURAN RT 4 RW 4 KALITENGAH LAMONGAN</t>
  </si>
  <si>
    <t>6285707808910</t>
  </si>
  <si>
    <t>FLORETA NAFISHA PUTRI</t>
  </si>
  <si>
    <t>JOKO PURNOMO</t>
  </si>
  <si>
    <t>PUTRI NINGSIH</t>
  </si>
  <si>
    <t>JL. MAWAR NO. 047 SIMBATAN RT 001 RW 001 SARIREJO LAMONGAN</t>
  </si>
  <si>
    <t>6281559946320</t>
  </si>
  <si>
    <t>HANUM CHARISSA AZZAHRA</t>
  </si>
  <si>
    <t>CIPTO HARI SUBAGIO</t>
  </si>
  <si>
    <t>AMILLATUL AZIZAH</t>
  </si>
  <si>
    <t>KACANGAN RT 003 RW 001 MODO LAMONGAN</t>
  </si>
  <si>
    <t>6285708040713</t>
  </si>
  <si>
    <t>HARITSATUN NAJWA ABIDAH ALBANAN</t>
  </si>
  <si>
    <t>HERAWATI ANGGRAINI</t>
  </si>
  <si>
    <t>AGUS ARIFIANTO</t>
  </si>
  <si>
    <t>ZUNI INDRIANA</t>
  </si>
  <si>
    <t>KADUNG KADUNGREMBUG RT 001 RW 003 SUKODADI LAMONGAN</t>
  </si>
  <si>
    <t>6285708807835</t>
  </si>
  <si>
    <t>HIMMATU ZAWA ARRIFA</t>
  </si>
  <si>
    <t>MOCH. RIFA`I</t>
  </si>
  <si>
    <t>SIDOMULYO RT 003 RW 003 DEKET LAMONGAN</t>
  </si>
  <si>
    <t>6285748986490</t>
  </si>
  <si>
    <t>HUMAIRA AISH FAIHA</t>
  </si>
  <si>
    <t>SITI MUTIAH</t>
  </si>
  <si>
    <t>GLATIK RT 010 RW 003 UJUNGPANGKAH GRESIK</t>
  </si>
  <si>
    <t>62859185949449</t>
  </si>
  <si>
    <t>IKROMAH DZATIS SAKINAH</t>
  </si>
  <si>
    <t>SULADI</t>
  </si>
  <si>
    <t>628554660287</t>
  </si>
  <si>
    <t>INTAN FAZIRAWATI</t>
  </si>
  <si>
    <t>MOCHAMAD FAIZIN</t>
  </si>
  <si>
    <t>GEDONGOMBO RT 4 RW 12 SEMANDING TUBAN</t>
  </si>
  <si>
    <t>6285607770247</t>
  </si>
  <si>
    <t>ISMAUL HUSNAH</t>
  </si>
  <si>
    <t>AJIB</t>
  </si>
  <si>
    <t>AMINAH</t>
  </si>
  <si>
    <t>KLATING TAKERANKLATING RT 002 RW 001 TIKUNG LAMONGAN</t>
  </si>
  <si>
    <t>SMK-XII LPb</t>
  </si>
  <si>
    <t>6285604656734</t>
  </si>
  <si>
    <t>KANZA DINA AQWIYA</t>
  </si>
  <si>
    <t>MAFTUKHIN</t>
  </si>
  <si>
    <t>ZAMALIYAH</t>
  </si>
  <si>
    <t>SIDOMULYO RT 1 RW 1 SIDAYU GRESIK</t>
  </si>
  <si>
    <t>6285100650399</t>
  </si>
  <si>
    <t>KAYLA KHUSUS FATIMATUZZAHRO</t>
  </si>
  <si>
    <t>KHUSAINI</t>
  </si>
  <si>
    <t>SRI SUSYATI</t>
  </si>
  <si>
    <t>KARANGANOM RT 002 RW 001 KARANGBINANGUN LAMONGAN</t>
  </si>
  <si>
    <t>6285802507179</t>
  </si>
  <si>
    <t>KHAIRANI PUTRI ANGGRAINI</t>
  </si>
  <si>
    <t>MAHFUD RIDWAN</t>
  </si>
  <si>
    <t>MUSYARROFAH</t>
  </si>
  <si>
    <t>KEDANYANG RT 4 RW 15 KEBOMAS GRESIK</t>
  </si>
  <si>
    <t>6282131012610</t>
  </si>
  <si>
    <t>KHANSA LABIBAH</t>
  </si>
  <si>
    <t>MOH FAJAR TRISNAAMIJAYA</t>
  </si>
  <si>
    <t>MAZIDHATUL CHUSNIYA</t>
  </si>
  <si>
    <t>6285895280860</t>
  </si>
  <si>
    <t>KHILDAH KHOIRINA</t>
  </si>
  <si>
    <t>KHOIRUN</t>
  </si>
  <si>
    <t>AFWAH</t>
  </si>
  <si>
    <t>IMAAN RT 002 RW 001 DUKUN GRESIK</t>
  </si>
  <si>
    <t>628585908377</t>
  </si>
  <si>
    <t>LELYANA DWI ROHMAWATIN</t>
  </si>
  <si>
    <t>SUGENG</t>
  </si>
  <si>
    <t>SAMINING</t>
  </si>
  <si>
    <t>6285735756658</t>
  </si>
  <si>
    <t>MALICHAH KAMILA ARIANI</t>
  </si>
  <si>
    <t>MOH NUR QOMARI</t>
  </si>
  <si>
    <t>MACHMUDATUN NI`MAH</t>
  </si>
  <si>
    <t>WONOKERTO RT 002 RW 001 DUKUN GRESIK</t>
  </si>
  <si>
    <t>6285859618682</t>
  </si>
  <si>
    <t>MAULIDINNA BASKORO INDAH KIRANNI</t>
  </si>
  <si>
    <t>MUZAKIN</t>
  </si>
  <si>
    <t>LAILATUL FAIZAH</t>
  </si>
  <si>
    <t>LEMBOR RT 001 RW 001 BRONDONG LAMONGAN</t>
  </si>
  <si>
    <t>6285646714671</t>
  </si>
  <si>
    <t>MECCA MIKAILA</t>
  </si>
  <si>
    <t>YASMAUN</t>
  </si>
  <si>
    <t>SUSIAMI KHOIRUL UYUN</t>
  </si>
  <si>
    <t>KARANGCANGKRING RT 004 RW 002 DUKUN GRESIK</t>
  </si>
  <si>
    <t>6285843253842</t>
  </si>
  <si>
    <t>MEILANI PUTRI ARINIL WAFA`</t>
  </si>
  <si>
    <t>MUSHOLIN</t>
  </si>
  <si>
    <t>NURASIATIN</t>
  </si>
  <si>
    <t>KENDALKEMLAGI RT 002 RW 005 KARANGGENENG LAMONGAN</t>
  </si>
  <si>
    <t>6285733138071</t>
  </si>
  <si>
    <t>MITA NUR FAIZATUN NISA`</t>
  </si>
  <si>
    <t>PURYAMI</t>
  </si>
  <si>
    <t>PENCOL WIDANG RT 005 RW 005 WIDANG TUBAN</t>
  </si>
  <si>
    <t>6281332935951</t>
  </si>
  <si>
    <t>MUTIARA AZZAHRA</t>
  </si>
  <si>
    <t>SUBIYONO</t>
  </si>
  <si>
    <t>YATIKAH</t>
  </si>
  <si>
    <t>DADAPAN RT 004 RW 001 SOLOKURO LAMONGAN</t>
  </si>
  <si>
    <t>6285852265482</t>
  </si>
  <si>
    <t>NADIA ZAHROTUSYTA</t>
  </si>
  <si>
    <t>PURKONUDIN</t>
  </si>
  <si>
    <t>KP SINDANGASIH BANJARWARINGIN RT 005 RW 001 SALOPA TASIKMALAYA</t>
  </si>
  <si>
    <t>6282120539883</t>
  </si>
  <si>
    <t>NADIYATAN NAQI`</t>
  </si>
  <si>
    <t>MOHAMMAD ZAINUL ARIFIN</t>
  </si>
  <si>
    <t>YAYUK WAHIBAH</t>
  </si>
  <si>
    <t>JL. KH. WAHID HASYIM 12 KULURAN RT 001 RW 001 KALITENGAH LAMONGAN</t>
  </si>
  <si>
    <t>6281331944544</t>
  </si>
  <si>
    <t>NAFISA BARROTUS TSANIAH</t>
  </si>
  <si>
    <t>LADI</t>
  </si>
  <si>
    <t>NASRI'AH</t>
  </si>
  <si>
    <t>KEMLAGIGEDE RT 12 RW 2 TURI LAMONGAN</t>
  </si>
  <si>
    <t>62881036103894</t>
  </si>
  <si>
    <t>NAILIS SA`ADAH ALFIYANAH</t>
  </si>
  <si>
    <t>TASLIKAN</t>
  </si>
  <si>
    <t>SITI KHOZANAH</t>
  </si>
  <si>
    <t>CABEAN NGEMBOH RT 001 RW 006 UJUNGPANGKAH GRESIK</t>
  </si>
  <si>
    <t>6285330164564</t>
  </si>
  <si>
    <t>NAJWA ANAYA PUTRI FATIHAH</t>
  </si>
  <si>
    <t>MUHAMMAD BASHIR</t>
  </si>
  <si>
    <t>ILMIYAH FADLOL</t>
  </si>
  <si>
    <t>KARANGREJO RT 005 RW 003 UJUNGPANGKAH GRESIK</t>
  </si>
  <si>
    <t>6281232654948</t>
  </si>
  <si>
    <t>NAYLATUL MAWADDAH</t>
  </si>
  <si>
    <t>ABDUL JALIL</t>
  </si>
  <si>
    <t>ZULIYATIN</t>
  </si>
  <si>
    <t>BANGERAN RT 006 RW 003 DUKUN GRESIK</t>
  </si>
  <si>
    <t>6285608738797</t>
  </si>
  <si>
    <t>NINDY AULIA PUTRI</t>
  </si>
  <si>
    <t>SUNARDI</t>
  </si>
  <si>
    <t>SRI ANITA</t>
  </si>
  <si>
    <t>6285732999616</t>
  </si>
  <si>
    <t>NISAUL MAGHFIROH</t>
  </si>
  <si>
    <t>MAKFUL</t>
  </si>
  <si>
    <t>GILIG SUGIHREJO RT 001 RW 004 SUKODADI LAMONGAN</t>
  </si>
  <si>
    <t>6285732899224</t>
  </si>
  <si>
    <t>NOOR SHANIA RAHMAWATI</t>
  </si>
  <si>
    <t>MOHAMMAD FAIZIN</t>
  </si>
  <si>
    <t>ISMAWATUR ROHMAH</t>
  </si>
  <si>
    <t>GLATIK RT 009 RW 003 UJUNGPANGKAH GRESIK</t>
  </si>
  <si>
    <t>62895385546488</t>
  </si>
  <si>
    <t>NUR IZZAH SYAFIRAH</t>
  </si>
  <si>
    <t>SULTONI</t>
  </si>
  <si>
    <t>UMU SAADAH</t>
  </si>
  <si>
    <t>KARANGCANGKRING RT 1 RW 1 DUKUN GRESIK</t>
  </si>
  <si>
    <t>6288235840830</t>
  </si>
  <si>
    <t>NURFUIMA LINDA HIDAYATI</t>
  </si>
  <si>
    <t>MOH. FUDAIRI</t>
  </si>
  <si>
    <t>UMAIPAH</t>
  </si>
  <si>
    <t>SAWO RT 009 RW 005 DUKUN GRESIK</t>
  </si>
  <si>
    <t>6285606170861</t>
  </si>
  <si>
    <t>NURUL SYARIFAH AMALIA</t>
  </si>
  <si>
    <t>MUSLIHATUN</t>
  </si>
  <si>
    <t>6281554030081</t>
  </si>
  <si>
    <t>NURUN NAJWA ARROHMANIYAH</t>
  </si>
  <si>
    <t>LUKMANUL KHAKIM</t>
  </si>
  <si>
    <t>ZUBAIDAH</t>
  </si>
  <si>
    <t>TRACAL RT 003 RW 002 KARANGGENENG LAMONGAN</t>
  </si>
  <si>
    <t>6285731338909</t>
  </si>
  <si>
    <t>PUTRI SALSABILA RAHMA NOVALITA</t>
  </si>
  <si>
    <t>ARIFIANTO</t>
  </si>
  <si>
    <t>NUR HASANAH</t>
  </si>
  <si>
    <t>SEMBUNGAN KIDUL RT 004 RW 002 DUKUN GRESIK</t>
  </si>
  <si>
    <t>6285755578060</t>
  </si>
  <si>
    <t>SEPTIA ERRA RAMADHANI</t>
  </si>
  <si>
    <t>SISWADI</t>
  </si>
  <si>
    <t>RINI SETYOWATI</t>
  </si>
  <si>
    <t>BAKALAN BANYUURIP RT 001 RW 003 KARANGBINANGUN LAMONGAN</t>
  </si>
  <si>
    <t>6285803383706</t>
  </si>
  <si>
    <t>SHAFA ELMATALIA GHAZALI</t>
  </si>
  <si>
    <t>IMAM GHOZALI</t>
  </si>
  <si>
    <t>SSITI MAFTUCHAH</t>
  </si>
  <si>
    <t>6285817250698</t>
  </si>
  <si>
    <t>SHIELLAH ALFI ALKARIMAH YUSUF</t>
  </si>
  <si>
    <t>ALI YUSUF</t>
  </si>
  <si>
    <t>ZULFATUM MA'KIFAH</t>
  </si>
  <si>
    <t>TURI RT 9 RW 2 TURI LAMONGAN</t>
  </si>
  <si>
    <t>6285730526524</t>
  </si>
  <si>
    <t>SHOFWATUL WIDAD</t>
  </si>
  <si>
    <t>M. AGUS SALIM</t>
  </si>
  <si>
    <t>BADROTUL LAILI</t>
  </si>
  <si>
    <t>WEDORO RT 3 RW 1 GLAGAH LAMONGAN</t>
  </si>
  <si>
    <t>6281334126096</t>
  </si>
  <si>
    <t>SIFAAUR ROSYIDAH</t>
  </si>
  <si>
    <t>ABD. SALAM</t>
  </si>
  <si>
    <t>MASRUROH</t>
  </si>
  <si>
    <t>KEMLAGILOR RT 2 RW 2 TURI LAMONGAN</t>
  </si>
  <si>
    <t>6285773511334</t>
  </si>
  <si>
    <t>SILVIA NUR FAIZAH</t>
  </si>
  <si>
    <t>SUYATNO</t>
  </si>
  <si>
    <t>NURUL HIDAYATI</t>
  </si>
  <si>
    <t>BALAN BANJAREJO RT 004 RW 006 SUKODADI LAMONGAN</t>
  </si>
  <si>
    <t>6285816435650</t>
  </si>
  <si>
    <t>SILVIANA NUR MAULIDIYA</t>
  </si>
  <si>
    <t>INDARWATI</t>
  </si>
  <si>
    <t>TURI RT 006 RW 001 TURI LAMONGAN</t>
  </si>
  <si>
    <t>6285784942924</t>
  </si>
  <si>
    <t>SITI FAIZATUDDAAROINI</t>
  </si>
  <si>
    <t>AHMAD JA`FAR</t>
  </si>
  <si>
    <t>YUNY NOVIA ROHMAYANTI</t>
  </si>
  <si>
    <t>DRAJAT RT 002 RW 003 PACIRAN LAMONGAN</t>
  </si>
  <si>
    <t>6289652609312</t>
  </si>
  <si>
    <t>SITI MUZAROTUS SHOBUROH</t>
  </si>
  <si>
    <t>MASDUKI</t>
  </si>
  <si>
    <t>MUSA`ADAH</t>
  </si>
  <si>
    <t>6285648285552</t>
  </si>
  <si>
    <t>SYARIFATUL JAMILAH</t>
  </si>
  <si>
    <t>HADI IRHAMNI</t>
  </si>
  <si>
    <t>FITRIA</t>
  </si>
  <si>
    <t>TANGAR KEDUNGHARJO RT 007 RW 002 WIDANG TUBAN</t>
  </si>
  <si>
    <t>6285854926859</t>
  </si>
  <si>
    <t>SYASYA ATHIQAH FARAH FATHINAH</t>
  </si>
  <si>
    <t>PURWANTO</t>
  </si>
  <si>
    <t>KAFIATUN</t>
  </si>
  <si>
    <t>BANJARANYAR BANJAREJO RT 001 RW 004 KARANGBINANGUN LAMONGAN</t>
  </si>
  <si>
    <t>6281233456585</t>
  </si>
  <si>
    <t>SYIFA AINUL HAYAT</t>
  </si>
  <si>
    <t>MOH. ROKHIM</t>
  </si>
  <si>
    <t>MARJUNI</t>
  </si>
  <si>
    <t>PRIJEK PRIJEKNGABLAK RT 001 RW 003 KARANGGENENG LAMONGAN</t>
  </si>
  <si>
    <t>628523019040</t>
  </si>
  <si>
    <t>SYIFAUS SAUQIYATUS SHOLIKHA</t>
  </si>
  <si>
    <t>M. SHOLIKUN</t>
  </si>
  <si>
    <t>JUMI JABANIYA</t>
  </si>
  <si>
    <t>KENDUNG SEMEMI RT 1 RW 3 BENOWO SURABAYA</t>
  </si>
  <si>
    <t>6285755519719</t>
  </si>
  <si>
    <t>TALITA SHAFA AZALIA SALSABILA</t>
  </si>
  <si>
    <t>ANDI PRANOTO</t>
  </si>
  <si>
    <t>SOFIA HERLINA</t>
  </si>
  <si>
    <t>BULUBRANGSI RT 002 RW 004 LAREN LAMONGAN</t>
  </si>
  <si>
    <t>6281654921035</t>
  </si>
  <si>
    <t>TALITHA NURUL QOLBI</t>
  </si>
  <si>
    <t>YOGIARTO</t>
  </si>
  <si>
    <t>SITI YATMIATUN NAFISAH</t>
  </si>
  <si>
    <t>SAWO RT 004 RW 002 DUKUN GRESIK</t>
  </si>
  <si>
    <t>6285851810683</t>
  </si>
  <si>
    <t>TISYA NIDA`UL HAQQIYAH</t>
  </si>
  <si>
    <t>MUSLIHIN</t>
  </si>
  <si>
    <t>JAZILAH</t>
  </si>
  <si>
    <t>IMAAN RT 006 RW 003 DUKUN GRESIK</t>
  </si>
  <si>
    <t>6285732735045</t>
  </si>
  <si>
    <t>YAYUK NISAUS SHOLAHIYYAH</t>
  </si>
  <si>
    <t>JUHARTO</t>
  </si>
  <si>
    <t>MUSAADAH</t>
  </si>
  <si>
    <t>SAWO RT 002 RW 001 DUKUN GRESIK</t>
  </si>
  <si>
    <t>6285843745307</t>
  </si>
  <si>
    <t>YENI TRI KHUMAYROH</t>
  </si>
  <si>
    <t>MARNOTO</t>
  </si>
  <si>
    <t>SUNINGSIH</t>
  </si>
  <si>
    <t>NGIPRAK BUTUNGAN RT 002 RW 002 KALITENGAH LAMONGAN</t>
  </si>
  <si>
    <t>6281249886881</t>
  </si>
  <si>
    <t>ZAHRA NUR AZLINA</t>
  </si>
  <si>
    <t>SARWIYATI</t>
  </si>
  <si>
    <t>IMAAN RT 005 RW 003 DUKUN GRESIK</t>
  </si>
  <si>
    <t>MA-XIII.9</t>
  </si>
  <si>
    <t>6285785345122</t>
  </si>
  <si>
    <t>ZAHROTUL FARIHAH</t>
  </si>
  <si>
    <t>DONI IRAMA</t>
  </si>
  <si>
    <t>ILHASHOTUL ILMIYAH</t>
  </si>
  <si>
    <t>TEBLURU RT 008 RW 002 SOLOKURO LAMONGAN</t>
  </si>
  <si>
    <t>6281252470588</t>
  </si>
  <si>
    <t>ZAHWA LABIBA</t>
  </si>
  <si>
    <t>MUNTHOLIB</t>
  </si>
  <si>
    <t>SITI KHOIRIYAH</t>
  </si>
  <si>
    <t>SMK-XII Ak</t>
  </si>
  <si>
    <t>6285606127935</t>
  </si>
  <si>
    <t>ZAIDATUL ILMIYAH FIBRIANI</t>
  </si>
  <si>
    <t>HANIFAH</t>
  </si>
  <si>
    <t>BAMBANG RT 6 RW 2 TURI LAMONGAN</t>
  </si>
  <si>
    <t>6282333897800</t>
  </si>
  <si>
    <t>ZARIFAH VERINA MEISYURAH</t>
  </si>
  <si>
    <t>MUKIT</t>
  </si>
  <si>
    <t>KARANGCANGKRING RT 006 RW 003 DUKUN GRESIK</t>
  </si>
  <si>
    <t>6285733140898</t>
  </si>
  <si>
    <t>AUREL NUR HABIBATUL LATHIFAH</t>
  </si>
  <si>
    <t>MOH. SUGIANTO</t>
  </si>
  <si>
    <t>IMROATUL KHASANAH</t>
  </si>
  <si>
    <t>BANJARMADU RT 001 RW 003 KARANGGENENG LAMONGAN</t>
  </si>
  <si>
    <t>D-4</t>
  </si>
  <si>
    <t>6281226713566</t>
  </si>
  <si>
    <t>BELLA KAMALIA AISYI</t>
  </si>
  <si>
    <t>AINUR ROFIQ</t>
  </si>
  <si>
    <t>ITA DESI HERFIANA</t>
  </si>
  <si>
    <t>6281555999169</t>
  </si>
  <si>
    <t>CELENA FEBRIANA</t>
  </si>
  <si>
    <t>WAHYU PUTRO ROMADHONA</t>
  </si>
  <si>
    <t>EKA FITRIANA</t>
  </si>
  <si>
    <t>KEBUN MANGGA TANGGUNGAN RT 003 RW 006 PUCUK LAMONGAN</t>
  </si>
  <si>
    <t>6285843744198</t>
  </si>
  <si>
    <t>DIAH MAHARANI ARDININGRUM</t>
  </si>
  <si>
    <t>HIZBULLAH HUDA</t>
  </si>
  <si>
    <t>KHUSNUL KHOTIMAH</t>
  </si>
  <si>
    <t>PRAMBON PUCANGTELU RT 005 RW 002 KALITENGAH LAMONGAN</t>
  </si>
  <si>
    <t>62881217430350</t>
  </si>
  <si>
    <t>ELZA AMELIA FIRDA</t>
  </si>
  <si>
    <t>AH. ZAINUL ARIFUN</t>
  </si>
  <si>
    <t>RUKAMAH</t>
  </si>
  <si>
    <t>SUNGELEBAK RT 014 RW 004 KARANGGENENG LAMONGAN</t>
  </si>
  <si>
    <t>6285749766177</t>
  </si>
  <si>
    <t>ICHDA MAYLA ACHSANI</t>
  </si>
  <si>
    <t>SONI</t>
  </si>
  <si>
    <t>6285704365797</t>
  </si>
  <si>
    <t>JANEETA EMIRA SHABRIYA</t>
  </si>
  <si>
    <t>FAUZAN FATHURROSYID</t>
  </si>
  <si>
    <t>AINI ZAHIDAH</t>
  </si>
  <si>
    <t>SUMURBER RT 010 RW 003 PANCENG GRESIK</t>
  </si>
  <si>
    <t>628563173399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</si>
  <si>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</si>
  <si>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KAYLA SABRINA ANGGRAINI</t>
  </si>
  <si>
    <t>RENNY PONCO PRASETYO WATIE</t>
  </si>
  <si>
    <t>BANJARWATI RT 001 RW 002 PACIRAN LAMONGAN</t>
  </si>
  <si>
    <t>6285608656615</t>
  </si>
  <si>
    <t>LAILA AININ NAF`AH</t>
  </si>
  <si>
    <t>HIDAYATUL MUKMININ</t>
  </si>
  <si>
    <t>IFATUL AINIYAH</t>
  </si>
  <si>
    <t>6289636729723</t>
  </si>
  <si>
    <t>MILLATUN NASYIFAH</t>
  </si>
  <si>
    <t>SURUJI</t>
  </si>
  <si>
    <t>NURMA HAYATI</t>
  </si>
  <si>
    <t>PJINGGAHAN TANJUNGORI RT - RW - TAMBAK GRESIK</t>
  </si>
  <si>
    <t>626012046383</t>
  </si>
  <si>
    <t>NALA RAHMAH RAMADHANI</t>
  </si>
  <si>
    <t>MUDZAKIR, DRS</t>
  </si>
  <si>
    <t>MAFTUHAH</t>
  </si>
  <si>
    <t>SUMURBER RT 016 RW 005 PANCENG GRESIK</t>
  </si>
  <si>
    <t>6285648197578</t>
  </si>
  <si>
    <t>NANDA ZAHRUNI SAFILLIA</t>
  </si>
  <si>
    <t>IMAM UDDIN</t>
  </si>
  <si>
    <t>WIWIN WINARTIN</t>
  </si>
  <si>
    <t>SUNGELEBAK RT 005 RW 002 KARANGGENENG LAMONGAN</t>
  </si>
  <si>
    <t>628563468694</t>
  </si>
  <si>
    <t>NATASYA ANGELINA AMANDA FERDIANA</t>
  </si>
  <si>
    <t>SITI NURDIANA</t>
  </si>
  <si>
    <t>6282199589884</t>
  </si>
  <si>
    <t>NESYA AURA BUNGA</t>
  </si>
  <si>
    <t>MOH. AINUR ROFIQ</t>
  </si>
  <si>
    <t>SITI NAILUL ROFIQ</t>
  </si>
  <si>
    <t>GEGER RT 002 RW 003 TURI LAMONGAN</t>
  </si>
  <si>
    <t>6285852070153</t>
  </si>
  <si>
    <t>NUR IFATURAHMAH</t>
  </si>
  <si>
    <t>A. SYARONI</t>
  </si>
  <si>
    <t>EKA RAKHMAWATI</t>
  </si>
  <si>
    <t>BESUSUL SUMBERAJI RT 002 RW 003 SUKODADI LAMONGAN</t>
  </si>
  <si>
    <t>6285648312663</t>
  </si>
  <si>
    <t>RIZQINA AYU CAHYA KAMILA</t>
  </si>
  <si>
    <t>6285746855951</t>
  </si>
  <si>
    <t>SALSABILLA DWI APRILLIA</t>
  </si>
  <si>
    <t>BAMBANG BUDIONO</t>
  </si>
  <si>
    <t>ERNA WATI</t>
  </si>
  <si>
    <t>DORO KARANGWEDORO RT 006 RW 004 TURI LAMONGAN</t>
  </si>
  <si>
    <t>6285648660015</t>
  </si>
  <si>
    <t>SYAFAAH LAILATIL FITRI</t>
  </si>
  <si>
    <t>SYARONI</t>
  </si>
  <si>
    <t>DEWI HARTINI</t>
  </si>
  <si>
    <t>SUMBERWUDI RT 001 RW 002 KARANGGENENG LAMONGAN</t>
  </si>
  <si>
    <t>6285648218063</t>
  </si>
  <si>
    <t>A`ISY SANIYA AZZAM</t>
  </si>
  <si>
    <t>SAIIN</t>
  </si>
  <si>
    <t>ANISWATUL HASANAH</t>
  </si>
  <si>
    <t>BALAN BANJAREJO RT 4 RW 6 SUKODADI LAMONGAN</t>
  </si>
  <si>
    <t>6285645020382</t>
  </si>
  <si>
    <t>ADELIA ZAHRA ROSYIDAH</t>
  </si>
  <si>
    <t>SUWOTO</t>
  </si>
  <si>
    <t>SUJIATI</t>
  </si>
  <si>
    <t>PINGGIRAN SUMBERAGUNG RT 002 RW 003 SUKODADI LAMONGAN</t>
  </si>
  <si>
    <t>6285733130659</t>
  </si>
  <si>
    <t>ADINDA KHOIRUN NISWAH</t>
  </si>
  <si>
    <t>RUDI ANAM</t>
  </si>
  <si>
    <t>ANI ROKHMATIN</t>
  </si>
  <si>
    <t>GRIGIS SUMBERJO RT 3 RW 5 SARIREJO LAMONGAN</t>
  </si>
  <si>
    <t>6283833507477</t>
  </si>
  <si>
    <t>ANGEL CYNTYA DEWI MAULIDAH</t>
  </si>
  <si>
    <t>NOVAN SISWANTO</t>
  </si>
  <si>
    <t>PESAPEN I/27 KREMBANGAN UTARA RT 005 RW 001 PABEAN CANTIAN SURABAYA</t>
  </si>
  <si>
    <t>6282140638884</t>
  </si>
  <si>
    <t>CANTIKA ASSYARIFIYAH</t>
  </si>
  <si>
    <t>SUKO WIYONO</t>
  </si>
  <si>
    <t>SITI MARWIYA</t>
  </si>
  <si>
    <t>NGAMBEG RT 1 RW 1 PUCUK LAMONGAN</t>
  </si>
  <si>
    <t>6285706485182</t>
  </si>
  <si>
    <t>DEWI ZAIDATUL RAHMA</t>
  </si>
  <si>
    <t>ABU SUHARTONO</t>
  </si>
  <si>
    <t>SITI NUR KHOLIFAH</t>
  </si>
  <si>
    <t>BANJARSARI RT 001 RW 006 BANJARMADU KARANGGENENG LAMONGAN</t>
  </si>
  <si>
    <t>6283856332218</t>
  </si>
  <si>
    <t>DILLA ADHATUL FITRI</t>
  </si>
  <si>
    <t>NASIKHIH</t>
  </si>
  <si>
    <t>MUKHOLISUN</t>
  </si>
  <si>
    <t>PILANG TEJOASRI RT 1 RW 2 LAREN LAMONGAN</t>
  </si>
  <si>
    <t>6282198021057</t>
  </si>
  <si>
    <t>DINDA FAIZIRAH ZAHROTUS SITA</t>
  </si>
  <si>
    <t>SUNGELEBAK RT 5 RW 2 KARANGGENENG LAMONGAN</t>
  </si>
  <si>
    <t>DZAKIRAH THALITA ZAHRA</t>
  </si>
  <si>
    <t>AHMAD ROHIM</t>
  </si>
  <si>
    <t>ZAHROTUN NISA'</t>
  </si>
  <si>
    <t>KARANGTAWAR RT 1 RW 1 LAREN LAMONGAN</t>
  </si>
  <si>
    <t>6285856033004</t>
  </si>
  <si>
    <t>FIKA ANJANI CAMELIA AL AJEMAIN</t>
  </si>
  <si>
    <t>AJEMAIN</t>
  </si>
  <si>
    <t>WIWIK MUHIDAYATI</t>
  </si>
  <si>
    <t>PELANGWOT RT 1 RW 6 LAREN LAMONGAN</t>
  </si>
  <si>
    <t>6281330367368</t>
  </si>
  <si>
    <t>HARISATUL MAWADDAH</t>
  </si>
  <si>
    <t>MOH. MUJIK</t>
  </si>
  <si>
    <t>KISWATI</t>
  </si>
  <si>
    <t>KARANGTAWAR RT 3 RW 2 LAREN LAMONGAN</t>
  </si>
  <si>
    <t>62857784061518</t>
  </si>
  <si>
    <t>HUSNADYAH FATMAHWATI</t>
  </si>
  <si>
    <t>HUSNUL HULUQ</t>
  </si>
  <si>
    <t>KURNIA NIKDA RETNANI</t>
  </si>
  <si>
    <t>LUMBANGAN PENDOWOLIMO RT 3 RW 1 KARANGBINANGUN LAMONGAN</t>
  </si>
  <si>
    <t>6285731755110</t>
  </si>
  <si>
    <t>IFTITAHUR ROHMANIYAH</t>
  </si>
  <si>
    <t>MOH HANIF ASYHAR</t>
  </si>
  <si>
    <t>MASLIHATINA</t>
  </si>
  <si>
    <t>SUMURBER RT 8 RW 3 PANCENG GRESIK</t>
  </si>
  <si>
    <t>628157146323</t>
  </si>
  <si>
    <t>ISTHOFI NADA MILLAH</t>
  </si>
  <si>
    <t>ALAMIL HUDA</t>
  </si>
  <si>
    <t>LILIS FAIZAH</t>
  </si>
  <si>
    <t>GAGAR TENGAH SUKOBENDU RT 3 RW 2 MANTUP LAMONGAN</t>
  </si>
  <si>
    <t>6285604642145</t>
  </si>
  <si>
    <t>KAYLA ALIFIA ZAFARANI</t>
  </si>
  <si>
    <t>KHOIRIL ANWAR</t>
  </si>
  <si>
    <t>SITI NUR AISYAH</t>
  </si>
  <si>
    <t>LEMAHIRENG KETANEN RT 010 RW 005 PANCENG GRESIK</t>
  </si>
  <si>
    <t>6281230671437</t>
  </si>
  <si>
    <t>MARCELIA CRENATA SHINTA DEWI</t>
  </si>
  <si>
    <t>AHMAD ZUNAEDI</t>
  </si>
  <si>
    <t>YULIATI</t>
  </si>
  <si>
    <t>GEDANGAN RT 004 RW 003 GEDANGAN SIDOARJO</t>
  </si>
  <si>
    <t>6281312701983</t>
  </si>
  <si>
    <t>MAZIDATUL ILMI OKTARISA DINI</t>
  </si>
  <si>
    <t>YENI VIDIAWATI</t>
  </si>
  <si>
    <t>BANJARMADU BANJARMADU RT 2 RW 2 KARANGGENENG LAMONGAN</t>
  </si>
  <si>
    <t>MELYSA NUR KHASANAH</t>
  </si>
  <si>
    <t>SYAIFUL BARRI</t>
  </si>
  <si>
    <t>ERLIN NUR AIZAH</t>
  </si>
  <si>
    <t>KRAJAN SUKOBENDU RT 002 RW 003 MANTUP LAMONGAN</t>
  </si>
  <si>
    <t>6281515680644</t>
  </si>
  <si>
    <t>NABELLA ARDELIYAH</t>
  </si>
  <si>
    <t>RUDI KUSWANTO</t>
  </si>
  <si>
    <t>NIMATUL KHOIRIYAH</t>
  </si>
  <si>
    <t>KEDUNGMEGARIH RT 020 RW 005 KEMBANGBAHU LAMONGAN</t>
  </si>
  <si>
    <t>6285815119048</t>
  </si>
  <si>
    <t>NAJWA ERILAH</t>
  </si>
  <si>
    <t>SUKAERI</t>
  </si>
  <si>
    <t>MUNZILAH</t>
  </si>
  <si>
    <t>PETIYIN TAKERHARJO RT 1 RW 5 SOLOKURO LAMONGAN</t>
  </si>
  <si>
    <t>6285736463854</t>
  </si>
  <si>
    <t>NANDA RAGIL DAVINA BATRISYA</t>
  </si>
  <si>
    <t>SIGIT SUWITO</t>
  </si>
  <si>
    <t>NURBANI PRASETYAWATI</t>
  </si>
  <si>
    <t>6285730766563</t>
  </si>
  <si>
    <t>NIKMAH PUTRI ISMAWATI</t>
  </si>
  <si>
    <t>NGATMAJI</t>
  </si>
  <si>
    <t>RUKIYATI</t>
  </si>
  <si>
    <t>TAMAN TAMANPRIJEG RT 003 RW 001 LAREN LAMONGAN</t>
  </si>
  <si>
    <t>6281455138598</t>
  </si>
  <si>
    <t>NIMAS AMINAH AZ-ZAHRAH</t>
  </si>
  <si>
    <t>ABD. MUGHNI</t>
  </si>
  <si>
    <t>ZIYADATUR RIF`AH</t>
  </si>
  <si>
    <t>BUNGAH RT 17 RW 6 BUNGAH GRESIK</t>
  </si>
  <si>
    <t>6285731322231</t>
  </si>
  <si>
    <t>PRITA DEWI PUSPITA</t>
  </si>
  <si>
    <t>ARIEF RUSLAN</t>
  </si>
  <si>
    <t>KEDUNGKLANTING KEDUNGMEGARIH RT 017 RW 005 KEMBANGBAHU LAMONGAN</t>
  </si>
  <si>
    <t>6285785355522</t>
  </si>
  <si>
    <t>PUTRI AYU RAMADHANI</t>
  </si>
  <si>
    <t>SARPAN</t>
  </si>
  <si>
    <t>ROHAH</t>
  </si>
  <si>
    <t>KEDUNGGLONGGONG SIDOMUKTI RT 003 RW 001 KEMBANGBAHU LAMONGAN</t>
  </si>
  <si>
    <t>6285706372425</t>
  </si>
  <si>
    <t>ROBI`AH AL-ADHAWIYAH</t>
  </si>
  <si>
    <t>SUNYOTO</t>
  </si>
  <si>
    <t>SURATI</t>
  </si>
  <si>
    <t>KRAJAN 1 SUKOBENDU RT 1 RW 2 MANTUP LAMONGAN</t>
  </si>
  <si>
    <t>6285133823392</t>
  </si>
  <si>
    <t>SUKMA RIZKI AMALIA</t>
  </si>
  <si>
    <t>SUWITO</t>
  </si>
  <si>
    <t>UMAROH NATASARI</t>
  </si>
  <si>
    <t>PLOSOKUNING RT 004 RW 002 PADENGANPLOSO PUCUK LAMONGAN</t>
  </si>
  <si>
    <t>628123082773</t>
  </si>
  <si>
    <t>AIDA NURUL AINI</t>
  </si>
  <si>
    <t>NURUL MISBAH</t>
  </si>
  <si>
    <t>ZAINATUR ROBIHAH</t>
  </si>
  <si>
    <t>BANGERAN GENENG RT 003 RW 002 DUKUN GRESIK</t>
  </si>
  <si>
    <t>E-9</t>
  </si>
  <si>
    <t>6285732704608</t>
  </si>
  <si>
    <t>AIKE NESAFA ULIFIA</t>
  </si>
  <si>
    <t>WITONO</t>
  </si>
  <si>
    <t>KUSUMA BANGSA GG KERTANEGARA TUMENGGUNGAN RT 003 RW 006 LAMONGAN LAMONGAN</t>
  </si>
  <si>
    <t>6285733946516</t>
  </si>
  <si>
    <t>AL IMROTUL KUSNIA</t>
  </si>
  <si>
    <t>AFIFUDIN</t>
  </si>
  <si>
    <t>ROSYIDAH</t>
  </si>
  <si>
    <t>E-2</t>
  </si>
  <si>
    <t>6282330812041</t>
  </si>
  <si>
    <t>ANUGRAH RAFIKHA DEWANI</t>
  </si>
  <si>
    <t>MUNAFI'AH</t>
  </si>
  <si>
    <t>BUNGKAWAK TEJOASRI RT 003 RW 004 LAREN LAMONGAN</t>
  </si>
  <si>
    <t>6281311516716</t>
  </si>
  <si>
    <t>ATINA AZKAL FUADAH</t>
  </si>
  <si>
    <t>SHOFIYUDDIN</t>
  </si>
  <si>
    <t>KHAULA ANIS</t>
  </si>
  <si>
    <t>NGAYUNG RT 006 RW 002 MADURAN LAMONGAN</t>
  </si>
  <si>
    <t>E-3</t>
  </si>
  <si>
    <t>6281554492983</t>
  </si>
  <si>
    <t>AZURO SABILA FAZZA MAULIDAH</t>
  </si>
  <si>
    <t>KARTONO</t>
  </si>
  <si>
    <t>ZUZUN LAILUFAR</t>
  </si>
  <si>
    <t>GERMAN RT 001 RW 002 SUGIO LAMONGAN</t>
  </si>
  <si>
    <t>6285707564507</t>
  </si>
  <si>
    <t>BATRISYIA ALFILZAH</t>
  </si>
  <si>
    <t>SUYATIN</t>
  </si>
  <si>
    <t>LILIS</t>
  </si>
  <si>
    <t>KAWISTOLEGI RT 001 RW 001 KARANGGENENG LAMONGAN</t>
  </si>
  <si>
    <t>62895801050384</t>
  </si>
  <si>
    <t>CHARISA WANIDYA UTAMA HARTONO</t>
  </si>
  <si>
    <t>RUDI HARTONO</t>
  </si>
  <si>
    <t>AINUL ISNAENI</t>
  </si>
  <si>
    <t>MULUNG KARANGTINGGIL RT 002 RW 001 PUCUK LAMONGAN</t>
  </si>
  <si>
    <t>6282234537281</t>
  </si>
  <si>
    <t>DAVINA RATNANDITA</t>
  </si>
  <si>
    <t>SYUKRI</t>
  </si>
  <si>
    <t>SUWATUN</t>
  </si>
  <si>
    <t>TEMBOK PENDOWOLIMO RT 002 RW 003 KARANGBINANGUN LAMONGAN</t>
  </si>
  <si>
    <t>6282131864843</t>
  </si>
  <si>
    <t>DWI MAULIDIYAH</t>
  </si>
  <si>
    <t>USMAN HADI</t>
  </si>
  <si>
    <t>ISLAMIYAH</t>
  </si>
  <si>
    <t>KARANGTAPEN KARANGLANGIT RT 001 RW 003 LAMONGAN LAMONGAN</t>
  </si>
  <si>
    <t>6285853420436</t>
  </si>
  <si>
    <t>ERIN MAULIDIAH</t>
  </si>
  <si>
    <t>ASMAUS SHOFIYANAH</t>
  </si>
  <si>
    <t>6282233810314</t>
  </si>
  <si>
    <t>FAIQOTUR RIFDAH AL ABIDAH</t>
  </si>
  <si>
    <t>KHOIRUL ANAM</t>
  </si>
  <si>
    <t>CHAMIMAH</t>
  </si>
  <si>
    <t>PLOSOSETRO RT 008 RW 002 PUCUK LAMONGAN</t>
  </si>
  <si>
    <t>6285791612653</t>
  </si>
  <si>
    <t>FARAH OKTARIAN SYAHPUTRI</t>
  </si>
  <si>
    <t>M. SARONI</t>
  </si>
  <si>
    <t>HUSNUL MUSTAFIDAH</t>
  </si>
  <si>
    <t>JL. RAYA SUGIO NO. 53 KEBET RT 004 RW 001 LAMONGAN LAMONGAN</t>
  </si>
  <si>
    <t>6281332772930</t>
  </si>
  <si>
    <t>FITHRIYATUL MAULIDAH</t>
  </si>
  <si>
    <t>6282257167881</t>
  </si>
  <si>
    <t>HABIBAH AQILAH RAMADHONI</t>
  </si>
  <si>
    <t>MOH. HABIBUL QOSIM</t>
  </si>
  <si>
    <t>KHOLIFATUS SA'DIYAH</t>
  </si>
  <si>
    <t>PENGANGSALAN RT 002 RW 002 KALITENGAH LAMONGAN</t>
  </si>
  <si>
    <t>6285732806511</t>
  </si>
  <si>
    <t>ILHAFAH ARYA NOVRYANI</t>
  </si>
  <si>
    <t>KARIONO</t>
  </si>
  <si>
    <t>NGATMIATUN</t>
  </si>
  <si>
    <t>6285735467317</t>
  </si>
  <si>
    <t>KEYSHA BRILLYAN FEBIANA</t>
  </si>
  <si>
    <t>SUDJITO</t>
  </si>
  <si>
    <t>SISKA APRILIA</t>
  </si>
  <si>
    <t>PENGANGSALAN RT 001 RW 001 KALITENGAH LAMONGAN</t>
  </si>
  <si>
    <t>628564039966</t>
  </si>
  <si>
    <t>KHANSA ZARINA MISBACH</t>
  </si>
  <si>
    <t>MISBAKUL MUNIR</t>
  </si>
  <si>
    <t>MASLIHATIN</t>
  </si>
  <si>
    <t>6285784480833</t>
  </si>
  <si>
    <t>KHARISYAH NADYATUR ROHMAH</t>
  </si>
  <si>
    <t>LILIS MAHRUSIN</t>
  </si>
  <si>
    <t>NUR AZIZAH ROHMAH</t>
  </si>
  <si>
    <t>DADUNGAN RT 002 RW 004 KALITENGAH LAMONGAN</t>
  </si>
  <si>
    <t>6285649089570</t>
  </si>
  <si>
    <t>KHULIATUL MILLAH ELVIANA</t>
  </si>
  <si>
    <t>ATTOILLAH</t>
  </si>
  <si>
    <t>ZAIDATUL FARIDAH</t>
  </si>
  <si>
    <t>PLOSOSETRO RT 004 RW 001 PUCUK LAMONGAN</t>
  </si>
  <si>
    <t>628523337011</t>
  </si>
  <si>
    <t>LAILATUL MAGHFIROH</t>
  </si>
  <si>
    <t>SUPARDI</t>
  </si>
  <si>
    <t>ARTI</t>
  </si>
  <si>
    <t>TUMENGGUNGBARU RT 003 RW 006 TUMENGGUNGAN LAMONGAN</t>
  </si>
  <si>
    <t>6285745981726</t>
  </si>
  <si>
    <t>NA`ILAH SINTA NURIYYAH</t>
  </si>
  <si>
    <t>MOH. AFIF MN.</t>
  </si>
  <si>
    <t>SITI SHOFIYAH</t>
  </si>
  <si>
    <t>6283135957352</t>
  </si>
  <si>
    <t>NAALAT SYAFA`ATUL UDHMA</t>
  </si>
  <si>
    <t>MUHAMMAD YUSUF JUMHURI</t>
  </si>
  <si>
    <t>MAFTUHATUL AFLAHAH</t>
  </si>
  <si>
    <t>BANGERAN RT 006 RW 002 DUKUN GRESIK</t>
  </si>
  <si>
    <t>6285749469938</t>
  </si>
  <si>
    <t>NIRMA LAILATUL AIDA</t>
  </si>
  <si>
    <t>MAS ASPANDI</t>
  </si>
  <si>
    <t>SITI RIFATIN</t>
  </si>
  <si>
    <t>DAGAN RT 005 RW 001 SOLOKURO LAMONGAN</t>
  </si>
  <si>
    <t>6285855714013</t>
  </si>
  <si>
    <t>NOUR ALIFATURR DHEA VANESYA</t>
  </si>
  <si>
    <t>H RADIN</t>
  </si>
  <si>
    <t>YUNI</t>
  </si>
  <si>
    <t>MUMBULAN PENGUMBULANADI  RT 001 RW 004 TIKUNG LAMONGAN</t>
  </si>
  <si>
    <t>6285815030873</t>
  </si>
  <si>
    <t>NUR AWWALIN AFIDATUSSOFA</t>
  </si>
  <si>
    <t>MUHAMMAD NURHADI</t>
  </si>
  <si>
    <t>MUALIYAH</t>
  </si>
  <si>
    <t>SUNAN AMPEL LATUKAN RT 003 RW 001 KARANGGENENG LAMONGAN</t>
  </si>
  <si>
    <t>6285746646918</t>
  </si>
  <si>
    <t>NUR FAZA KAMILA</t>
  </si>
  <si>
    <t>AH. ZAINI</t>
  </si>
  <si>
    <t>IFFAH FIRDAUSI NUZULA</t>
  </si>
  <si>
    <t>KEMLAGIGEDE RT 012 RW 003 TURI LAMONGAN</t>
  </si>
  <si>
    <t>6285855700260</t>
  </si>
  <si>
    <t>NUR LABIBATUS SHOLIHAH</t>
  </si>
  <si>
    <t>ABDUL HADI</t>
  </si>
  <si>
    <t>SITI MAIMANAH</t>
  </si>
  <si>
    <t>TINARO DUKUHAGUNG RT 005 RW 004 TIKUNG LAMONGAN</t>
  </si>
  <si>
    <t>6285853423327</t>
  </si>
  <si>
    <t>NURUL IFADATUL HASANAH</t>
  </si>
  <si>
    <t>SUTU MUNTASIROH</t>
  </si>
  <si>
    <t>6282230412303</t>
  </si>
  <si>
    <t>RAFIQA AZALIANA YUSUF</t>
  </si>
  <si>
    <t>ANHAR YUSUF</t>
  </si>
  <si>
    <t>HENIK IRAWATI</t>
  </si>
  <si>
    <t>JL.SISINGAMANGARAJA LRG. VIRGO NO.4 BESUSU TIMUR RT 001 RW 001 PALU TIMUR PALU</t>
  </si>
  <si>
    <t>6281337240354</t>
  </si>
  <si>
    <t>RENY ARYSTA MIERZA</t>
  </si>
  <si>
    <t>RASMIDI</t>
  </si>
  <si>
    <t>MARDLUYATUS SHOIFAH</t>
  </si>
  <si>
    <t>BANGERAN GENENG RT 005 RW 003 DUKUN GRESIK</t>
  </si>
  <si>
    <t>6285655316635</t>
  </si>
  <si>
    <t>RHEISYA BRILIANT OKTAVIANI</t>
  </si>
  <si>
    <t>SUGIONO</t>
  </si>
  <si>
    <t>SITI QONIATIN NADZIROH</t>
  </si>
  <si>
    <t>DAMPIT SUMBEREJO RT 001 RW 004 LAMONGAN LAMONGAN</t>
  </si>
  <si>
    <t>6289535203055</t>
  </si>
  <si>
    <t>ROSSALIA BELLA RAISYA</t>
  </si>
  <si>
    <t>RAIS</t>
  </si>
  <si>
    <t>TRIA VILIA</t>
  </si>
  <si>
    <t>LENJER DUKUHAGUNG RT 002 RW 002 TIKUNG LAMONGAN</t>
  </si>
  <si>
    <t>6282175167141</t>
  </si>
  <si>
    <t>USWAH EL FAHRUSAZZAM ZAMI</t>
  </si>
  <si>
    <t>SUNAR</t>
  </si>
  <si>
    <t>SUMINAH</t>
  </si>
  <si>
    <t>6285854674616</t>
  </si>
  <si>
    <t>ZAHROTUS TSANI NAJWA</t>
  </si>
  <si>
    <t>NUR AFIF</t>
  </si>
  <si>
    <t>SITI KHOTIMAH</t>
  </si>
  <si>
    <t>SUMURBER RT 020 RW 007 PANCENG GRESIK</t>
  </si>
  <si>
    <t>6285707549890</t>
  </si>
  <si>
    <t>ZALVI SYAFIRA SA`BANIA PUTRI</t>
  </si>
  <si>
    <t>FAISOL MA'ARIF</t>
  </si>
  <si>
    <t>EVI MUKHOLIDA</t>
  </si>
  <si>
    <t>DEMANG SAMBOPINGGIR RT 003 RW 004 KARANGBINANGUN LAMONGAN</t>
  </si>
  <si>
    <t>6285815817989</t>
  </si>
  <si>
    <t>ZASKIA MAHARANI PUTRI</t>
  </si>
  <si>
    <t>OKTAVIANA SARI</t>
  </si>
  <si>
    <t>CEKEL KRAMAT RT 001 RW 001 LAMONGAN LAMONGAN</t>
  </si>
  <si>
    <t>6285852103712</t>
  </si>
  <si>
    <t>ZHAFIRA MAULIDA</t>
  </si>
  <si>
    <t>AGUS HANDOKO</t>
  </si>
  <si>
    <t>DEWI SUNDARI</t>
  </si>
  <si>
    <t>JL. RAYA BUNGAH MOJOPURO WETAN RT 003 RW 002 BUNGAH GRESIK</t>
  </si>
  <si>
    <t>6285745828753</t>
  </si>
  <si>
    <t>ANGELINA KIBRIYAH SAFITRI</t>
  </si>
  <si>
    <t>M,UFAIZIN</t>
  </si>
  <si>
    <t>WARDATUL KHUMAIROH</t>
  </si>
  <si>
    <t>KETAPANGLOR RT 004 RW 003 UJUNGPANGKAH GRESIK</t>
  </si>
  <si>
    <t>6285707549770</t>
  </si>
  <si>
    <t>AULIYAH SYIFA WINARNI</t>
  </si>
  <si>
    <t>ALY KUSWARDIANTONO</t>
  </si>
  <si>
    <t>RULLY SYAMSI WINARNI</t>
  </si>
  <si>
    <t>JL. PEMUDA KLOOFKAMP GURABESI RT 001 RW 005 JAYAPURA UTARA JAYAPURA</t>
  </si>
  <si>
    <t>6282248415765</t>
  </si>
  <si>
    <t>DAVINA NANGSYA AZZAHRAH</t>
  </si>
  <si>
    <t>ANANG</t>
  </si>
  <si>
    <t>SAFI`AH</t>
  </si>
  <si>
    <t>RANDUBENER RT 13 RW 2 KEMBANGBAHU LAMONGAN</t>
  </si>
  <si>
    <t>6289537096560</t>
  </si>
  <si>
    <t>FANY MUFIDAH SARI</t>
  </si>
  <si>
    <t>FACHRI KHUSAINI NUGYK</t>
  </si>
  <si>
    <t>ROJIYAH</t>
  </si>
  <si>
    <t>SAWO RT 013 RW 007 DUKUN GRESIK</t>
  </si>
  <si>
    <t>6285731554886</t>
  </si>
  <si>
    <t>NILLA ADDINIA KHAFSOH</t>
  </si>
  <si>
    <t>KETAPANG LOR RT 001 RW 002 UJUNGPANGKAH GRESIK</t>
  </si>
  <si>
    <t>6285813135311</t>
  </si>
  <si>
    <t>QUEENSHA KHAURA AFIQAH AL AZIFA</t>
  </si>
  <si>
    <t>AHMAD AFIF FITROHA</t>
  </si>
  <si>
    <t>FARIHATUN NI`MAH</t>
  </si>
  <si>
    <t>JABANG LOR SIDOMULYO RT 002 RW 006 SEMEN KEDIRI</t>
  </si>
  <si>
    <t>628573050168</t>
  </si>
  <si>
    <t>LALUNA NAYRA KAMILA</t>
  </si>
  <si>
    <t>ANAS MA'SHUM</t>
  </si>
  <si>
    <t>ISTIADATUR RIZA</t>
  </si>
  <si>
    <t>NGILANG RT 002 RW 001 KALEN KEDUNGPRING LAMONGAN</t>
  </si>
  <si>
    <t>6281331012600</t>
  </si>
  <si>
    <t>DEWI SHOFIYAH NUR HIMMATUSSALAFIYA</t>
  </si>
  <si>
    <t>SAMSURI</t>
  </si>
  <si>
    <t>SUMIYAH</t>
  </si>
  <si>
    <t>GLUMO RT 005 RW 001 JELAKCATUR KALITENGAH LAMONGAN</t>
  </si>
  <si>
    <t>6285792978952</t>
  </si>
  <si>
    <t>DILLA AGUSTIAWATI PUTRI</t>
  </si>
  <si>
    <t>ZUDI HARIYANTO</t>
  </si>
  <si>
    <t>IRA RAHMATUS SAADA</t>
  </si>
  <si>
    <t>SEPAT TAMBAKMENJANGAN RT 001 RW 007 SARIREJO LAMONGAN</t>
  </si>
  <si>
    <t>6285808407652</t>
  </si>
  <si>
    <t>HANIK FARKHATUS SHOLIKHAH</t>
  </si>
  <si>
    <t>AUNUR ROFIK</t>
  </si>
  <si>
    <t>WIWIT</t>
  </si>
  <si>
    <t>6285731327129</t>
  </si>
  <si>
    <t>H. USMAN</t>
  </si>
  <si>
    <t>KHOLIDAH</t>
  </si>
  <si>
    <t>WANAR RT 004 RW 001 PUCUK LAMONGAN</t>
  </si>
  <si>
    <t>6289501850865</t>
  </si>
  <si>
    <t>MUHAMMAD VICTOR NAJIB BAIHAQI</t>
  </si>
  <si>
    <t>MOH. TAUFIQ</t>
  </si>
  <si>
    <t>RENI FATMAWATI</t>
  </si>
  <si>
    <t>WEDENG SUKOREJO RT 002 RW 002 KARANGBINANGUN LAMONGAN</t>
  </si>
  <si>
    <t>6285646194740</t>
  </si>
  <si>
    <t>DZULFIKAR KEIMAL ALAWY</t>
  </si>
  <si>
    <t>HUSNI ROIS</t>
  </si>
  <si>
    <t>MAHFUDLOTIN NI`MAH</t>
  </si>
  <si>
    <t>6285738157018</t>
  </si>
  <si>
    <t>SINTA NURIYYAH</t>
  </si>
  <si>
    <t xml:space="preserve">MA-XII.7 </t>
  </si>
  <si>
    <t>SHEILA MARSHA ANDITA</t>
  </si>
  <si>
    <t>ABDULLAH FAIZ</t>
  </si>
  <si>
    <t>ISWANTO</t>
  </si>
  <si>
    <t>NUR FARIDAH</t>
  </si>
  <si>
    <t>GEDONGKEDOAN RT 001 RW 001 DUKUN GRESIK</t>
  </si>
  <si>
    <t>6281553874448</t>
  </si>
  <si>
    <t>MUHAMMAD ZAKI ABIYASA</t>
  </si>
  <si>
    <t>ZAINURONI</t>
  </si>
  <si>
    <t>ELNA RUSMA WATI</t>
  </si>
  <si>
    <t>PUCUK RT 005 RW 001 PUCUK LAMONGAN</t>
  </si>
  <si>
    <t>6289513220988</t>
  </si>
  <si>
    <t>ACH. ADITIYA YUGASWARA</t>
  </si>
  <si>
    <t xml:space="preserve">                                                                                                                                                                                       </t>
  </si>
  <si>
    <t>WA</t>
  </si>
  <si>
    <t>TGAIHAN ACTUAL</t>
  </si>
  <si>
    <t>TANGGAL BOYONG</t>
  </si>
  <si>
    <t>PENGASUH</t>
  </si>
  <si>
    <t>STATUS APLIKASI</t>
  </si>
  <si>
    <t>AGIZA ZAHRAATUSITA</t>
  </si>
  <si>
    <t>ENDUK ISWATI</t>
  </si>
  <si>
    <t>KAOTANI SUMBEREJO RT 001 RW 001 LAMONGAN LAMONGAN</t>
  </si>
  <si>
    <t>6285859404660</t>
  </si>
  <si>
    <t>SILVIA CANTIKA AZ ZAHRA</t>
  </si>
  <si>
    <t>A. DIMYATI</t>
  </si>
  <si>
    <t>ZAHROTUN NAFISAH</t>
  </si>
  <si>
    <t>SUNGELEBAK RT 011 RW 003 KARANGGENENG LAMONGAN</t>
  </si>
  <si>
    <t>6285745118681</t>
  </si>
  <si>
    <t>ADINDA SHABANA ZHAFIRA FARCHANNESA</t>
  </si>
  <si>
    <t>FARCHAN</t>
  </si>
  <si>
    <t>ANI KUSUMAH</t>
  </si>
  <si>
    <t>SIMBATAN RT 001 RW 001 SARIREJO LAMONGAN</t>
  </si>
  <si>
    <t>6285850777366</t>
  </si>
  <si>
    <t>MOH FIRMAN MAULANA</t>
  </si>
  <si>
    <t>6289675633039</t>
  </si>
  <si>
    <t>REIHANA CHUSNUL CHATIMAH AZZAHRA</t>
  </si>
  <si>
    <t>SUNARIYO</t>
  </si>
  <si>
    <t>SUPIATUN</t>
  </si>
  <si>
    <t>BINORONG BEDINGIN RT 002 RW 004 SUGIO LAMONGAN</t>
  </si>
  <si>
    <t>6285746593790</t>
  </si>
  <si>
    <t>SURYO NUR ADI MUCHLIS</t>
  </si>
  <si>
    <t>ACHMAD MUCHLIS SUDDIN</t>
  </si>
  <si>
    <t>NURUL FAUZIAH</t>
  </si>
  <si>
    <t>PANJUNAN RT 003 RW 001 DUDUKSAMPEYAN GRESIK</t>
  </si>
  <si>
    <t>6287792817621</t>
  </si>
  <si>
    <t>1SctNXt4BrR-peuxU9yIkhRRKDREZ_8TH</t>
  </si>
  <si>
    <t>https://drive.google.com/file/d/1SctNXt4BrR-peuxU9yIkhRRKDREZ_8TH/view?usp=drivesdk</t>
  </si>
  <si>
    <t>Document successfully created on8/10/2025, 09.07.33</t>
  </si>
  <si>
    <t>1a4AwbqRwHI2cB6e-NdnRkW8ymRwcuAUK</t>
  </si>
  <si>
    <t>https://drive.google.com/file/d/1a4AwbqRwHI2cB6e-NdnRkW8ymRwcuAUK/view?usp=drivesdk</t>
  </si>
  <si>
    <t>Document successfully created on23/10/2025, 09.40.59</t>
  </si>
  <si>
    <t>1gktu4u6yVrvhc8r6y3QEHBhkr1aqrSCx</t>
  </si>
  <si>
    <t>https://drive.google.com/file/d/1gktu4u6yVrvhc8r6y3QEHBhkr1aqrSCx/view?usp=drivesdk</t>
  </si>
  <si>
    <t>Document successfully created on19/10/2025, 9:57:26 am</t>
  </si>
  <si>
    <t>1bXFKN0YzC_pbAYNWUqxn0yn3_-WP2sGp</t>
  </si>
  <si>
    <t>https://drive.google.com/file/d/1bXFKN0YzC_pbAYNWUqxn0yn3_-WP2sGp/view?usp=drivesdk</t>
  </si>
  <si>
    <t>Document successfully created on23/10/2025, 09.42.43</t>
  </si>
  <si>
    <t>1q2To6LlEOXUODOOGaa55pmwXTfUMcgWy</t>
  </si>
  <si>
    <t>https://drive.google.com/file/d/1q2To6LlEOXUODOOGaa55pmwXTfUMcgWy/view?usp=drivesdk</t>
  </si>
  <si>
    <t>Document successfully created on23/10/2025, 14.05.21</t>
  </si>
  <si>
    <t>1wBMjTDsiYAMjK6SbZOxFRmBGfUvjZCq4</t>
  </si>
  <si>
    <t>https://drive.google.com/file/d/1wBMjTDsiYAMjK6SbZOxFRmBGfUvjZCq4/view?usp=drivesdk</t>
  </si>
  <si>
    <t>Document successfully created on3/11/2025, 09.33.29</t>
  </si>
  <si>
    <t>1nurl8CvONXB0T5f6-AbkrBm_2KL6ZcPY</t>
  </si>
  <si>
    <t>https://drive.google.com/file/d/1nurl8CvONXB0T5f6-AbkrBm_2KL6ZcPY/view?usp=drivesdk</t>
  </si>
  <si>
    <t>Document successfully created on26/10/2025, 09.50.23</t>
  </si>
  <si>
    <t>1RTNgXsECz0JPgj6qXU5XDUJWShjN7XEW</t>
  </si>
  <si>
    <t>https://drive.google.com/file/d/1RTNgXsECz0JPgj6qXU5XDUJWShjN7XEW/view?usp=drivesdk</t>
  </si>
  <si>
    <t>Document successfully created on27/10/2025, 09.38.24</t>
  </si>
  <si>
    <t>1qaunhIQ7ts-6P4-i016sNY3gqaaQXLEp</t>
  </si>
  <si>
    <t>https://drive.google.com/file/d/1qaunhIQ7ts-6P4-i016sNY3gqaaQXLEp/view?usp=drivesdk</t>
  </si>
  <si>
    <t>Document successfully created on28/10/2025, 08.54.43</t>
  </si>
  <si>
    <t>1t1aoqAr-EKPgkL1CHRbEtNVGqsXQxMXB</t>
  </si>
  <si>
    <t>https://drive.google.com/file/d/1t1aoqAr-EKPgkL1CHRbEtNVGqsXQxMXB/view?usp=drivesdk</t>
  </si>
  <si>
    <t>Document successfully created on28/10/2025, 08.55.41</t>
  </si>
  <si>
    <t>1EwuPyQtigdm3N_I_7QwZZn3i297IPVts</t>
  </si>
  <si>
    <t>https://drive.google.com/file/d/1EwuPyQtigdm3N_I_7QwZZn3i297IPVts/view?usp=drivesdk</t>
  </si>
  <si>
    <t>Document successfully created on29/10/2025, 13.17.18</t>
  </si>
  <si>
    <t>1cLHFF3qjO69W5-0BQ-JFOgep1SqV0MQ0</t>
  </si>
  <si>
    <t>https://drive.google.com/file/d/1cLHFF3qjO69W5-0BQ-JFOgep1SqV0MQ0/view?usp=drivesdk</t>
  </si>
  <si>
    <t>Document successfully created on29/10/2025, 13.43.04</t>
  </si>
  <si>
    <t>1S_cG_qK6MDo2y0UlgVmevde1CxMsNxha</t>
  </si>
  <si>
    <t>https://drive.google.com/file/d/1S_cG_qK6MDo2y0UlgVmevde1CxMsNxha/view?usp=drivesdk</t>
  </si>
  <si>
    <t>Document successfully created on4/11/2025, 09.17.11</t>
  </si>
  <si>
    <t>1du7I35XPIdQZjkOAct4eRo3H7GQSagHg</t>
  </si>
  <si>
    <t>https://drive.google.com/file/d/1du7I35XPIdQZjkOAct4eRo3H7GQSagHg/view?usp=drivesdk</t>
  </si>
  <si>
    <t>Document successfully created on4/11/2025, 13.57.35</t>
  </si>
  <si>
    <t>1ZtXW_imowrDLuvO4EZgbM-snXEOmRzM6</t>
  </si>
  <si>
    <t>https://drive.google.com/file/d/1ZtXW_imowrDLuvO4EZgbM-snXEOmRzM6/view?usp=drivesdk</t>
  </si>
  <si>
    <t>Document successfully created on11/11/2025, 12.03.49</t>
  </si>
  <si>
    <t>1Dhb3cvcA2odhuzBZirjaJprMMALJu4zM</t>
  </si>
  <si>
    <t>https://drive.google.com/file/d/1Dhb3cvcA2odhuzBZirjaJprMMALJu4zM/view?usp=drivesdk</t>
  </si>
  <si>
    <t>Document successfully created on11/11/2025, 12.04.14</t>
  </si>
  <si>
    <t>14RejVJJg7-3JCgsrqthf4Rg7h7nVmmmA</t>
  </si>
  <si>
    <t>https://drive.google.com/file/d/14RejVJJg7-3JCgsrqthf4Rg7h7nVmmmA/view?usp=drivesdk</t>
  </si>
  <si>
    <t>Document successfully created on13/11/2025, 09.24.02</t>
  </si>
  <si>
    <t>1Td0LoCP5QngZ-0rs-DwHrt37O4zceAlX</t>
  </si>
  <si>
    <t>https://drive.google.com/file/d/1Td0LoCP5QngZ-0rs-DwHrt37O4zceAlX/view?usp=drivesdk</t>
  </si>
  <si>
    <t>Document successfully created on15/11/2025, 10.32.23</t>
  </si>
  <si>
    <t>1eepz_dyWxc-Nju9CHV7orAQRD9x3tH8R</t>
  </si>
  <si>
    <t>https://drive.google.com/file/d/1eepz_dyWxc-Nju9CHV7orAQRD9x3tH8R/view?usp=drivesdk</t>
  </si>
  <si>
    <t>Document successfully created on15/11/2025, 13.31.33</t>
  </si>
  <si>
    <t>1tqbceVe_hJU_YJzWvJJ_spiV8ni2UnPT</t>
  </si>
  <si>
    <t>https://drive.google.com/file/d/1tqbceVe_hJU_YJzWvJJ_spiV8ni2UnPT/view?usp=drivesdk</t>
  </si>
  <si>
    <t>Document successfully created on19/11/2025, 08.55.09</t>
  </si>
  <si>
    <t>1w4cAOVwGhGr90aKiibXWNVm5H_-yovGW</t>
  </si>
  <si>
    <t>https://drive.google.com/file/d/1w4cAOVwGhGr90aKiibXWNVm5H_-yovGW/view?usp=drivesdk</t>
  </si>
  <si>
    <t>Document successfully created on24/11/2025, 8:57:35 am</t>
  </si>
  <si>
    <t>1BHVFWbVrLwXoOZMXu44185DfhUJ3aml3</t>
  </si>
  <si>
    <t>https://drive.google.com/file/d/1BHVFWbVrLwXoOZMXu44185DfhUJ3aml3/view?usp=drivesdk</t>
  </si>
  <si>
    <t>Document successfully created on10/1/2026, 13.37.33</t>
  </si>
  <si>
    <t>19xnE0yy_QZdMtatMSuNd8S0izPBoOHCg</t>
  </si>
  <si>
    <t>https://drive.google.com/file/d/19xnE0yy_QZdMtatMSuNd8S0izPBoOHCg/view?usp=drivesdk</t>
  </si>
  <si>
    <t>Document successfully created on27/11/2025, 14.06.38</t>
  </si>
  <si>
    <t>1DcPZI_4kGdkeoeIlGr7cQ84m-A3Kqeig</t>
  </si>
  <si>
    <t>https://drive.google.com/file/d/1DcPZI_4kGdkeoeIlGr7cQ84m-A3Kqeig/view?usp=drivesdk</t>
  </si>
  <si>
    <t>Document successfully created on29/11/2025, 07.51.59</t>
  </si>
  <si>
    <t>15hPOg9iA9nrmmImc-S73yTFvT7FYXvjD</t>
  </si>
  <si>
    <t>https://drive.google.com/file/d/15hPOg9iA9nrmmImc-S73yTFvT7FYXvjD/view?usp=drivesdk</t>
  </si>
  <si>
    <t>Document successfully created on29/11/2025, 8:40:44 am</t>
  </si>
  <si>
    <t>1i18s6wS7CF-zB4O-QSDx99SsgSQN80Rs</t>
  </si>
  <si>
    <t>https://drive.google.com/file/d/1i18s6wS7CF-zB4O-QSDx99SsgSQN80Rs/view?usp=drivesdk</t>
  </si>
  <si>
    <t>Document successfully created on30/11/2025, 10.59.33</t>
  </si>
  <si>
    <t>1xWecT_eGN6h8FvBCoSnWRTK7rQzumHde</t>
  </si>
  <si>
    <t>https://drive.google.com/file/d/1xWecT_eGN6h8FvBCoSnWRTK7rQzumHde/view?usp=drivesdk</t>
  </si>
  <si>
    <t>Document successfully created on11/12/2025, 14.12.11</t>
  </si>
  <si>
    <t>13IKGnBGW7U8XkzIASgjboLXO40ckaKEs</t>
  </si>
  <si>
    <t>https://drive.google.com/file/d/13IKGnBGW7U8XkzIASgjboLXO40ckaKEs/view?usp=drivesdk</t>
  </si>
  <si>
    <t>Document successfully created on11/12/2025, 14.13.49</t>
  </si>
  <si>
    <t>1w3GwnAQC4PrvC4j61fsLAw8N3pOXcO2h</t>
  </si>
  <si>
    <t>https://drive.google.com/file/d/1w3GwnAQC4PrvC4j61fsLAw8N3pOXcO2h/view?usp=drivesdk</t>
  </si>
  <si>
    <t>Document successfully created on21/12/2025, 09.33.33</t>
  </si>
  <si>
    <t>1PfaUC7cEVBTGtReWCSnhHTY8dhO4Dj4F</t>
  </si>
  <si>
    <t>https://drive.google.com/file/d/1PfaUC7cEVBTGtReWCSnhHTY8dhO4Dj4F/view?usp=drivesdk</t>
  </si>
  <si>
    <t>Document successfully created on3/1/2026, 10.23.29</t>
  </si>
  <si>
    <t>1zlR7yTmRhTJaeV5WnpqXAJN71FDM99Uc</t>
  </si>
  <si>
    <t>https://drive.google.com/file/d/1zlR7yTmRhTJaeV5WnpqXAJN71FDM99Uc/view?usp=drivesdk</t>
  </si>
  <si>
    <t>Document successfully created on6/1/2026, 10.48.16</t>
  </si>
  <si>
    <t>13qHOiS5-1jnylnuzO4uIq9x6su5Z2mTi</t>
  </si>
  <si>
    <t>https://drive.google.com/file/d/13qHOiS5-1jnylnuzO4uIq9x6su5Z2mTi/view?usp=drivesdk</t>
  </si>
  <si>
    <t>Document successfully created on22/1/2026, 14.00.26</t>
  </si>
  <si>
    <t>1pR0xD5PEukB8rXqAStWC-3DslR8NmdVi</t>
  </si>
  <si>
    <t>https://drive.google.com/file/d/1pR0xD5PEukB8rXqAStWC-3DslR8NmdVi/view?usp=drivesdk</t>
  </si>
  <si>
    <t>Document successfully created on18/1/2026, 12.12.44</t>
  </si>
  <si>
    <t>1aG3tyLWxCZ4cYpV2lKAlZ-qKD9ICQ-A0</t>
  </si>
  <si>
    <t>https://drive.google.com/file/d/1aG3tyLWxCZ4cYpV2lKAlZ-qKD9ICQ-A0/view?usp=drivesdk</t>
  </si>
  <si>
    <t>Document successfully created on19/1/2026, 09.22.48</t>
  </si>
  <si>
    <t>1TcVmRQxA0rdFK32_9WdHiCERw2BvioDV</t>
  </si>
  <si>
    <t>https://drive.google.com/file/d/1TcVmRQxA0rdFK32_9WdHiCERw2BvioDV/view?usp=drivesdk</t>
  </si>
  <si>
    <t>Document successfully created on24/1/2026, 08.45.05</t>
  </si>
  <si>
    <t>1nee_CPw-3hGwjGF-fho2MM3ix2OQ51X-</t>
  </si>
  <si>
    <t>https://drive.google.com/file/d/1nee_CPw-3hGwjGF-fho2MM3ix2OQ51X-/view?usp=drivesdk</t>
  </si>
  <si>
    <t>Document successfully created on31/1/2026, 07.46.53</t>
  </si>
  <si>
    <t>12nAwIa2ivqx7GDh94Yv_nhfvm1iydq1f</t>
  </si>
  <si>
    <t>https://drive.google.com/file/d/12nAwIa2ivqx7GDh94Yv_nhfvm1iydq1f/view?usp=drivesdk</t>
  </si>
  <si>
    <t>Document successfully created on1/2/2026, 09.19.58</t>
  </si>
  <si>
    <t>19MgjfFJi39DCa1eSHvwMlJAqYXgtJh7J</t>
  </si>
  <si>
    <t>https://drive.google.com/file/d/19MgjfFJi39DCa1eSHvwMlJAqYXgtJh7J/view?usp=drivesdk</t>
  </si>
  <si>
    <t>Document successfully created on15/02/2026, 10:56:36 am</t>
  </si>
  <si>
    <t>12UY7xY5uxI-rh4l00yueAelUgal6SDS0</t>
  </si>
  <si>
    <t>https://drive.google.com/file/d/12UY7xY5uxI-rh4l00yueAelUgal6SDS0/view?usp=drivesdk</t>
  </si>
  <si>
    <t>Document successfully created on24/2/2026, 10.33.36</t>
  </si>
  <si>
    <t>LPPM</t>
  </si>
  <si>
    <t>18IA8S5UZy1QXwP7eHJ4PgQ6LKJwzHc6V</t>
  </si>
  <si>
    <t>https://drive.google.com/file/d/18IA8S5UZy1QXwP7eHJ4PgQ6LKJwzHc6V/view?usp=drivesdk</t>
  </si>
  <si>
    <t>Document successfully created on1/3/2026, 09.37.54</t>
  </si>
  <si>
    <t>1BpkZDuitqA0QX4gl0khDKfPJQSiL8JOr</t>
  </si>
  <si>
    <t>https://drive.google.com/file/d/1BpkZDuitqA0QX4gl0khDKfPJQSiL8JOr/view?usp=drivesdk</t>
  </si>
  <si>
    <t>Document successfully created on2/4/2026, 09.51.36</t>
  </si>
  <si>
    <t>1WVTdIJc36XvrH8EuMq9aCZPQ4naaCaM4</t>
  </si>
  <si>
    <t>https://drive.google.com/file/d/1WVTdIJc36XvrH8EuMq9aCZPQ4naaCaM4/view?usp=drivesdk</t>
  </si>
  <si>
    <t>Document successfully created on31/3/2026, 13.25.49</t>
  </si>
  <si>
    <t>1jdeIQ44ZqCI-cAqyr8foXk0XL1TCTUvg</t>
  </si>
  <si>
    <t>https://drive.google.com/file/d/1jdeIQ44ZqCI-cAqyr8foXk0XL1TCTUvg/view?usp=drivesdk</t>
  </si>
  <si>
    <t>Document successfully created on2/4/2026, 09.52.29</t>
  </si>
  <si>
    <t>1VrmBaVS6Odt5YNpzdPTtQTdJkT9WEIBU</t>
  </si>
  <si>
    <t>https://drive.google.com/file/d/1VrmBaVS6Odt5YNpzdPTtQTdJkT9WEIBU/view?usp=drivesdk</t>
  </si>
  <si>
    <t>Document successfully created on6/4/2026, 09.32.33</t>
  </si>
  <si>
    <t>1NMZHDWeDSZhMyQSn2luU8ycAHpT4ggPf</t>
  </si>
  <si>
    <t>https://drive.google.com/file/d/1NMZHDWeDSZhMyQSn2luU8ycAHpT4ggPf/view?usp=drivesdk</t>
  </si>
  <si>
    <t>Document successfully created on11/4/2026, 08.05.42</t>
  </si>
  <si>
    <t>1quioWHG-PCzImJkxfglVCR5GsIfbpfFb</t>
  </si>
  <si>
    <t>https://drive.google.com/file/d/1quioWHG-PCzImJkxfglVCR5GsIfbpfFb/view?usp=drivesdk</t>
  </si>
  <si>
    <t>Document successfully created on27/4/2026, 13.40.32</t>
  </si>
  <si>
    <t>17MSLEdp838C9f1S80ufFNR2t13uqqYns</t>
  </si>
  <si>
    <t>https://drive.google.com/file/d/17MSLEdp838C9f1S80ufFNR2t13uqqYns/view?usp=drivesdk</t>
  </si>
  <si>
    <t>Document successfully created on13/5/2026, 08.24.17</t>
  </si>
  <si>
    <t>12iJkc66DrPgUNREcnSvwXh3TKjW96IYc</t>
  </si>
  <si>
    <t>https://drive.google.com/file/d/12iJkc66DrPgUNREcnSvwXh3TKjW96IYc/view?usp=drivesdk</t>
  </si>
  <si>
    <t>Document successfully created on13/5/2026, 08.30.46</t>
  </si>
  <si>
    <t>18Sloa8Dpc_j1CCaUeZEuHZH5DQoS1-aL</t>
  </si>
  <si>
    <t>https://drive.google.com/file/d/18Sloa8Dpc_j1CCaUeZEuHZH5DQoS1-aL/view?usp=drivesdk</t>
  </si>
  <si>
    <t>Document successfully created on13/5/2026, 08.31.07</t>
  </si>
  <si>
    <t>1T2xW2ol1HL_pL0-lRKHQTZK3bNRFDq7a</t>
  </si>
  <si>
    <t>https://drive.google.com/file/d/1T2xW2ol1HL_pL0-lRKHQTZK3bNRFDq7a/view?usp=drivesdk</t>
  </si>
  <si>
    <t>Document successfully created on26/5/2026, 10.06.19</t>
  </si>
  <si>
    <t>15CrYGlTxozvS8bhjXK07vxojKXxyewaW</t>
  </si>
  <si>
    <t>https://drive.google.com/file/d/15CrYGlTxozvS8bhjXK07vxojKXxyewaW/view?usp=drivesdk</t>
  </si>
  <si>
    <t>Document successfully created on6/6/2026, 09.39.37</t>
  </si>
  <si>
    <t>Nama</t>
  </si>
  <si>
    <t>Nilai</t>
  </si>
  <si>
    <t>Baris Mulai (Opsional)</t>
  </si>
  <si>
    <t>Baris Finish (Opsional)</t>
  </si>
  <si>
    <t>Nama Sheet Data</t>
  </si>
  <si>
    <t>BOYONG</t>
  </si>
  <si>
    <t>ID Template  Document</t>
  </si>
  <si>
    <t>1Qc-pD7phpISnYEPKAklHwFU4HlZSjirV4M60qKlrWMk</t>
  </si>
  <si>
    <t>ID Folder Hasil PDF</t>
  </si>
  <si>
    <t>1_s4grQQf62Q1Gj9OUFO1T87J3y2Kvg_G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</si>
</sst>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 &quot;mmmm&quot; &quot;yyyy"/>
    <numFmt numFmtId="165" formatCode="dddd&quot;, &quot;dd&quot; &quot;mmmm&quot; &quot;yyyy"/>
    <numFmt numFmtId="166" formatCode="d mmmm yyyy"/>
    <numFmt numFmtId="167" formatCode="dd/mm/yyyy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  <font>
      <b/>
      <sz val="12.0"/>
      <color theme="1"/>
      <name val="Arial"/>
    </font>
    <font>
      <b/>
      <color theme="1"/>
      <name val="Arial"/>
    </font>
    <font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AFE9CA"/>
        <bgColor rgb="FFAFE9CA"/>
      </patternFill>
    </fill>
    <fill>
      <patternFill patternType="solid">
        <fgColor rgb="FFE7F9EF"/>
        <bgColor rgb="FFE7F9EF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49" xfId="0" applyFont="1" applyNumberFormat="1"/>
    <xf borderId="0" fillId="0" fontId="1" numFmtId="3" xfId="0" applyFont="1" applyNumberFormat="1"/>
    <xf borderId="0" fillId="0" fontId="1" numFmtId="3" xfId="0" applyAlignment="1" applyFont="1" applyNumberFormat="1">
      <alignment horizontal="center"/>
    </xf>
    <xf borderId="0" fillId="2" fontId="2" numFmtId="0" xfId="0" applyAlignment="1" applyFill="1" applyFont="1">
      <alignment horizontal="center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49" xfId="0" applyAlignment="1" applyFont="1" applyNumberFormat="1">
      <alignment horizontal="center" shrinkToFit="0" vertical="center" wrapText="1"/>
    </xf>
    <xf borderId="0" fillId="2" fontId="2" numFmtId="3" xfId="0" applyAlignment="1" applyFont="1" applyNumberFormat="1">
      <alignment horizontal="center" readingOrder="0" shrinkToFit="0" vertical="center" wrapText="1"/>
    </xf>
    <xf borderId="0" fillId="3" fontId="1" numFmtId="0" xfId="0" applyAlignment="1" applyFill="1" applyFont="1">
      <alignment horizontal="center"/>
    </xf>
    <xf borderId="0" fillId="3" fontId="1" numFmtId="0" xfId="0" applyFont="1"/>
    <xf borderId="0" fillId="3" fontId="1" numFmtId="0" xfId="0" applyAlignment="1" applyFont="1">
      <alignment horizontal="center"/>
    </xf>
    <xf borderId="0" fillId="3" fontId="1" numFmtId="0" xfId="0" applyFont="1"/>
    <xf borderId="0" fillId="3" fontId="1" numFmtId="0" xfId="0" applyAlignment="1" applyFont="1">
      <alignment horizontal="center" readingOrder="0"/>
    </xf>
    <xf borderId="0" fillId="3" fontId="1" numFmtId="49" xfId="0" applyFont="1" applyNumberFormat="1"/>
    <xf borderId="0" fillId="3" fontId="1" numFmtId="3" xfId="0" applyFont="1" applyNumberFormat="1"/>
    <xf borderId="0" fillId="3" fontId="3" numFmtId="0" xfId="0" applyAlignment="1" applyFont="1">
      <alignment horizontal="center"/>
    </xf>
    <xf borderId="0" fillId="3" fontId="3" numFmtId="3" xfId="0" applyAlignment="1" applyFont="1" applyNumberFormat="1">
      <alignment horizontal="center"/>
    </xf>
    <xf borderId="0" fillId="4" fontId="1" numFmtId="0" xfId="0" applyAlignment="1" applyFill="1" applyFont="1">
      <alignment horizontal="center"/>
    </xf>
    <xf borderId="0" fillId="4" fontId="1" numFmtId="0" xfId="0" applyFont="1"/>
    <xf borderId="0" fillId="4" fontId="1" numFmtId="0" xfId="0" applyAlignment="1" applyFont="1">
      <alignment horizontal="center"/>
    </xf>
    <xf borderId="0" fillId="4" fontId="1" numFmtId="0" xfId="0" applyFont="1"/>
    <xf borderId="0" fillId="4" fontId="1" numFmtId="0" xfId="0" applyAlignment="1" applyFont="1">
      <alignment horizontal="center" readingOrder="0"/>
    </xf>
    <xf borderId="0" fillId="4" fontId="1" numFmtId="49" xfId="0" applyFont="1" applyNumberFormat="1"/>
    <xf borderId="0" fillId="4" fontId="1" numFmtId="3" xfId="0" applyFont="1" applyNumberFormat="1"/>
    <xf borderId="0" fillId="4" fontId="3" numFmtId="0" xfId="0" applyAlignment="1" applyFont="1">
      <alignment horizontal="center"/>
    </xf>
    <xf borderId="0" fillId="4" fontId="3" numFmtId="3" xfId="0" applyAlignment="1" applyFont="1" applyNumberFormat="1">
      <alignment horizontal="center"/>
    </xf>
    <xf borderId="0" fillId="4" fontId="1" numFmtId="3" xfId="0" applyAlignment="1" applyFont="1" applyNumberFormat="1">
      <alignment horizontal="center"/>
    </xf>
    <xf borderId="0" fillId="3" fontId="1" numFmtId="3" xfId="0" applyAlignment="1" applyFont="1" applyNumberFormat="1">
      <alignment horizontal="center"/>
    </xf>
    <xf borderId="0" fillId="3" fontId="1" numFmtId="3" xfId="0" applyAlignment="1" applyFont="1" applyNumberFormat="1">
      <alignment horizontal="center" readingOrder="0"/>
    </xf>
    <xf borderId="0" fillId="4" fontId="1" numFmtId="3" xfId="0" applyAlignment="1" applyFont="1" applyNumberFormat="1">
      <alignment horizontal="center" readingOrder="0"/>
    </xf>
    <xf borderId="0" fillId="4" fontId="1" numFmtId="3" xfId="0" applyAlignment="1" applyFont="1" applyNumberFormat="1">
      <alignment readingOrder="0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horizontal="left" vertical="center"/>
    </xf>
    <xf borderId="0" fillId="3" fontId="2" numFmtId="0" xfId="0" applyAlignment="1" applyFont="1">
      <alignment horizontal="center" vertical="center"/>
    </xf>
    <xf borderId="0" fillId="3" fontId="2" numFmtId="49" xfId="0" applyAlignment="1" applyFont="1" applyNumberFormat="1">
      <alignment horizontal="center" vertical="center"/>
    </xf>
    <xf borderId="0" fillId="2" fontId="1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3" xfId="0" applyAlignment="1" applyFont="1" applyNumberFormat="1">
      <alignment horizontal="center" readingOrder="0" shrinkToFit="0" vertical="center" wrapText="1"/>
    </xf>
    <xf borderId="0" fillId="3" fontId="1" numFmtId="49" xfId="0" applyAlignment="1" applyFont="1" applyNumberFormat="1">
      <alignment horizontal="center"/>
    </xf>
    <xf borderId="0" fillId="5" fontId="1" numFmtId="0" xfId="0" applyAlignment="1" applyFill="1" applyFont="1">
      <alignment horizontal="center"/>
    </xf>
    <xf borderId="0" fillId="5" fontId="1" numFmtId="0" xfId="0" applyFont="1"/>
    <xf borderId="0" fillId="5" fontId="1" numFmtId="0" xfId="0" applyAlignment="1" applyFont="1">
      <alignment horizontal="center" readingOrder="0"/>
    </xf>
    <xf borderId="0" fillId="5" fontId="1" numFmtId="0" xfId="0" applyAlignment="1" applyFont="1">
      <alignment horizontal="center"/>
    </xf>
    <xf borderId="0" fillId="5" fontId="1" numFmtId="49" xfId="0" applyAlignment="1" applyFont="1" applyNumberFormat="1">
      <alignment horizontal="center"/>
    </xf>
    <xf borderId="0" fillId="5" fontId="1" numFmtId="3" xfId="0" applyFont="1" applyNumberFormat="1"/>
    <xf borderId="0" fillId="5" fontId="1" numFmtId="3" xfId="0" applyAlignment="1" applyFont="1" applyNumberFormat="1">
      <alignment horizontal="center" readingOrder="0"/>
    </xf>
    <xf borderId="0" fillId="5" fontId="1" numFmtId="0" xfId="0" applyFont="1"/>
    <xf borderId="0" fillId="5" fontId="1" numFmtId="3" xfId="0" applyAlignment="1" applyFont="1" applyNumberFormat="1">
      <alignment horizontal="center"/>
    </xf>
    <xf borderId="0" fillId="3" fontId="1" numFmtId="3" xfId="0" applyAlignment="1" applyFont="1" applyNumberFormat="1">
      <alignment readingOrder="0"/>
    </xf>
    <xf borderId="0" fillId="5" fontId="1" numFmtId="3" xfId="0" applyAlignment="1" applyFont="1" applyNumberFormat="1">
      <alignment readingOrder="0"/>
    </xf>
    <xf borderId="0" fillId="5" fontId="1" numFmtId="0" xfId="0" applyAlignment="1" applyFont="1">
      <alignment horizontal="center" vertical="center"/>
    </xf>
    <xf borderId="0" fillId="5" fontId="1" numFmtId="0" xfId="0" applyAlignment="1" applyFont="1">
      <alignment horizontal="left"/>
    </xf>
    <xf borderId="0" fillId="5" fontId="1" numFmtId="3" xfId="0" applyAlignment="1" applyFont="1" applyNumberFormat="1">
      <alignment horizontal="center" vertical="center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left"/>
    </xf>
    <xf borderId="0" fillId="3" fontId="1" numFmtId="3" xfId="0" applyAlignment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49" xfId="0" applyAlignment="1" applyFont="1" applyNumberFormat="1">
      <alignment horizontal="center"/>
    </xf>
    <xf borderId="0" fillId="0" fontId="1" numFmtId="3" xfId="0" applyFont="1" applyNumberFormat="1"/>
    <xf borderId="0" fillId="0" fontId="1" numFmtId="3" xfId="0" applyAlignment="1" applyFont="1" applyNumberFormat="1">
      <alignment horizontal="center" readingOrder="0"/>
    </xf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Font="1"/>
    <xf borderId="0" fillId="0" fontId="1" numFmtId="49" xfId="0" applyFont="1" applyNumberFormat="1"/>
    <xf borderId="0" fillId="0" fontId="1" numFmtId="0" xfId="0" applyFont="1"/>
    <xf borderId="0" fillId="0" fontId="4" numFmtId="0" xfId="0" applyFont="1"/>
    <xf borderId="0" fillId="0" fontId="5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horizontal="center" vertical="bottom"/>
    </xf>
    <xf borderId="0" fillId="6" fontId="3" numFmtId="0" xfId="0" applyAlignment="1" applyFill="1" applyFont="1">
      <alignment vertical="bottom"/>
    </xf>
    <xf borderId="0" fillId="0" fontId="3" numFmtId="0" xfId="0" applyAlignment="1" applyFont="1">
      <alignment horizontal="center" readingOrder="0" vertical="bottom"/>
    </xf>
    <xf borderId="0" fillId="7" fontId="8" numFmtId="0" xfId="0" applyAlignment="1" applyFill="1" applyFont="1">
      <alignment readingOrder="0" vertical="bottom"/>
    </xf>
    <xf borderId="0" fillId="6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AFE9CA"/>
          <bgColor rgb="FFAFE9CA"/>
        </patternFill>
      </fill>
      <border/>
    </dxf>
  </dxfs>
  <tableStyles count="3">
    <tableStyle count="3" pivot="0" name="BOYONG-style">
      <tableStyleElement dxfId="1" type="headerRow"/>
      <tableStyleElement dxfId="2" type="firstRowStripe"/>
      <tableStyleElement dxfId="3" type="secondRowStripe"/>
    </tableStyle>
    <tableStyle count="2" pivot="0" name="BOYONG-style 2">
      <tableStyleElement dxfId="3" type="firstRowStripe"/>
      <tableStyleElement dxfId="2" type="secondRowStripe"/>
    </tableStyle>
    <tableStyle count="2" pivot="0" name="BOYONG-style 3">
      <tableStyleElement dxfId="4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BZ1" displayName="Table_1" name="Table_1" id="1">
  <tableColumns count="7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  <tableColumn name="Column65" id="65"/>
    <tableColumn name="Column66" id="66"/>
    <tableColumn name="Column67" id="67"/>
    <tableColumn name="Column68" id="68"/>
    <tableColumn name="Column69" id="69"/>
    <tableColumn name="Column70" id="70"/>
    <tableColumn name="Column71" id="71"/>
    <tableColumn name="Column72" id="72"/>
    <tableColumn name="Column73" id="73"/>
    <tableColumn name="Column74" id="74"/>
    <tableColumn name="Column75" id="75"/>
    <tableColumn name="Column76" id="76"/>
    <tableColumn name="Column77" id="77"/>
    <tableColumn name="Column78" id="78"/>
  </tableColumns>
  <tableStyleInfo name="BOYONG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2:BL5" displayName="Table_2" name="Table_2" id="2">
  <tableColumns count="6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</tableColumns>
  <tableStyleInfo name="BOYONG-style 2" showColumnStripes="0" showFirstColumn="1" showLastColumn="1" showRowStripes="1"/>
</table>
</file>

<file path=xl/tables/table3.xml><?xml version="1.0" encoding="utf-8"?>
<table xmlns="http://schemas.openxmlformats.org/spreadsheetml/2006/main" headerRowCount="0" ref="A6:BL7" displayName="Table_3" name="Table_3" id="3">
  <tableColumns count="6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  <tableColumn name="Column53" id="53"/>
    <tableColumn name="Column54" id="54"/>
    <tableColumn name="Column55" id="55"/>
    <tableColumn name="Column56" id="56"/>
    <tableColumn name="Column57" id="57"/>
    <tableColumn name="Column58" id="58"/>
    <tableColumn name="Column59" id="59"/>
    <tableColumn name="Column60" id="60"/>
    <tableColumn name="Column61" id="61"/>
    <tableColumn name="Column62" id="62"/>
    <tableColumn name="Column63" id="63"/>
    <tableColumn name="Column64" id="64"/>
  </tableColumns>
  <tableStyleInfo name="BOYONG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8IA8S5UZy1QXwP7eHJ4PgQ6LKJwzHc6V/view?usp=drivesdk" TargetMode="External"/><Relationship Id="rId42" Type="http://schemas.openxmlformats.org/officeDocument/2006/relationships/hyperlink" Target="https://drive.google.com/file/d/1WVTdIJc36XvrH8EuMq9aCZPQ4naaCaM4/view?usp=drivesdk" TargetMode="External"/><Relationship Id="rId41" Type="http://schemas.openxmlformats.org/officeDocument/2006/relationships/hyperlink" Target="https://drive.google.com/file/d/1BpkZDuitqA0QX4gl0khDKfPJQSiL8JOr/view?usp=drivesdk" TargetMode="External"/><Relationship Id="rId44" Type="http://schemas.openxmlformats.org/officeDocument/2006/relationships/hyperlink" Target="https://drive.google.com/file/d/1VrmBaVS6Odt5YNpzdPTtQTdJkT9WEIBU/view?usp=drivesdk" TargetMode="External"/><Relationship Id="rId43" Type="http://schemas.openxmlformats.org/officeDocument/2006/relationships/hyperlink" Target="https://drive.google.com/file/d/1jdeIQ44ZqCI-cAqyr8foXk0XL1TCTUvg/view?usp=drivesdk" TargetMode="External"/><Relationship Id="rId46" Type="http://schemas.openxmlformats.org/officeDocument/2006/relationships/hyperlink" Target="https://drive.google.com/file/d/1quioWHG-PCzImJkxfglVCR5GsIfbpfFb/view?usp=drivesdk" TargetMode="External"/><Relationship Id="rId45" Type="http://schemas.openxmlformats.org/officeDocument/2006/relationships/hyperlink" Target="https://drive.google.com/file/d/1NMZHDWeDSZhMyQSn2luU8ycAHpT4ggPf/view?usp=drivesdk" TargetMode="External"/><Relationship Id="rId1" Type="http://schemas.openxmlformats.org/officeDocument/2006/relationships/hyperlink" Target="https://drive.google.com/file/d/1SctNXt4BrR-peuxU9yIkhRRKDREZ_8TH/view?usp=drivesdk" TargetMode="External"/><Relationship Id="rId2" Type="http://schemas.openxmlformats.org/officeDocument/2006/relationships/hyperlink" Target="https://drive.google.com/file/d/1a4AwbqRwHI2cB6e-NdnRkW8ymRwcuAUK/view?usp=drivesdk" TargetMode="External"/><Relationship Id="rId3" Type="http://schemas.openxmlformats.org/officeDocument/2006/relationships/hyperlink" Target="https://drive.google.com/file/d/1gktu4u6yVrvhc8r6y3QEHBhkr1aqrSCx/view?usp=drivesdk" TargetMode="External"/><Relationship Id="rId4" Type="http://schemas.openxmlformats.org/officeDocument/2006/relationships/hyperlink" Target="https://drive.google.com/file/d/1bXFKN0YzC_pbAYNWUqxn0yn3_-WP2sGp/view?usp=drivesdk" TargetMode="External"/><Relationship Id="rId9" Type="http://schemas.openxmlformats.org/officeDocument/2006/relationships/hyperlink" Target="https://drive.google.com/file/d/1qaunhIQ7ts-6P4-i016sNY3gqaaQXLEp/view?usp=drivesdk" TargetMode="External"/><Relationship Id="rId48" Type="http://schemas.openxmlformats.org/officeDocument/2006/relationships/hyperlink" Target="https://drive.google.com/file/d/12iJkc66DrPgUNREcnSvwXh3TKjW96IYc/view?usp=drivesdk" TargetMode="External"/><Relationship Id="rId47" Type="http://schemas.openxmlformats.org/officeDocument/2006/relationships/hyperlink" Target="https://drive.google.com/file/d/17MSLEdp838C9f1S80ufFNR2t13uqqYns/view?usp=drivesdk" TargetMode="External"/><Relationship Id="rId49" Type="http://schemas.openxmlformats.org/officeDocument/2006/relationships/hyperlink" Target="https://drive.google.com/file/d/18Sloa8Dpc_j1CCaUeZEuHZH5DQoS1-aL/view?usp=drivesdk" TargetMode="External"/><Relationship Id="rId5" Type="http://schemas.openxmlformats.org/officeDocument/2006/relationships/hyperlink" Target="https://drive.google.com/file/d/1q2To6LlEOXUODOOGaa55pmwXTfUMcgWy/view?usp=drivesdk" TargetMode="External"/><Relationship Id="rId6" Type="http://schemas.openxmlformats.org/officeDocument/2006/relationships/hyperlink" Target="https://drive.google.com/file/d/1wBMjTDsiYAMjK6SbZOxFRmBGfUvjZCq4/view?usp=drivesdk" TargetMode="External"/><Relationship Id="rId7" Type="http://schemas.openxmlformats.org/officeDocument/2006/relationships/hyperlink" Target="https://drive.google.com/file/d/1nurl8CvONXB0T5f6-AbkrBm_2KL6ZcPY/view?usp=drivesdk" TargetMode="External"/><Relationship Id="rId8" Type="http://schemas.openxmlformats.org/officeDocument/2006/relationships/hyperlink" Target="https://drive.google.com/file/d/1RTNgXsECz0JPgj6qXU5XDUJWShjN7XEW/view?usp=drivesdk" TargetMode="External"/><Relationship Id="rId31" Type="http://schemas.openxmlformats.org/officeDocument/2006/relationships/hyperlink" Target="https://drive.google.com/file/d/1zlR7yTmRhTJaeV5WnpqXAJN71FDM99Uc/view?usp=drivesdk" TargetMode="External"/><Relationship Id="rId30" Type="http://schemas.openxmlformats.org/officeDocument/2006/relationships/hyperlink" Target="https://drive.google.com/file/d/1PfaUC7cEVBTGtReWCSnhHTY8dhO4Dj4F/view?usp=drivesdk" TargetMode="External"/><Relationship Id="rId33" Type="http://schemas.openxmlformats.org/officeDocument/2006/relationships/hyperlink" Target="https://drive.google.com/file/d/1pR0xD5PEukB8rXqAStWC-3DslR8NmdVi/view?usp=drivesdk" TargetMode="External"/><Relationship Id="rId32" Type="http://schemas.openxmlformats.org/officeDocument/2006/relationships/hyperlink" Target="https://drive.google.com/file/d/13qHOiS5-1jnylnuzO4uIq9x6su5Z2mTi/view?usp=drivesdk" TargetMode="External"/><Relationship Id="rId35" Type="http://schemas.openxmlformats.org/officeDocument/2006/relationships/hyperlink" Target="https://drive.google.com/file/d/1TcVmRQxA0rdFK32_9WdHiCERw2BvioDV/view?usp=drivesdk" TargetMode="External"/><Relationship Id="rId34" Type="http://schemas.openxmlformats.org/officeDocument/2006/relationships/hyperlink" Target="https://drive.google.com/file/d/1aG3tyLWxCZ4cYpV2lKAlZ-qKD9ICQ-A0/view?usp=drivesdk" TargetMode="External"/><Relationship Id="rId37" Type="http://schemas.openxmlformats.org/officeDocument/2006/relationships/hyperlink" Target="https://drive.google.com/file/d/12nAwIa2ivqx7GDh94Yv_nhfvm1iydq1f/view?usp=drivesdk" TargetMode="External"/><Relationship Id="rId36" Type="http://schemas.openxmlformats.org/officeDocument/2006/relationships/hyperlink" Target="https://drive.google.com/file/d/1nee_CPw-3hGwjGF-fho2MM3ix2OQ51X-/view?usp=drivesdk" TargetMode="External"/><Relationship Id="rId39" Type="http://schemas.openxmlformats.org/officeDocument/2006/relationships/hyperlink" Target="https://drive.google.com/file/d/12UY7xY5uxI-rh4l00yueAelUgal6SDS0/view?usp=drivesdk" TargetMode="External"/><Relationship Id="rId38" Type="http://schemas.openxmlformats.org/officeDocument/2006/relationships/hyperlink" Target="https://drive.google.com/file/d/19MgjfFJi39DCa1eSHvwMlJAqYXgtJh7J/view?usp=drivesdk" TargetMode="External"/><Relationship Id="rId20" Type="http://schemas.openxmlformats.org/officeDocument/2006/relationships/hyperlink" Target="https://drive.google.com/file/d/1tqbceVe_hJU_YJzWvJJ_spiV8ni2UnPT/view?usp=drivesdk" TargetMode="External"/><Relationship Id="rId22" Type="http://schemas.openxmlformats.org/officeDocument/2006/relationships/hyperlink" Target="https://drive.google.com/file/d/1BHVFWbVrLwXoOZMXu44185DfhUJ3aml3/view?usp=drivesdk" TargetMode="External"/><Relationship Id="rId21" Type="http://schemas.openxmlformats.org/officeDocument/2006/relationships/hyperlink" Target="https://drive.google.com/file/d/1w4cAOVwGhGr90aKiibXWNVm5H_-yovGW/view?usp=drivesdk" TargetMode="External"/><Relationship Id="rId24" Type="http://schemas.openxmlformats.org/officeDocument/2006/relationships/hyperlink" Target="https://drive.google.com/file/d/1DcPZI_4kGdkeoeIlGr7cQ84m-A3Kqeig/view?usp=drivesdk" TargetMode="External"/><Relationship Id="rId23" Type="http://schemas.openxmlformats.org/officeDocument/2006/relationships/hyperlink" Target="https://drive.google.com/file/d/19xnE0yy_QZdMtatMSuNd8S0izPBoOHCg/view?usp=drivesdk" TargetMode="External"/><Relationship Id="rId26" Type="http://schemas.openxmlformats.org/officeDocument/2006/relationships/hyperlink" Target="https://drive.google.com/file/d/1i18s6wS7CF-zB4O-QSDx99SsgSQN80Rs/view?usp=drivesdk" TargetMode="External"/><Relationship Id="rId25" Type="http://schemas.openxmlformats.org/officeDocument/2006/relationships/hyperlink" Target="https://drive.google.com/file/d/15hPOg9iA9nrmmImc-S73yTFvT7FYXvjD/view?usp=drivesdk" TargetMode="External"/><Relationship Id="rId28" Type="http://schemas.openxmlformats.org/officeDocument/2006/relationships/hyperlink" Target="https://drive.google.com/file/d/13IKGnBGW7U8XkzIASgjboLXO40ckaKEs/view?usp=drivesdk" TargetMode="External"/><Relationship Id="rId27" Type="http://schemas.openxmlformats.org/officeDocument/2006/relationships/hyperlink" Target="https://drive.google.com/file/d/1xWecT_eGN6h8FvBCoSnWRTK7rQzumHde/view?usp=drivesdk" TargetMode="External"/><Relationship Id="rId29" Type="http://schemas.openxmlformats.org/officeDocument/2006/relationships/hyperlink" Target="https://drive.google.com/file/d/1w3GwnAQC4PrvC4j61fsLAw8N3pOXcO2h/view?usp=drivesdk" TargetMode="External"/><Relationship Id="rId51" Type="http://schemas.openxmlformats.org/officeDocument/2006/relationships/hyperlink" Target="https://drive.google.com/file/d/15CrYGlTxozvS8bhjXK07vxojKXxyewaW/view?usp=drivesdk" TargetMode="External"/><Relationship Id="rId50" Type="http://schemas.openxmlformats.org/officeDocument/2006/relationships/hyperlink" Target="https://drive.google.com/file/d/1T2xW2ol1HL_pL0-lRKHQTZK3bNRFDq7a/view?usp=drivesdk" TargetMode="External"/><Relationship Id="rId52" Type="http://schemas.openxmlformats.org/officeDocument/2006/relationships/drawing" Target="../drawings/drawing4.xml"/><Relationship Id="rId11" Type="http://schemas.openxmlformats.org/officeDocument/2006/relationships/hyperlink" Target="https://drive.google.com/file/d/1EwuPyQtigdm3N_I_7QwZZn3i297IPVts/view?usp=drivesdk" TargetMode="External"/><Relationship Id="rId10" Type="http://schemas.openxmlformats.org/officeDocument/2006/relationships/hyperlink" Target="https://drive.google.com/file/d/1t1aoqAr-EKPgkL1CHRbEtNVGqsXQxMXB/view?usp=drivesdk" TargetMode="External"/><Relationship Id="rId13" Type="http://schemas.openxmlformats.org/officeDocument/2006/relationships/hyperlink" Target="https://drive.google.com/file/d/1S_cG_qK6MDo2y0UlgVmevde1CxMsNxha/view?usp=drivesdk" TargetMode="External"/><Relationship Id="rId57" Type="http://schemas.openxmlformats.org/officeDocument/2006/relationships/table" Target="../tables/table2.xml"/><Relationship Id="rId12" Type="http://schemas.openxmlformats.org/officeDocument/2006/relationships/hyperlink" Target="https://drive.google.com/file/d/1cLHFF3qjO69W5-0BQ-JFOgep1SqV0MQ0/view?usp=drivesdk" TargetMode="External"/><Relationship Id="rId56" Type="http://schemas.openxmlformats.org/officeDocument/2006/relationships/table" Target="../tables/table1.xml"/><Relationship Id="rId15" Type="http://schemas.openxmlformats.org/officeDocument/2006/relationships/hyperlink" Target="https://drive.google.com/file/d/1ZtXW_imowrDLuvO4EZgbM-snXEOmRzM6/view?usp=drivesdk" TargetMode="External"/><Relationship Id="rId14" Type="http://schemas.openxmlformats.org/officeDocument/2006/relationships/hyperlink" Target="https://drive.google.com/file/d/1du7I35XPIdQZjkOAct4eRo3H7GQSagHg/view?usp=drivesdk" TargetMode="External"/><Relationship Id="rId58" Type="http://schemas.openxmlformats.org/officeDocument/2006/relationships/table" Target="../tables/table3.xml"/><Relationship Id="rId17" Type="http://schemas.openxmlformats.org/officeDocument/2006/relationships/hyperlink" Target="https://drive.google.com/file/d/14RejVJJg7-3JCgsrqthf4Rg7h7nVmmmA/view?usp=drivesdk" TargetMode="External"/><Relationship Id="rId16" Type="http://schemas.openxmlformats.org/officeDocument/2006/relationships/hyperlink" Target="https://drive.google.com/file/d/1Dhb3cvcA2odhuzBZirjaJprMMALJu4zM/view?usp=drivesdk" TargetMode="External"/><Relationship Id="rId19" Type="http://schemas.openxmlformats.org/officeDocument/2006/relationships/hyperlink" Target="https://drive.google.com/file/d/1eepz_dyWxc-Nju9CHV7orAQRD9x3tH8R/view?usp=drivesdk" TargetMode="External"/><Relationship Id="rId18" Type="http://schemas.openxmlformats.org/officeDocument/2006/relationships/hyperlink" Target="https://drive.google.com/file/d/1Td0LoCP5QngZ-0rs-DwHrt37O4zceAlX/view?usp=drivesd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38"/>
    <col customWidth="1" min="2" max="2" width="37.25"/>
    <col customWidth="1" min="3" max="3" width="10.25"/>
    <col customWidth="1" min="4" max="4" width="13.38"/>
    <col customWidth="1" min="5" max="5" width="20.13"/>
    <col customWidth="1" min="6" max="6" width="52.38"/>
    <col customWidth="1" min="7" max="7" width="14.88"/>
    <col customWidth="1" min="8" max="8" width="13.0"/>
    <col customWidth="1" min="9" max="9" width="7.25"/>
    <col customWidth="1" min="10" max="10" width="8.25"/>
    <col customWidth="1" min="11" max="11" width="17.5"/>
    <col customWidth="1" min="12" max="12" width="14.0"/>
    <col customWidth="1" min="13" max="13" width="11.38"/>
    <col customWidth="1" min="14" max="14" width="11.75"/>
    <col customWidth="1" min="15" max="15" width="6.5"/>
    <col customWidth="1" min="16" max="17" width="7.0"/>
    <col customWidth="1" min="18" max="18" width="7.75"/>
    <col customWidth="1" min="19" max="26" width="7.0"/>
    <col customWidth="1" min="27" max="27" width="11.75"/>
    <col customWidth="1" min="28" max="28" width="10.5"/>
    <col customWidth="1" min="29" max="29" width="6.5"/>
    <col customWidth="1" min="42" max="42" width="10.88"/>
    <col customWidth="1" min="55" max="55" width="15.25"/>
    <col customWidth="1" min="58" max="58" width="14.63"/>
    <col customWidth="1" min="59" max="59" width="14.0"/>
    <col customWidth="1" min="62" max="62" width="10.88"/>
    <col customWidth="1" min="63" max="63" width="7.25"/>
    <col customWidth="1" min="64" max="64" width="11.0"/>
  </cols>
  <sheetData>
    <row r="1" ht="24.75" customHeight="1">
      <c r="A1" s="1" t="s">
        <v>0</v>
      </c>
      <c r="B1" s="2" t="s">
        <v>0</v>
      </c>
      <c r="C1" s="3" t="s">
        <v>0</v>
      </c>
      <c r="D1" s="2"/>
      <c r="E1" s="2"/>
      <c r="F1" s="2"/>
      <c r="G1" s="3"/>
      <c r="H1" s="4"/>
      <c r="I1" s="4"/>
      <c r="J1" s="4"/>
      <c r="K1" s="4"/>
      <c r="L1" s="5"/>
      <c r="M1" s="2"/>
      <c r="N1" s="2"/>
      <c r="O1" s="2"/>
      <c r="P1" s="2"/>
      <c r="Q1" s="2"/>
      <c r="R1" s="2"/>
      <c r="S1" s="2"/>
      <c r="T1" s="6" t="str">
        <f>IF(R4="A",450000,IF(R4="B",450000,IF(R4="C",450000,IF(R4="D",450000,IF(R4="E",500000,IF(R4="F",450000,""))))))</f>
        <v/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"/>
      <c r="BK1" s="3"/>
      <c r="BL1" s="7"/>
    </row>
    <row r="2" ht="46.5" customHeight="1">
      <c r="A2" s="8" t="s">
        <v>1</v>
      </c>
      <c r="B2" s="9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10" t="s">
        <v>12</v>
      </c>
      <c r="M2" s="8" t="s">
        <v>13</v>
      </c>
      <c r="N2" s="8" t="s">
        <v>14</v>
      </c>
      <c r="O2" s="8">
        <v>7.0</v>
      </c>
      <c r="P2" s="8">
        <v>8.0</v>
      </c>
      <c r="Q2" s="8">
        <v>9.0</v>
      </c>
      <c r="R2" s="8">
        <v>10.0</v>
      </c>
      <c r="S2" s="8">
        <v>11.0</v>
      </c>
      <c r="T2" s="8">
        <v>12.0</v>
      </c>
      <c r="U2" s="8">
        <v>1.0</v>
      </c>
      <c r="V2" s="8">
        <v>2.0</v>
      </c>
      <c r="W2" s="8">
        <v>3.0</v>
      </c>
      <c r="X2" s="8">
        <v>4.0</v>
      </c>
      <c r="Y2" s="8">
        <v>5.0</v>
      </c>
      <c r="Z2" s="8">
        <v>6.0</v>
      </c>
      <c r="AA2" s="8" t="s">
        <v>15</v>
      </c>
      <c r="AB2" s="8" t="s">
        <v>16</v>
      </c>
      <c r="AC2" s="8">
        <v>7.0</v>
      </c>
      <c r="AD2" s="8">
        <v>8.0</v>
      </c>
      <c r="AE2" s="8">
        <v>9.0</v>
      </c>
      <c r="AF2" s="8">
        <v>10.0</v>
      </c>
      <c r="AG2" s="8">
        <v>11.0</v>
      </c>
      <c r="AH2" s="8">
        <v>12.0</v>
      </c>
      <c r="AI2" s="8">
        <v>1.0</v>
      </c>
      <c r="AJ2" s="8">
        <v>2.0</v>
      </c>
      <c r="AK2" s="8">
        <v>3.0</v>
      </c>
      <c r="AL2" s="8">
        <v>4.0</v>
      </c>
      <c r="AM2" s="8">
        <v>5.0</v>
      </c>
      <c r="AN2" s="8">
        <v>6.0</v>
      </c>
      <c r="AO2" s="8" t="s">
        <v>17</v>
      </c>
      <c r="AP2" s="8" t="s">
        <v>18</v>
      </c>
      <c r="AQ2" s="8">
        <v>7.0</v>
      </c>
      <c r="AR2" s="8">
        <v>8.0</v>
      </c>
      <c r="AS2" s="8">
        <v>9.0</v>
      </c>
      <c r="AT2" s="8">
        <v>10.0</v>
      </c>
      <c r="AU2" s="8">
        <v>11.0</v>
      </c>
      <c r="AV2" s="8">
        <v>12.0</v>
      </c>
      <c r="AW2" s="8">
        <v>1.0</v>
      </c>
      <c r="AX2" s="8">
        <v>2.0</v>
      </c>
      <c r="AY2" s="8">
        <v>3.0</v>
      </c>
      <c r="AZ2" s="8">
        <v>4.0</v>
      </c>
      <c r="BA2" s="8">
        <v>5.0</v>
      </c>
      <c r="BB2" s="8">
        <v>6.0</v>
      </c>
      <c r="BC2" s="8" t="s">
        <v>19</v>
      </c>
      <c r="BD2" s="8" t="s">
        <v>20</v>
      </c>
      <c r="BE2" s="8" t="s">
        <v>21</v>
      </c>
      <c r="BF2" s="8" t="s">
        <v>22</v>
      </c>
      <c r="BG2" s="8" t="s">
        <v>23</v>
      </c>
      <c r="BH2" s="8" t="s">
        <v>24</v>
      </c>
      <c r="BI2" s="8" t="s">
        <v>25</v>
      </c>
      <c r="BJ2" s="8" t="s">
        <v>8</v>
      </c>
      <c r="BK2" s="8" t="s">
        <v>9</v>
      </c>
      <c r="BL2" s="11" t="s">
        <v>26</v>
      </c>
    </row>
    <row r="3">
      <c r="A3" s="12" t="str">
        <f t="shared" ref="A3:A712" si="2">IF(B3="","",ROW(A3)-2)</f>
        <v/>
      </c>
      <c r="B3" s="13"/>
      <c r="C3" s="14"/>
      <c r="D3" s="15"/>
      <c r="E3" s="15"/>
      <c r="F3" s="15"/>
      <c r="G3" s="16"/>
      <c r="H3" s="14"/>
      <c r="I3" s="14"/>
      <c r="J3" s="16"/>
      <c r="K3" s="16"/>
      <c r="L3" s="17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>
        <f t="shared" ref="BC3:BC371" si="3">SUM(O3:Z3)+SUM(AC3:AN3)+SUM(AQ3:BB3)</f>
        <v>0</v>
      </c>
      <c r="BD3" s="18">
        <f t="shared" ref="BD3:BD371" si="4">M3+AB3+AP3</f>
        <v>0</v>
      </c>
      <c r="BE3" s="18">
        <f t="shared" ref="BE3:BE371" si="5">AA3+AO3</f>
        <v>0</v>
      </c>
      <c r="BF3" s="18">
        <f t="shared" ref="BF3:BF371" si="6">BC3+BD3+BE3</f>
        <v>0</v>
      </c>
      <c r="BG3" s="15"/>
      <c r="BH3" s="15"/>
      <c r="BI3" s="15"/>
      <c r="BJ3" s="19" t="str">
        <f t="shared" ref="BJ3:BK3" si="1">H3</f>
        <v/>
      </c>
      <c r="BK3" s="19" t="str">
        <f t="shared" si="1"/>
        <v/>
      </c>
      <c r="BL3" s="20" t="str">
        <f t="shared" ref="BL3:BL371" si="8">IF(BJ3="A",460000,IF(BJ3="B",460000,IF(BJ3="C",460000,IF(BJ3="D",460000,IF(BJ3="E",510000,IF(BJ3="F",460000,""))))))</f>
        <v/>
      </c>
    </row>
    <row r="4">
      <c r="A4" s="21" t="str">
        <f t="shared" si="2"/>
        <v/>
      </c>
      <c r="B4" s="22"/>
      <c r="C4" s="23"/>
      <c r="D4" s="24"/>
      <c r="E4" s="24"/>
      <c r="F4" s="24"/>
      <c r="G4" s="25"/>
      <c r="H4" s="23"/>
      <c r="I4" s="23"/>
      <c r="J4" s="25"/>
      <c r="K4" s="25"/>
      <c r="L4" s="26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>
        <f t="shared" si="3"/>
        <v>0</v>
      </c>
      <c r="BD4" s="27">
        <f t="shared" si="4"/>
        <v>0</v>
      </c>
      <c r="BE4" s="27">
        <f t="shared" si="5"/>
        <v>0</v>
      </c>
      <c r="BF4" s="27">
        <f t="shared" si="6"/>
        <v>0</v>
      </c>
      <c r="BG4" s="24"/>
      <c r="BH4" s="24"/>
      <c r="BI4" s="24"/>
      <c r="BJ4" s="28" t="str">
        <f t="shared" ref="BJ4:BK4" si="7">H4</f>
        <v/>
      </c>
      <c r="BK4" s="28" t="str">
        <f t="shared" si="7"/>
        <v/>
      </c>
      <c r="BL4" s="29" t="str">
        <f t="shared" si="8"/>
        <v/>
      </c>
    </row>
    <row r="5">
      <c r="A5" s="12" t="str">
        <f t="shared" si="2"/>
        <v/>
      </c>
      <c r="B5" s="13"/>
      <c r="C5" s="14"/>
      <c r="D5" s="15"/>
      <c r="E5" s="15"/>
      <c r="F5" s="15"/>
      <c r="G5" s="16"/>
      <c r="H5" s="14"/>
      <c r="I5" s="14"/>
      <c r="J5" s="16"/>
      <c r="K5" s="16"/>
      <c r="L5" s="17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>
        <f t="shared" si="3"/>
        <v>0</v>
      </c>
      <c r="BD5" s="18">
        <f t="shared" si="4"/>
        <v>0</v>
      </c>
      <c r="BE5" s="18">
        <f t="shared" si="5"/>
        <v>0</v>
      </c>
      <c r="BF5" s="18">
        <f t="shared" si="6"/>
        <v>0</v>
      </c>
      <c r="BG5" s="15"/>
      <c r="BH5" s="15"/>
      <c r="BI5" s="15"/>
      <c r="BJ5" s="19" t="str">
        <f t="shared" ref="BJ5:BK5" si="9">H5</f>
        <v/>
      </c>
      <c r="BK5" s="19" t="str">
        <f t="shared" si="9"/>
        <v/>
      </c>
      <c r="BL5" s="20" t="str">
        <f t="shared" si="8"/>
        <v/>
      </c>
    </row>
    <row r="6">
      <c r="A6" s="21" t="str">
        <f t="shared" si="2"/>
        <v/>
      </c>
      <c r="B6" s="22"/>
      <c r="C6" s="23"/>
      <c r="D6" s="24"/>
      <c r="E6" s="24"/>
      <c r="F6" s="24"/>
      <c r="G6" s="25"/>
      <c r="H6" s="23"/>
      <c r="I6" s="23"/>
      <c r="J6" s="25"/>
      <c r="K6" s="25"/>
      <c r="L6" s="26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>
        <f t="shared" si="3"/>
        <v>0</v>
      </c>
      <c r="BD6" s="27">
        <f t="shared" si="4"/>
        <v>0</v>
      </c>
      <c r="BE6" s="27">
        <f t="shared" si="5"/>
        <v>0</v>
      </c>
      <c r="BF6" s="27">
        <f t="shared" si="6"/>
        <v>0</v>
      </c>
      <c r="BG6" s="24"/>
      <c r="BH6" s="24"/>
      <c r="BI6" s="24"/>
      <c r="BJ6" s="28" t="str">
        <f t="shared" ref="BJ6:BK6" si="10">H6</f>
        <v/>
      </c>
      <c r="BK6" s="28" t="str">
        <f t="shared" si="10"/>
        <v/>
      </c>
      <c r="BL6" s="29" t="str">
        <f t="shared" si="8"/>
        <v/>
      </c>
    </row>
    <row r="7">
      <c r="A7" s="12" t="str">
        <f t="shared" si="2"/>
        <v/>
      </c>
      <c r="B7" s="13"/>
      <c r="C7" s="14"/>
      <c r="D7" s="15"/>
      <c r="E7" s="15"/>
      <c r="F7" s="15"/>
      <c r="G7" s="16"/>
      <c r="H7" s="14"/>
      <c r="I7" s="14"/>
      <c r="J7" s="16"/>
      <c r="K7" s="16"/>
      <c r="L7" s="17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>
        <f t="shared" si="3"/>
        <v>0</v>
      </c>
      <c r="BD7" s="18">
        <f t="shared" si="4"/>
        <v>0</v>
      </c>
      <c r="BE7" s="18">
        <f t="shared" si="5"/>
        <v>0</v>
      </c>
      <c r="BF7" s="18">
        <f t="shared" si="6"/>
        <v>0</v>
      </c>
      <c r="BG7" s="15"/>
      <c r="BH7" s="15"/>
      <c r="BI7" s="15"/>
      <c r="BJ7" s="19" t="str">
        <f t="shared" ref="BJ7:BK7" si="11">H7</f>
        <v/>
      </c>
      <c r="BK7" s="19" t="str">
        <f t="shared" si="11"/>
        <v/>
      </c>
      <c r="BL7" s="20" t="str">
        <f t="shared" si="8"/>
        <v/>
      </c>
    </row>
    <row r="8">
      <c r="A8" s="21" t="str">
        <f t="shared" si="2"/>
        <v/>
      </c>
      <c r="B8" s="22"/>
      <c r="C8" s="23"/>
      <c r="D8" s="24"/>
      <c r="E8" s="24"/>
      <c r="F8" s="24"/>
      <c r="G8" s="25"/>
      <c r="H8" s="23"/>
      <c r="I8" s="23"/>
      <c r="J8" s="25"/>
      <c r="K8" s="25"/>
      <c r="L8" s="26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>
        <f t="shared" si="3"/>
        <v>0</v>
      </c>
      <c r="BD8" s="27">
        <f t="shared" si="4"/>
        <v>0</v>
      </c>
      <c r="BE8" s="27">
        <f t="shared" si="5"/>
        <v>0</v>
      </c>
      <c r="BF8" s="27">
        <f t="shared" si="6"/>
        <v>0</v>
      </c>
      <c r="BG8" s="24"/>
      <c r="BH8" s="24"/>
      <c r="BI8" s="24"/>
      <c r="BJ8" s="28" t="str">
        <f t="shared" ref="BJ8:BK8" si="12">H8</f>
        <v/>
      </c>
      <c r="BK8" s="28" t="str">
        <f t="shared" si="12"/>
        <v/>
      </c>
      <c r="BL8" s="29" t="str">
        <f t="shared" si="8"/>
        <v/>
      </c>
    </row>
    <row r="9">
      <c r="A9" s="12" t="str">
        <f t="shared" si="2"/>
        <v/>
      </c>
      <c r="B9" s="13"/>
      <c r="C9" s="14"/>
      <c r="D9" s="15"/>
      <c r="E9" s="15"/>
      <c r="F9" s="15"/>
      <c r="G9" s="16"/>
      <c r="H9" s="14"/>
      <c r="I9" s="14"/>
      <c r="J9" s="16"/>
      <c r="K9" s="16"/>
      <c r="L9" s="17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>
        <f t="shared" si="3"/>
        <v>0</v>
      </c>
      <c r="BD9" s="18">
        <f t="shared" si="4"/>
        <v>0</v>
      </c>
      <c r="BE9" s="18">
        <f t="shared" si="5"/>
        <v>0</v>
      </c>
      <c r="BF9" s="18">
        <f t="shared" si="6"/>
        <v>0</v>
      </c>
      <c r="BG9" s="15"/>
      <c r="BH9" s="15"/>
      <c r="BI9" s="15"/>
      <c r="BJ9" s="19" t="str">
        <f t="shared" ref="BJ9:BK9" si="13">H9</f>
        <v/>
      </c>
      <c r="BK9" s="19" t="str">
        <f t="shared" si="13"/>
        <v/>
      </c>
      <c r="BL9" s="20" t="str">
        <f t="shared" si="8"/>
        <v/>
      </c>
    </row>
    <row r="10">
      <c r="A10" s="21" t="str">
        <f t="shared" si="2"/>
        <v/>
      </c>
      <c r="B10" s="22"/>
      <c r="C10" s="23"/>
      <c r="D10" s="24"/>
      <c r="E10" s="24"/>
      <c r="F10" s="24"/>
      <c r="G10" s="25"/>
      <c r="H10" s="23"/>
      <c r="I10" s="23"/>
      <c r="J10" s="25"/>
      <c r="K10" s="25"/>
      <c r="L10" s="26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>
        <f t="shared" si="3"/>
        <v>0</v>
      </c>
      <c r="BD10" s="27">
        <f t="shared" si="4"/>
        <v>0</v>
      </c>
      <c r="BE10" s="27">
        <f t="shared" si="5"/>
        <v>0</v>
      </c>
      <c r="BF10" s="27">
        <f t="shared" si="6"/>
        <v>0</v>
      </c>
      <c r="BG10" s="24"/>
      <c r="BH10" s="24"/>
      <c r="BI10" s="24"/>
      <c r="BJ10" s="28" t="str">
        <f t="shared" ref="BJ10:BK10" si="14">H10</f>
        <v/>
      </c>
      <c r="BK10" s="28" t="str">
        <f t="shared" si="14"/>
        <v/>
      </c>
      <c r="BL10" s="29" t="str">
        <f t="shared" si="8"/>
        <v/>
      </c>
    </row>
    <row r="11">
      <c r="A11" s="12" t="str">
        <f t="shared" si="2"/>
        <v/>
      </c>
      <c r="B11" s="13"/>
      <c r="C11" s="14"/>
      <c r="D11" s="15"/>
      <c r="E11" s="15"/>
      <c r="F11" s="15"/>
      <c r="G11" s="16"/>
      <c r="H11" s="14"/>
      <c r="I11" s="14"/>
      <c r="J11" s="16"/>
      <c r="K11" s="16"/>
      <c r="L11" s="17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>
        <f t="shared" si="3"/>
        <v>0</v>
      </c>
      <c r="BD11" s="18">
        <f t="shared" si="4"/>
        <v>0</v>
      </c>
      <c r="BE11" s="18">
        <f t="shared" si="5"/>
        <v>0</v>
      </c>
      <c r="BF11" s="18">
        <f t="shared" si="6"/>
        <v>0</v>
      </c>
      <c r="BG11" s="15"/>
      <c r="BH11" s="15"/>
      <c r="BI11" s="15"/>
      <c r="BJ11" s="19" t="str">
        <f t="shared" ref="BJ11:BK11" si="15">H11</f>
        <v/>
      </c>
      <c r="BK11" s="19" t="str">
        <f t="shared" si="15"/>
        <v/>
      </c>
      <c r="BL11" s="20" t="str">
        <f t="shared" si="8"/>
        <v/>
      </c>
    </row>
    <row r="12">
      <c r="A12" s="21" t="str">
        <f t="shared" si="2"/>
        <v/>
      </c>
      <c r="B12" s="22"/>
      <c r="C12" s="23"/>
      <c r="D12" s="24"/>
      <c r="E12" s="24"/>
      <c r="F12" s="24"/>
      <c r="G12" s="25"/>
      <c r="H12" s="23"/>
      <c r="I12" s="23"/>
      <c r="J12" s="25"/>
      <c r="K12" s="25"/>
      <c r="L12" s="26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>
        <f t="shared" si="3"/>
        <v>0</v>
      </c>
      <c r="BD12" s="27">
        <f t="shared" si="4"/>
        <v>0</v>
      </c>
      <c r="BE12" s="27">
        <f t="shared" si="5"/>
        <v>0</v>
      </c>
      <c r="BF12" s="27">
        <f t="shared" si="6"/>
        <v>0</v>
      </c>
      <c r="BG12" s="24"/>
      <c r="BH12" s="24"/>
      <c r="BI12" s="24"/>
      <c r="BJ12" s="28" t="str">
        <f t="shared" ref="BJ12:BK12" si="16">H12</f>
        <v/>
      </c>
      <c r="BK12" s="28" t="str">
        <f t="shared" si="16"/>
        <v/>
      </c>
      <c r="BL12" s="29" t="str">
        <f t="shared" si="8"/>
        <v/>
      </c>
    </row>
    <row r="13">
      <c r="A13" s="12" t="str">
        <f t="shared" si="2"/>
        <v/>
      </c>
      <c r="B13" s="13"/>
      <c r="C13" s="14"/>
      <c r="D13" s="15"/>
      <c r="E13" s="15"/>
      <c r="F13" s="15"/>
      <c r="G13" s="16"/>
      <c r="H13" s="14"/>
      <c r="I13" s="14"/>
      <c r="J13" s="16"/>
      <c r="K13" s="16"/>
      <c r="L13" s="17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>
        <f t="shared" si="3"/>
        <v>0</v>
      </c>
      <c r="BD13" s="18">
        <f t="shared" si="4"/>
        <v>0</v>
      </c>
      <c r="BE13" s="18">
        <f t="shared" si="5"/>
        <v>0</v>
      </c>
      <c r="BF13" s="18">
        <f t="shared" si="6"/>
        <v>0</v>
      </c>
      <c r="BG13" s="15"/>
      <c r="BH13" s="15"/>
      <c r="BI13" s="15"/>
      <c r="BJ13" s="19" t="str">
        <f t="shared" ref="BJ13:BK13" si="17">H13</f>
        <v/>
      </c>
      <c r="BK13" s="19" t="str">
        <f t="shared" si="17"/>
        <v/>
      </c>
      <c r="BL13" s="20" t="str">
        <f t="shared" si="8"/>
        <v/>
      </c>
    </row>
    <row r="14">
      <c r="A14" s="21" t="str">
        <f t="shared" si="2"/>
        <v/>
      </c>
      <c r="B14" s="22"/>
      <c r="C14" s="23"/>
      <c r="D14" s="24"/>
      <c r="E14" s="24"/>
      <c r="F14" s="24"/>
      <c r="G14" s="25"/>
      <c r="H14" s="23"/>
      <c r="I14" s="23"/>
      <c r="J14" s="25"/>
      <c r="K14" s="25"/>
      <c r="L14" s="26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>
        <f t="shared" si="3"/>
        <v>0</v>
      </c>
      <c r="BD14" s="27">
        <f t="shared" si="4"/>
        <v>0</v>
      </c>
      <c r="BE14" s="27">
        <f t="shared" si="5"/>
        <v>0</v>
      </c>
      <c r="BF14" s="27">
        <f t="shared" si="6"/>
        <v>0</v>
      </c>
      <c r="BG14" s="24"/>
      <c r="BH14" s="24"/>
      <c r="BI14" s="24"/>
      <c r="BJ14" s="28" t="str">
        <f t="shared" ref="BJ14:BK14" si="18">H14</f>
        <v/>
      </c>
      <c r="BK14" s="28" t="str">
        <f t="shared" si="18"/>
        <v/>
      </c>
      <c r="BL14" s="29" t="str">
        <f t="shared" si="8"/>
        <v/>
      </c>
    </row>
    <row r="15">
      <c r="A15" s="12" t="str">
        <f t="shared" si="2"/>
        <v/>
      </c>
      <c r="B15" s="13"/>
      <c r="C15" s="14"/>
      <c r="D15" s="15"/>
      <c r="E15" s="15"/>
      <c r="F15" s="15"/>
      <c r="G15" s="16"/>
      <c r="H15" s="14"/>
      <c r="I15" s="14"/>
      <c r="J15" s="16"/>
      <c r="K15" s="16"/>
      <c r="L15" s="17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>
        <f t="shared" si="3"/>
        <v>0</v>
      </c>
      <c r="BD15" s="18">
        <f t="shared" si="4"/>
        <v>0</v>
      </c>
      <c r="BE15" s="18">
        <f t="shared" si="5"/>
        <v>0</v>
      </c>
      <c r="BF15" s="18">
        <f t="shared" si="6"/>
        <v>0</v>
      </c>
      <c r="BG15" s="15"/>
      <c r="BH15" s="15"/>
      <c r="BI15" s="15"/>
      <c r="BJ15" s="19" t="str">
        <f t="shared" ref="BJ15:BK15" si="19">H15</f>
        <v/>
      </c>
      <c r="BK15" s="19" t="str">
        <f t="shared" si="19"/>
        <v/>
      </c>
      <c r="BL15" s="20" t="str">
        <f t="shared" si="8"/>
        <v/>
      </c>
    </row>
    <row r="16">
      <c r="A16" s="21" t="str">
        <f t="shared" si="2"/>
        <v/>
      </c>
      <c r="B16" s="22"/>
      <c r="C16" s="23"/>
      <c r="D16" s="24"/>
      <c r="E16" s="24"/>
      <c r="F16" s="24"/>
      <c r="G16" s="25"/>
      <c r="H16" s="23"/>
      <c r="I16" s="23"/>
      <c r="J16" s="25"/>
      <c r="K16" s="25"/>
      <c r="L16" s="26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>
        <f t="shared" si="3"/>
        <v>0</v>
      </c>
      <c r="BD16" s="27">
        <f t="shared" si="4"/>
        <v>0</v>
      </c>
      <c r="BE16" s="27">
        <f t="shared" si="5"/>
        <v>0</v>
      </c>
      <c r="BF16" s="27">
        <f t="shared" si="6"/>
        <v>0</v>
      </c>
      <c r="BG16" s="24"/>
      <c r="BH16" s="24"/>
      <c r="BI16" s="24"/>
      <c r="BJ16" s="28" t="str">
        <f t="shared" ref="BJ16:BK16" si="20">H16</f>
        <v/>
      </c>
      <c r="BK16" s="28" t="str">
        <f t="shared" si="20"/>
        <v/>
      </c>
      <c r="BL16" s="29" t="str">
        <f t="shared" si="8"/>
        <v/>
      </c>
    </row>
    <row r="17">
      <c r="A17" s="12" t="str">
        <f t="shared" si="2"/>
        <v/>
      </c>
      <c r="B17" s="13"/>
      <c r="C17" s="14"/>
      <c r="D17" s="15"/>
      <c r="E17" s="15"/>
      <c r="F17" s="15"/>
      <c r="G17" s="16"/>
      <c r="H17" s="14"/>
      <c r="I17" s="14"/>
      <c r="J17" s="16"/>
      <c r="K17" s="16"/>
      <c r="L17" s="17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>
        <f t="shared" si="3"/>
        <v>0</v>
      </c>
      <c r="BD17" s="18">
        <f t="shared" si="4"/>
        <v>0</v>
      </c>
      <c r="BE17" s="18">
        <f t="shared" si="5"/>
        <v>0</v>
      </c>
      <c r="BF17" s="18">
        <f t="shared" si="6"/>
        <v>0</v>
      </c>
      <c r="BG17" s="15"/>
      <c r="BH17" s="15"/>
      <c r="BI17" s="15"/>
      <c r="BJ17" s="19" t="str">
        <f t="shared" ref="BJ17:BK17" si="21">H17</f>
        <v/>
      </c>
      <c r="BK17" s="19" t="str">
        <f t="shared" si="21"/>
        <v/>
      </c>
      <c r="BL17" s="20" t="str">
        <f t="shared" si="8"/>
        <v/>
      </c>
    </row>
    <row r="18">
      <c r="A18" s="21" t="str">
        <f t="shared" si="2"/>
        <v/>
      </c>
      <c r="B18" s="22"/>
      <c r="C18" s="23"/>
      <c r="D18" s="24"/>
      <c r="E18" s="24"/>
      <c r="F18" s="24"/>
      <c r="G18" s="25"/>
      <c r="H18" s="23"/>
      <c r="I18" s="23"/>
      <c r="J18" s="25"/>
      <c r="K18" s="25"/>
      <c r="L18" s="26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>
        <f t="shared" si="3"/>
        <v>0</v>
      </c>
      <c r="BD18" s="27">
        <f t="shared" si="4"/>
        <v>0</v>
      </c>
      <c r="BE18" s="27">
        <f t="shared" si="5"/>
        <v>0</v>
      </c>
      <c r="BF18" s="27">
        <f t="shared" si="6"/>
        <v>0</v>
      </c>
      <c r="BG18" s="24"/>
      <c r="BH18" s="24"/>
      <c r="BI18" s="24"/>
      <c r="BJ18" s="28" t="str">
        <f t="shared" ref="BJ18:BK18" si="22">H18</f>
        <v/>
      </c>
      <c r="BK18" s="28" t="str">
        <f t="shared" si="22"/>
        <v/>
      </c>
      <c r="BL18" s="29" t="str">
        <f t="shared" si="8"/>
        <v/>
      </c>
    </row>
    <row r="19">
      <c r="A19" s="12" t="str">
        <f t="shared" si="2"/>
        <v/>
      </c>
      <c r="B19" s="13"/>
      <c r="C19" s="14"/>
      <c r="D19" s="15"/>
      <c r="E19" s="15"/>
      <c r="F19" s="15"/>
      <c r="G19" s="16"/>
      <c r="H19" s="14"/>
      <c r="I19" s="14"/>
      <c r="J19" s="16"/>
      <c r="K19" s="16"/>
      <c r="L19" s="17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>
        <f t="shared" si="3"/>
        <v>0</v>
      </c>
      <c r="BD19" s="18">
        <f t="shared" si="4"/>
        <v>0</v>
      </c>
      <c r="BE19" s="18">
        <f t="shared" si="5"/>
        <v>0</v>
      </c>
      <c r="BF19" s="18">
        <f t="shared" si="6"/>
        <v>0</v>
      </c>
      <c r="BG19" s="15"/>
      <c r="BH19" s="15"/>
      <c r="BI19" s="15"/>
      <c r="BJ19" s="19" t="str">
        <f t="shared" ref="BJ19:BK19" si="23">H19</f>
        <v/>
      </c>
      <c r="BK19" s="19" t="str">
        <f t="shared" si="23"/>
        <v/>
      </c>
      <c r="BL19" s="20" t="str">
        <f t="shared" si="8"/>
        <v/>
      </c>
    </row>
    <row r="20">
      <c r="A20" s="21" t="str">
        <f t="shared" si="2"/>
        <v/>
      </c>
      <c r="B20" s="22"/>
      <c r="C20" s="23"/>
      <c r="D20" s="24"/>
      <c r="E20" s="24"/>
      <c r="F20" s="24"/>
      <c r="G20" s="25"/>
      <c r="H20" s="23"/>
      <c r="I20" s="23"/>
      <c r="J20" s="25"/>
      <c r="K20" s="25"/>
      <c r="L20" s="26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>
        <f t="shared" si="3"/>
        <v>0</v>
      </c>
      <c r="BD20" s="27">
        <f t="shared" si="4"/>
        <v>0</v>
      </c>
      <c r="BE20" s="27">
        <f t="shared" si="5"/>
        <v>0</v>
      </c>
      <c r="BF20" s="27">
        <f t="shared" si="6"/>
        <v>0</v>
      </c>
      <c r="BG20" s="24"/>
      <c r="BH20" s="24"/>
      <c r="BI20" s="24"/>
      <c r="BJ20" s="28" t="str">
        <f t="shared" ref="BJ20:BK20" si="24">H20</f>
        <v/>
      </c>
      <c r="BK20" s="28" t="str">
        <f t="shared" si="24"/>
        <v/>
      </c>
      <c r="BL20" s="29" t="str">
        <f t="shared" si="8"/>
        <v/>
      </c>
    </row>
    <row r="21">
      <c r="A21" s="12" t="str">
        <f t="shared" si="2"/>
        <v/>
      </c>
      <c r="B21" s="13"/>
      <c r="C21" s="14"/>
      <c r="D21" s="15"/>
      <c r="E21" s="15"/>
      <c r="F21" s="15"/>
      <c r="G21" s="16"/>
      <c r="H21" s="14"/>
      <c r="I21" s="14"/>
      <c r="J21" s="16"/>
      <c r="K21" s="16"/>
      <c r="L21" s="17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>
        <f t="shared" si="3"/>
        <v>0</v>
      </c>
      <c r="BD21" s="18">
        <f t="shared" si="4"/>
        <v>0</v>
      </c>
      <c r="BE21" s="18">
        <f t="shared" si="5"/>
        <v>0</v>
      </c>
      <c r="BF21" s="18">
        <f t="shared" si="6"/>
        <v>0</v>
      </c>
      <c r="BG21" s="15"/>
      <c r="BH21" s="15"/>
      <c r="BI21" s="15"/>
      <c r="BJ21" s="19" t="str">
        <f t="shared" ref="BJ21:BK21" si="25">H21</f>
        <v/>
      </c>
      <c r="BK21" s="19" t="str">
        <f t="shared" si="25"/>
        <v/>
      </c>
      <c r="BL21" s="20" t="str">
        <f t="shared" si="8"/>
        <v/>
      </c>
    </row>
    <row r="22">
      <c r="A22" s="21" t="str">
        <f t="shared" si="2"/>
        <v/>
      </c>
      <c r="B22" s="22"/>
      <c r="C22" s="23"/>
      <c r="D22" s="24"/>
      <c r="E22" s="24"/>
      <c r="F22" s="24"/>
      <c r="G22" s="25"/>
      <c r="H22" s="23"/>
      <c r="I22" s="23"/>
      <c r="J22" s="25"/>
      <c r="K22" s="25"/>
      <c r="L22" s="26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>
        <f t="shared" si="3"/>
        <v>0</v>
      </c>
      <c r="BD22" s="27">
        <f t="shared" si="4"/>
        <v>0</v>
      </c>
      <c r="BE22" s="27">
        <f t="shared" si="5"/>
        <v>0</v>
      </c>
      <c r="BF22" s="27">
        <f t="shared" si="6"/>
        <v>0</v>
      </c>
      <c r="BG22" s="24"/>
      <c r="BH22" s="24"/>
      <c r="BI22" s="24"/>
      <c r="BJ22" s="28" t="str">
        <f t="shared" ref="BJ22:BK22" si="26">H22</f>
        <v/>
      </c>
      <c r="BK22" s="28" t="str">
        <f t="shared" si="26"/>
        <v/>
      </c>
      <c r="BL22" s="29" t="str">
        <f t="shared" si="8"/>
        <v/>
      </c>
    </row>
    <row r="23">
      <c r="A23" s="12" t="str">
        <f t="shared" si="2"/>
        <v/>
      </c>
      <c r="B23" s="13"/>
      <c r="C23" s="14"/>
      <c r="D23" s="15"/>
      <c r="E23" s="15"/>
      <c r="F23" s="15"/>
      <c r="G23" s="16"/>
      <c r="H23" s="14"/>
      <c r="I23" s="14"/>
      <c r="J23" s="16"/>
      <c r="K23" s="16"/>
      <c r="L23" s="17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>
        <f t="shared" si="3"/>
        <v>0</v>
      </c>
      <c r="BD23" s="18">
        <f t="shared" si="4"/>
        <v>0</v>
      </c>
      <c r="BE23" s="18">
        <f t="shared" si="5"/>
        <v>0</v>
      </c>
      <c r="BF23" s="18">
        <f t="shared" si="6"/>
        <v>0</v>
      </c>
      <c r="BG23" s="15"/>
      <c r="BH23" s="15"/>
      <c r="BI23" s="15"/>
      <c r="BJ23" s="19" t="str">
        <f t="shared" ref="BJ23:BK23" si="27">H23</f>
        <v/>
      </c>
      <c r="BK23" s="19" t="str">
        <f t="shared" si="27"/>
        <v/>
      </c>
      <c r="BL23" s="20" t="str">
        <f t="shared" si="8"/>
        <v/>
      </c>
    </row>
    <row r="24">
      <c r="A24" s="21" t="str">
        <f t="shared" si="2"/>
        <v/>
      </c>
      <c r="B24" s="22"/>
      <c r="C24" s="23"/>
      <c r="D24" s="24"/>
      <c r="E24" s="24"/>
      <c r="F24" s="24"/>
      <c r="G24" s="25"/>
      <c r="H24" s="23"/>
      <c r="I24" s="23"/>
      <c r="J24" s="25"/>
      <c r="K24" s="25"/>
      <c r="L24" s="26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>
        <f t="shared" si="3"/>
        <v>0</v>
      </c>
      <c r="BD24" s="27">
        <f t="shared" si="4"/>
        <v>0</v>
      </c>
      <c r="BE24" s="27">
        <f t="shared" si="5"/>
        <v>0</v>
      </c>
      <c r="BF24" s="27">
        <f t="shared" si="6"/>
        <v>0</v>
      </c>
      <c r="BG24" s="24"/>
      <c r="BH24" s="24"/>
      <c r="BI24" s="24"/>
      <c r="BJ24" s="28" t="str">
        <f t="shared" ref="BJ24:BK24" si="28">H24</f>
        <v/>
      </c>
      <c r="BK24" s="28" t="str">
        <f t="shared" si="28"/>
        <v/>
      </c>
      <c r="BL24" s="29" t="str">
        <f t="shared" si="8"/>
        <v/>
      </c>
    </row>
    <row r="25">
      <c r="A25" s="12" t="str">
        <f t="shared" si="2"/>
        <v/>
      </c>
      <c r="B25" s="13"/>
      <c r="C25" s="14"/>
      <c r="D25" s="15"/>
      <c r="E25" s="15"/>
      <c r="F25" s="15"/>
      <c r="G25" s="16"/>
      <c r="H25" s="14"/>
      <c r="I25" s="14"/>
      <c r="J25" s="16"/>
      <c r="K25" s="16"/>
      <c r="L25" s="17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>
        <f t="shared" si="3"/>
        <v>0</v>
      </c>
      <c r="BD25" s="18">
        <f t="shared" si="4"/>
        <v>0</v>
      </c>
      <c r="BE25" s="18">
        <f t="shared" si="5"/>
        <v>0</v>
      </c>
      <c r="BF25" s="18">
        <f t="shared" si="6"/>
        <v>0</v>
      </c>
      <c r="BG25" s="15"/>
      <c r="BH25" s="15"/>
      <c r="BI25" s="15"/>
      <c r="BJ25" s="19" t="str">
        <f t="shared" ref="BJ25:BK25" si="29">H25</f>
        <v/>
      </c>
      <c r="BK25" s="19" t="str">
        <f t="shared" si="29"/>
        <v/>
      </c>
      <c r="BL25" s="20" t="str">
        <f t="shared" si="8"/>
        <v/>
      </c>
    </row>
    <row r="26">
      <c r="A26" s="21" t="str">
        <f t="shared" si="2"/>
        <v/>
      </c>
      <c r="B26" s="22"/>
      <c r="C26" s="23"/>
      <c r="D26" s="24"/>
      <c r="E26" s="24"/>
      <c r="F26" s="24"/>
      <c r="G26" s="25"/>
      <c r="H26" s="23"/>
      <c r="I26" s="23"/>
      <c r="J26" s="25"/>
      <c r="K26" s="25"/>
      <c r="L26" s="26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>
        <f t="shared" si="3"/>
        <v>0</v>
      </c>
      <c r="BD26" s="27">
        <f t="shared" si="4"/>
        <v>0</v>
      </c>
      <c r="BE26" s="27">
        <f t="shared" si="5"/>
        <v>0</v>
      </c>
      <c r="BF26" s="27">
        <f t="shared" si="6"/>
        <v>0</v>
      </c>
      <c r="BG26" s="24"/>
      <c r="BH26" s="24"/>
      <c r="BI26" s="24"/>
      <c r="BJ26" s="28" t="str">
        <f t="shared" ref="BJ26:BK26" si="30">H26</f>
        <v/>
      </c>
      <c r="BK26" s="28" t="str">
        <f t="shared" si="30"/>
        <v/>
      </c>
      <c r="BL26" s="29" t="str">
        <f t="shared" si="8"/>
        <v/>
      </c>
    </row>
    <row r="27">
      <c r="A27" s="12" t="str">
        <f t="shared" si="2"/>
        <v/>
      </c>
      <c r="B27" s="13"/>
      <c r="C27" s="14"/>
      <c r="D27" s="15"/>
      <c r="E27" s="15"/>
      <c r="F27" s="15"/>
      <c r="G27" s="16"/>
      <c r="H27" s="14"/>
      <c r="I27" s="14"/>
      <c r="J27" s="16"/>
      <c r="K27" s="16"/>
      <c r="L27" s="17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>
        <f t="shared" si="3"/>
        <v>0</v>
      </c>
      <c r="BD27" s="18">
        <f t="shared" si="4"/>
        <v>0</v>
      </c>
      <c r="BE27" s="18">
        <f t="shared" si="5"/>
        <v>0</v>
      </c>
      <c r="BF27" s="18">
        <f t="shared" si="6"/>
        <v>0</v>
      </c>
      <c r="BG27" s="15"/>
      <c r="BH27" s="15"/>
      <c r="BI27" s="15"/>
      <c r="BJ27" s="19" t="str">
        <f t="shared" ref="BJ27:BK27" si="31">H27</f>
        <v/>
      </c>
      <c r="BK27" s="19" t="str">
        <f t="shared" si="31"/>
        <v/>
      </c>
      <c r="BL27" s="20" t="str">
        <f t="shared" si="8"/>
        <v/>
      </c>
    </row>
    <row r="28">
      <c r="A28" s="21" t="str">
        <f t="shared" si="2"/>
        <v/>
      </c>
      <c r="B28" s="22"/>
      <c r="C28" s="23"/>
      <c r="D28" s="24"/>
      <c r="E28" s="24"/>
      <c r="F28" s="24"/>
      <c r="G28" s="25"/>
      <c r="H28" s="23"/>
      <c r="I28" s="23"/>
      <c r="J28" s="25"/>
      <c r="K28" s="25"/>
      <c r="L28" s="26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>
        <f t="shared" si="3"/>
        <v>0</v>
      </c>
      <c r="BD28" s="27">
        <f t="shared" si="4"/>
        <v>0</v>
      </c>
      <c r="BE28" s="27">
        <f t="shared" si="5"/>
        <v>0</v>
      </c>
      <c r="BF28" s="27">
        <f t="shared" si="6"/>
        <v>0</v>
      </c>
      <c r="BG28" s="24"/>
      <c r="BH28" s="24"/>
      <c r="BI28" s="24"/>
      <c r="BJ28" s="28" t="str">
        <f t="shared" ref="BJ28:BK28" si="32">H28</f>
        <v/>
      </c>
      <c r="BK28" s="28" t="str">
        <f t="shared" si="32"/>
        <v/>
      </c>
      <c r="BL28" s="29" t="str">
        <f t="shared" si="8"/>
        <v/>
      </c>
    </row>
    <row r="29">
      <c r="A29" s="12" t="str">
        <f t="shared" si="2"/>
        <v/>
      </c>
      <c r="B29" s="13"/>
      <c r="C29" s="14"/>
      <c r="D29" s="15"/>
      <c r="E29" s="15"/>
      <c r="F29" s="15"/>
      <c r="G29" s="16"/>
      <c r="H29" s="14"/>
      <c r="I29" s="14"/>
      <c r="J29" s="16"/>
      <c r="K29" s="16"/>
      <c r="L29" s="17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>
        <f t="shared" si="3"/>
        <v>0</v>
      </c>
      <c r="BD29" s="18">
        <f t="shared" si="4"/>
        <v>0</v>
      </c>
      <c r="BE29" s="18">
        <f t="shared" si="5"/>
        <v>0</v>
      </c>
      <c r="BF29" s="18">
        <f t="shared" si="6"/>
        <v>0</v>
      </c>
      <c r="BG29" s="15"/>
      <c r="BH29" s="15"/>
      <c r="BI29" s="15"/>
      <c r="BJ29" s="19" t="str">
        <f t="shared" ref="BJ29:BK29" si="33">H29</f>
        <v/>
      </c>
      <c r="BK29" s="19" t="str">
        <f t="shared" si="33"/>
        <v/>
      </c>
      <c r="BL29" s="20" t="str">
        <f t="shared" si="8"/>
        <v/>
      </c>
    </row>
    <row r="30">
      <c r="A30" s="21" t="str">
        <f t="shared" si="2"/>
        <v/>
      </c>
      <c r="B30" s="22"/>
      <c r="C30" s="23"/>
      <c r="D30" s="24"/>
      <c r="E30" s="24"/>
      <c r="F30" s="24"/>
      <c r="G30" s="25"/>
      <c r="H30" s="23"/>
      <c r="I30" s="23"/>
      <c r="J30" s="25"/>
      <c r="K30" s="25"/>
      <c r="L30" s="26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>
        <f t="shared" si="3"/>
        <v>0</v>
      </c>
      <c r="BD30" s="27">
        <f t="shared" si="4"/>
        <v>0</v>
      </c>
      <c r="BE30" s="27">
        <f t="shared" si="5"/>
        <v>0</v>
      </c>
      <c r="BF30" s="27">
        <f t="shared" si="6"/>
        <v>0</v>
      </c>
      <c r="BG30" s="24"/>
      <c r="BH30" s="24"/>
      <c r="BI30" s="24"/>
      <c r="BJ30" s="28" t="str">
        <f t="shared" ref="BJ30:BK30" si="34">H30</f>
        <v/>
      </c>
      <c r="BK30" s="28" t="str">
        <f t="shared" si="34"/>
        <v/>
      </c>
      <c r="BL30" s="29" t="str">
        <f t="shared" si="8"/>
        <v/>
      </c>
    </row>
    <row r="31">
      <c r="A31" s="12" t="str">
        <f t="shared" si="2"/>
        <v/>
      </c>
      <c r="B31" s="13"/>
      <c r="C31" s="14"/>
      <c r="D31" s="15"/>
      <c r="E31" s="15"/>
      <c r="F31" s="15"/>
      <c r="G31" s="16"/>
      <c r="H31" s="14"/>
      <c r="I31" s="14"/>
      <c r="J31" s="16"/>
      <c r="K31" s="16"/>
      <c r="L31" s="17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>
        <f t="shared" si="3"/>
        <v>0</v>
      </c>
      <c r="BD31" s="18">
        <f t="shared" si="4"/>
        <v>0</v>
      </c>
      <c r="BE31" s="18">
        <f t="shared" si="5"/>
        <v>0</v>
      </c>
      <c r="BF31" s="18">
        <f t="shared" si="6"/>
        <v>0</v>
      </c>
      <c r="BG31" s="15"/>
      <c r="BH31" s="15"/>
      <c r="BI31" s="15"/>
      <c r="BJ31" s="19" t="str">
        <f t="shared" ref="BJ31:BK31" si="35">H31</f>
        <v/>
      </c>
      <c r="BK31" s="19" t="str">
        <f t="shared" si="35"/>
        <v/>
      </c>
      <c r="BL31" s="20" t="str">
        <f t="shared" si="8"/>
        <v/>
      </c>
    </row>
    <row r="32">
      <c r="A32" s="21" t="str">
        <f t="shared" si="2"/>
        <v/>
      </c>
      <c r="B32" s="22"/>
      <c r="C32" s="23"/>
      <c r="D32" s="24"/>
      <c r="E32" s="24"/>
      <c r="F32" s="24"/>
      <c r="G32" s="25"/>
      <c r="H32" s="23"/>
      <c r="I32" s="23"/>
      <c r="J32" s="25"/>
      <c r="K32" s="25"/>
      <c r="L32" s="26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>
        <f t="shared" si="3"/>
        <v>0</v>
      </c>
      <c r="BD32" s="27">
        <f t="shared" si="4"/>
        <v>0</v>
      </c>
      <c r="BE32" s="27">
        <f t="shared" si="5"/>
        <v>0</v>
      </c>
      <c r="BF32" s="27">
        <f t="shared" si="6"/>
        <v>0</v>
      </c>
      <c r="BG32" s="24"/>
      <c r="BH32" s="24"/>
      <c r="BI32" s="24"/>
      <c r="BJ32" s="28" t="str">
        <f t="shared" ref="BJ32:BK32" si="36">H32</f>
        <v/>
      </c>
      <c r="BK32" s="28" t="str">
        <f t="shared" si="36"/>
        <v/>
      </c>
      <c r="BL32" s="29" t="str">
        <f t="shared" si="8"/>
        <v/>
      </c>
    </row>
    <row r="33">
      <c r="A33" s="12" t="str">
        <f t="shared" si="2"/>
        <v/>
      </c>
      <c r="B33" s="13"/>
      <c r="C33" s="14"/>
      <c r="D33" s="15"/>
      <c r="E33" s="15"/>
      <c r="F33" s="15"/>
      <c r="G33" s="16"/>
      <c r="H33" s="14"/>
      <c r="I33" s="14"/>
      <c r="J33" s="16"/>
      <c r="K33" s="16"/>
      <c r="L33" s="17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>
        <f t="shared" si="3"/>
        <v>0</v>
      </c>
      <c r="BD33" s="18">
        <f t="shared" si="4"/>
        <v>0</v>
      </c>
      <c r="BE33" s="18">
        <f t="shared" si="5"/>
        <v>0</v>
      </c>
      <c r="BF33" s="18">
        <f t="shared" si="6"/>
        <v>0</v>
      </c>
      <c r="BG33" s="15"/>
      <c r="BH33" s="15"/>
      <c r="BI33" s="15"/>
      <c r="BJ33" s="19" t="str">
        <f t="shared" ref="BJ33:BK33" si="37">H33</f>
        <v/>
      </c>
      <c r="BK33" s="19" t="str">
        <f t="shared" si="37"/>
        <v/>
      </c>
      <c r="BL33" s="20" t="str">
        <f t="shared" si="8"/>
        <v/>
      </c>
    </row>
    <row r="34">
      <c r="A34" s="21" t="str">
        <f t="shared" si="2"/>
        <v/>
      </c>
      <c r="B34" s="22"/>
      <c r="C34" s="23"/>
      <c r="D34" s="24"/>
      <c r="E34" s="24"/>
      <c r="F34" s="24"/>
      <c r="G34" s="25"/>
      <c r="H34" s="23"/>
      <c r="I34" s="23"/>
      <c r="J34" s="25"/>
      <c r="K34" s="25"/>
      <c r="L34" s="26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>
        <f t="shared" si="3"/>
        <v>0</v>
      </c>
      <c r="BD34" s="27">
        <f t="shared" si="4"/>
        <v>0</v>
      </c>
      <c r="BE34" s="27">
        <f t="shared" si="5"/>
        <v>0</v>
      </c>
      <c r="BF34" s="27">
        <f t="shared" si="6"/>
        <v>0</v>
      </c>
      <c r="BG34" s="24"/>
      <c r="BH34" s="24"/>
      <c r="BI34" s="24"/>
      <c r="BJ34" s="28" t="str">
        <f t="shared" ref="BJ34:BK34" si="38">H34</f>
        <v/>
      </c>
      <c r="BK34" s="28" t="str">
        <f t="shared" si="38"/>
        <v/>
      </c>
      <c r="BL34" s="29" t="str">
        <f t="shared" si="8"/>
        <v/>
      </c>
    </row>
    <row r="35">
      <c r="A35" s="12" t="str">
        <f t="shared" si="2"/>
        <v/>
      </c>
      <c r="B35" s="13"/>
      <c r="C35" s="14"/>
      <c r="D35" s="15"/>
      <c r="E35" s="15"/>
      <c r="F35" s="15"/>
      <c r="G35" s="16"/>
      <c r="H35" s="14"/>
      <c r="I35" s="14"/>
      <c r="J35" s="16"/>
      <c r="K35" s="16"/>
      <c r="L35" s="17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>
        <f t="shared" si="3"/>
        <v>0</v>
      </c>
      <c r="BD35" s="18">
        <f t="shared" si="4"/>
        <v>0</v>
      </c>
      <c r="BE35" s="18">
        <f t="shared" si="5"/>
        <v>0</v>
      </c>
      <c r="BF35" s="18">
        <f t="shared" si="6"/>
        <v>0</v>
      </c>
      <c r="BG35" s="15"/>
      <c r="BH35" s="15"/>
      <c r="BI35" s="15"/>
      <c r="BJ35" s="19" t="str">
        <f t="shared" ref="BJ35:BK35" si="39">H35</f>
        <v/>
      </c>
      <c r="BK35" s="19" t="str">
        <f t="shared" si="39"/>
        <v/>
      </c>
      <c r="BL35" s="20" t="str">
        <f t="shared" si="8"/>
        <v/>
      </c>
    </row>
    <row r="36">
      <c r="A36" s="21" t="str">
        <f t="shared" si="2"/>
        <v/>
      </c>
      <c r="B36" s="22"/>
      <c r="C36" s="23"/>
      <c r="D36" s="24"/>
      <c r="E36" s="24"/>
      <c r="F36" s="24"/>
      <c r="G36" s="25"/>
      <c r="H36" s="23"/>
      <c r="I36" s="23"/>
      <c r="J36" s="25"/>
      <c r="K36" s="25"/>
      <c r="L36" s="26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>
        <f t="shared" si="3"/>
        <v>0</v>
      </c>
      <c r="BD36" s="27">
        <f t="shared" si="4"/>
        <v>0</v>
      </c>
      <c r="BE36" s="27">
        <f t="shared" si="5"/>
        <v>0</v>
      </c>
      <c r="BF36" s="27">
        <f t="shared" si="6"/>
        <v>0</v>
      </c>
      <c r="BG36" s="24"/>
      <c r="BH36" s="24"/>
      <c r="BI36" s="24"/>
      <c r="BJ36" s="28" t="str">
        <f t="shared" ref="BJ36:BK36" si="40">H36</f>
        <v/>
      </c>
      <c r="BK36" s="28" t="str">
        <f t="shared" si="40"/>
        <v/>
      </c>
      <c r="BL36" s="29" t="str">
        <f t="shared" si="8"/>
        <v/>
      </c>
    </row>
    <row r="37">
      <c r="A37" s="12" t="str">
        <f t="shared" si="2"/>
        <v/>
      </c>
      <c r="B37" s="13"/>
      <c r="C37" s="14"/>
      <c r="D37" s="15"/>
      <c r="E37" s="15"/>
      <c r="F37" s="15"/>
      <c r="G37" s="12"/>
      <c r="H37" s="14"/>
      <c r="I37" s="14"/>
      <c r="J37" s="16"/>
      <c r="K37" s="14"/>
      <c r="L37" s="17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>
        <f t="shared" si="3"/>
        <v>0</v>
      </c>
      <c r="BD37" s="18">
        <f t="shared" si="4"/>
        <v>0</v>
      </c>
      <c r="BE37" s="18">
        <f t="shared" si="5"/>
        <v>0</v>
      </c>
      <c r="BF37" s="18">
        <f t="shared" si="6"/>
        <v>0</v>
      </c>
      <c r="BG37" s="15"/>
      <c r="BH37" s="15"/>
      <c r="BI37" s="15"/>
      <c r="BJ37" s="19" t="str">
        <f t="shared" ref="BJ37:BK37" si="41">H37</f>
        <v/>
      </c>
      <c r="BK37" s="19" t="str">
        <f t="shared" si="41"/>
        <v/>
      </c>
      <c r="BL37" s="20" t="str">
        <f t="shared" si="8"/>
        <v/>
      </c>
    </row>
    <row r="38">
      <c r="A38" s="21" t="str">
        <f t="shared" si="2"/>
        <v/>
      </c>
      <c r="B38" s="22"/>
      <c r="C38" s="23"/>
      <c r="D38" s="24"/>
      <c r="E38" s="24"/>
      <c r="F38" s="24"/>
      <c r="G38" s="25"/>
      <c r="H38" s="23"/>
      <c r="I38" s="23"/>
      <c r="J38" s="25"/>
      <c r="K38" s="25"/>
      <c r="L38" s="26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>
        <f t="shared" si="3"/>
        <v>0</v>
      </c>
      <c r="BD38" s="27">
        <f t="shared" si="4"/>
        <v>0</v>
      </c>
      <c r="BE38" s="27">
        <f t="shared" si="5"/>
        <v>0</v>
      </c>
      <c r="BF38" s="27">
        <f t="shared" si="6"/>
        <v>0</v>
      </c>
      <c r="BG38" s="24"/>
      <c r="BH38" s="24"/>
      <c r="BI38" s="24"/>
      <c r="BJ38" s="28" t="str">
        <f t="shared" ref="BJ38:BK38" si="42">H38</f>
        <v/>
      </c>
      <c r="BK38" s="28" t="str">
        <f t="shared" si="42"/>
        <v/>
      </c>
      <c r="BL38" s="29" t="str">
        <f t="shared" si="8"/>
        <v/>
      </c>
    </row>
    <row r="39">
      <c r="A39" s="12" t="str">
        <f t="shared" si="2"/>
        <v/>
      </c>
      <c r="B39" s="13"/>
      <c r="C39" s="14"/>
      <c r="D39" s="15"/>
      <c r="E39" s="15"/>
      <c r="F39" s="15"/>
      <c r="G39" s="16"/>
      <c r="H39" s="14"/>
      <c r="I39" s="14"/>
      <c r="J39" s="16"/>
      <c r="K39" s="16"/>
      <c r="L39" s="17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>
        <f t="shared" si="3"/>
        <v>0</v>
      </c>
      <c r="BD39" s="18">
        <f t="shared" si="4"/>
        <v>0</v>
      </c>
      <c r="BE39" s="18">
        <f t="shared" si="5"/>
        <v>0</v>
      </c>
      <c r="BF39" s="18">
        <f t="shared" si="6"/>
        <v>0</v>
      </c>
      <c r="BG39" s="15"/>
      <c r="BH39" s="15"/>
      <c r="BI39" s="15"/>
      <c r="BJ39" s="19" t="str">
        <f t="shared" ref="BJ39:BK39" si="43">H39</f>
        <v/>
      </c>
      <c r="BK39" s="19" t="str">
        <f t="shared" si="43"/>
        <v/>
      </c>
      <c r="BL39" s="20" t="str">
        <f t="shared" si="8"/>
        <v/>
      </c>
    </row>
    <row r="40">
      <c r="A40" s="21" t="str">
        <f t="shared" si="2"/>
        <v/>
      </c>
      <c r="B40" s="22"/>
      <c r="C40" s="23"/>
      <c r="D40" s="24"/>
      <c r="E40" s="24"/>
      <c r="F40" s="24"/>
      <c r="G40" s="25"/>
      <c r="H40" s="23"/>
      <c r="I40" s="23"/>
      <c r="J40" s="25"/>
      <c r="K40" s="25"/>
      <c r="L40" s="26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>
        <f t="shared" si="3"/>
        <v>0</v>
      </c>
      <c r="BD40" s="27">
        <f t="shared" si="4"/>
        <v>0</v>
      </c>
      <c r="BE40" s="27">
        <f t="shared" si="5"/>
        <v>0</v>
      </c>
      <c r="BF40" s="27">
        <f t="shared" si="6"/>
        <v>0</v>
      </c>
      <c r="BG40" s="24"/>
      <c r="BH40" s="24"/>
      <c r="BI40" s="24"/>
      <c r="BJ40" s="28" t="str">
        <f t="shared" ref="BJ40:BK40" si="44">H40</f>
        <v/>
      </c>
      <c r="BK40" s="28" t="str">
        <f t="shared" si="44"/>
        <v/>
      </c>
      <c r="BL40" s="29" t="str">
        <f t="shared" si="8"/>
        <v/>
      </c>
    </row>
    <row r="41">
      <c r="A41" s="12" t="str">
        <f t="shared" si="2"/>
        <v/>
      </c>
      <c r="B41" s="13"/>
      <c r="C41" s="14"/>
      <c r="D41" s="15"/>
      <c r="E41" s="15"/>
      <c r="F41" s="15"/>
      <c r="G41" s="16"/>
      <c r="H41" s="14"/>
      <c r="I41" s="14"/>
      <c r="J41" s="16"/>
      <c r="K41" s="16"/>
      <c r="L41" s="17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>
        <f t="shared" si="3"/>
        <v>0</v>
      </c>
      <c r="BD41" s="18">
        <f t="shared" si="4"/>
        <v>0</v>
      </c>
      <c r="BE41" s="18">
        <f t="shared" si="5"/>
        <v>0</v>
      </c>
      <c r="BF41" s="18">
        <f t="shared" si="6"/>
        <v>0</v>
      </c>
      <c r="BG41" s="15"/>
      <c r="BH41" s="15"/>
      <c r="BI41" s="15"/>
      <c r="BJ41" s="19" t="str">
        <f t="shared" ref="BJ41:BK41" si="45">H41</f>
        <v/>
      </c>
      <c r="BK41" s="19" t="str">
        <f t="shared" si="45"/>
        <v/>
      </c>
      <c r="BL41" s="20" t="str">
        <f t="shared" si="8"/>
        <v/>
      </c>
    </row>
    <row r="42">
      <c r="A42" s="21" t="str">
        <f t="shared" si="2"/>
        <v/>
      </c>
      <c r="B42" s="22"/>
      <c r="C42" s="23"/>
      <c r="D42" s="24"/>
      <c r="E42" s="24"/>
      <c r="F42" s="24"/>
      <c r="G42" s="25"/>
      <c r="H42" s="23"/>
      <c r="I42" s="23"/>
      <c r="J42" s="25"/>
      <c r="K42" s="25"/>
      <c r="L42" s="26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>
        <f t="shared" si="3"/>
        <v>0</v>
      </c>
      <c r="BD42" s="27">
        <f t="shared" si="4"/>
        <v>0</v>
      </c>
      <c r="BE42" s="27">
        <f t="shared" si="5"/>
        <v>0</v>
      </c>
      <c r="BF42" s="27">
        <f t="shared" si="6"/>
        <v>0</v>
      </c>
      <c r="BG42" s="24"/>
      <c r="BH42" s="24"/>
      <c r="BI42" s="24"/>
      <c r="BJ42" s="28" t="str">
        <f t="shared" ref="BJ42:BK42" si="46">H42</f>
        <v/>
      </c>
      <c r="BK42" s="28" t="str">
        <f t="shared" si="46"/>
        <v/>
      </c>
      <c r="BL42" s="29" t="str">
        <f t="shared" si="8"/>
        <v/>
      </c>
    </row>
    <row r="43">
      <c r="A43" s="12" t="str">
        <f t="shared" si="2"/>
        <v/>
      </c>
      <c r="B43" s="13"/>
      <c r="C43" s="14"/>
      <c r="D43" s="15"/>
      <c r="E43" s="15"/>
      <c r="F43" s="15"/>
      <c r="G43" s="16"/>
      <c r="H43" s="14"/>
      <c r="I43" s="14"/>
      <c r="J43" s="16"/>
      <c r="K43" s="16"/>
      <c r="L43" s="17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>
        <f t="shared" si="3"/>
        <v>0</v>
      </c>
      <c r="BD43" s="18">
        <f t="shared" si="4"/>
        <v>0</v>
      </c>
      <c r="BE43" s="18">
        <f t="shared" si="5"/>
        <v>0</v>
      </c>
      <c r="BF43" s="18">
        <f t="shared" si="6"/>
        <v>0</v>
      </c>
      <c r="BG43" s="15"/>
      <c r="BH43" s="15"/>
      <c r="BI43" s="15"/>
      <c r="BJ43" s="19" t="str">
        <f t="shared" ref="BJ43:BK43" si="47">H43</f>
        <v/>
      </c>
      <c r="BK43" s="19" t="str">
        <f t="shared" si="47"/>
        <v/>
      </c>
      <c r="BL43" s="20" t="str">
        <f t="shared" si="8"/>
        <v/>
      </c>
    </row>
    <row r="44">
      <c r="A44" s="21" t="str">
        <f t="shared" si="2"/>
        <v/>
      </c>
      <c r="B44" s="22"/>
      <c r="C44" s="23"/>
      <c r="D44" s="24"/>
      <c r="E44" s="24"/>
      <c r="F44" s="24"/>
      <c r="G44" s="25"/>
      <c r="H44" s="23"/>
      <c r="I44" s="23"/>
      <c r="J44" s="25"/>
      <c r="K44" s="25"/>
      <c r="L44" s="26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>
        <f t="shared" si="3"/>
        <v>0</v>
      </c>
      <c r="BD44" s="27">
        <f t="shared" si="4"/>
        <v>0</v>
      </c>
      <c r="BE44" s="27">
        <f t="shared" si="5"/>
        <v>0</v>
      </c>
      <c r="BF44" s="27">
        <f t="shared" si="6"/>
        <v>0</v>
      </c>
      <c r="BG44" s="24"/>
      <c r="BH44" s="24"/>
      <c r="BI44" s="24"/>
      <c r="BJ44" s="28" t="str">
        <f t="shared" ref="BJ44:BK44" si="48">H44</f>
        <v/>
      </c>
      <c r="BK44" s="28" t="str">
        <f t="shared" si="48"/>
        <v/>
      </c>
      <c r="BL44" s="29" t="str">
        <f t="shared" si="8"/>
        <v/>
      </c>
    </row>
    <row r="45">
      <c r="A45" s="12" t="str">
        <f t="shared" si="2"/>
        <v/>
      </c>
      <c r="B45" s="13"/>
      <c r="C45" s="14"/>
      <c r="D45" s="15"/>
      <c r="E45" s="15"/>
      <c r="F45" s="15"/>
      <c r="G45" s="16"/>
      <c r="H45" s="14"/>
      <c r="I45" s="14"/>
      <c r="J45" s="16"/>
      <c r="K45" s="16"/>
      <c r="L45" s="17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>
        <f t="shared" si="3"/>
        <v>0</v>
      </c>
      <c r="BD45" s="18">
        <f t="shared" si="4"/>
        <v>0</v>
      </c>
      <c r="BE45" s="18">
        <f t="shared" si="5"/>
        <v>0</v>
      </c>
      <c r="BF45" s="18">
        <f t="shared" si="6"/>
        <v>0</v>
      </c>
      <c r="BG45" s="15"/>
      <c r="BH45" s="15"/>
      <c r="BI45" s="15"/>
      <c r="BJ45" s="19" t="str">
        <f t="shared" ref="BJ45:BK45" si="49">H45</f>
        <v/>
      </c>
      <c r="BK45" s="19" t="str">
        <f t="shared" si="49"/>
        <v/>
      </c>
      <c r="BL45" s="20" t="str">
        <f t="shared" si="8"/>
        <v/>
      </c>
    </row>
    <row r="46">
      <c r="A46" s="21" t="str">
        <f t="shared" si="2"/>
        <v/>
      </c>
      <c r="B46" s="22"/>
      <c r="C46" s="23"/>
      <c r="D46" s="24"/>
      <c r="E46" s="24"/>
      <c r="F46" s="24"/>
      <c r="G46" s="25"/>
      <c r="H46" s="23"/>
      <c r="I46" s="23"/>
      <c r="J46" s="25"/>
      <c r="K46" s="25"/>
      <c r="L46" s="26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>
        <f t="shared" si="3"/>
        <v>0</v>
      </c>
      <c r="BD46" s="27">
        <f t="shared" si="4"/>
        <v>0</v>
      </c>
      <c r="BE46" s="27">
        <f t="shared" si="5"/>
        <v>0</v>
      </c>
      <c r="BF46" s="27">
        <f t="shared" si="6"/>
        <v>0</v>
      </c>
      <c r="BG46" s="24"/>
      <c r="BH46" s="24"/>
      <c r="BI46" s="24"/>
      <c r="BJ46" s="28" t="str">
        <f t="shared" ref="BJ46:BK46" si="50">H46</f>
        <v/>
      </c>
      <c r="BK46" s="28" t="str">
        <f t="shared" si="50"/>
        <v/>
      </c>
      <c r="BL46" s="29" t="str">
        <f t="shared" si="8"/>
        <v/>
      </c>
    </row>
    <row r="47">
      <c r="A47" s="12" t="str">
        <f t="shared" si="2"/>
        <v/>
      </c>
      <c r="B47" s="13"/>
      <c r="C47" s="14"/>
      <c r="D47" s="15"/>
      <c r="E47" s="15"/>
      <c r="F47" s="15"/>
      <c r="G47" s="16"/>
      <c r="H47" s="14"/>
      <c r="I47" s="14"/>
      <c r="J47" s="16"/>
      <c r="K47" s="16"/>
      <c r="L47" s="17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>
        <f t="shared" si="3"/>
        <v>0</v>
      </c>
      <c r="BD47" s="18">
        <f t="shared" si="4"/>
        <v>0</v>
      </c>
      <c r="BE47" s="18">
        <f t="shared" si="5"/>
        <v>0</v>
      </c>
      <c r="BF47" s="18">
        <f t="shared" si="6"/>
        <v>0</v>
      </c>
      <c r="BG47" s="15"/>
      <c r="BH47" s="15"/>
      <c r="BI47" s="15"/>
      <c r="BJ47" s="19" t="str">
        <f t="shared" ref="BJ47:BK47" si="51">H47</f>
        <v/>
      </c>
      <c r="BK47" s="19" t="str">
        <f t="shared" si="51"/>
        <v/>
      </c>
      <c r="BL47" s="20" t="str">
        <f t="shared" si="8"/>
        <v/>
      </c>
    </row>
    <row r="48">
      <c r="A48" s="21" t="str">
        <f t="shared" si="2"/>
        <v/>
      </c>
      <c r="B48" s="22"/>
      <c r="C48" s="23"/>
      <c r="D48" s="24"/>
      <c r="E48" s="24"/>
      <c r="F48" s="24"/>
      <c r="G48" s="25"/>
      <c r="H48" s="23"/>
      <c r="I48" s="23"/>
      <c r="J48" s="25"/>
      <c r="K48" s="25"/>
      <c r="L48" s="26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>
        <f t="shared" si="3"/>
        <v>0</v>
      </c>
      <c r="BD48" s="27">
        <f t="shared" si="4"/>
        <v>0</v>
      </c>
      <c r="BE48" s="27">
        <f t="shared" si="5"/>
        <v>0</v>
      </c>
      <c r="BF48" s="27">
        <f t="shared" si="6"/>
        <v>0</v>
      </c>
      <c r="BG48" s="24"/>
      <c r="BH48" s="24"/>
      <c r="BI48" s="24"/>
      <c r="BJ48" s="28" t="str">
        <f t="shared" ref="BJ48:BK48" si="52">H48</f>
        <v/>
      </c>
      <c r="BK48" s="28" t="str">
        <f t="shared" si="52"/>
        <v/>
      </c>
      <c r="BL48" s="29" t="str">
        <f t="shared" si="8"/>
        <v/>
      </c>
    </row>
    <row r="49">
      <c r="A49" s="12" t="str">
        <f t="shared" si="2"/>
        <v/>
      </c>
      <c r="B49" s="13"/>
      <c r="C49" s="14"/>
      <c r="D49" s="15"/>
      <c r="E49" s="15"/>
      <c r="F49" s="15"/>
      <c r="G49" s="16"/>
      <c r="H49" s="14"/>
      <c r="I49" s="14"/>
      <c r="J49" s="16"/>
      <c r="K49" s="16"/>
      <c r="L49" s="17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>
        <f t="shared" si="3"/>
        <v>0</v>
      </c>
      <c r="BD49" s="18">
        <f t="shared" si="4"/>
        <v>0</v>
      </c>
      <c r="BE49" s="18">
        <f t="shared" si="5"/>
        <v>0</v>
      </c>
      <c r="BF49" s="18">
        <f t="shared" si="6"/>
        <v>0</v>
      </c>
      <c r="BG49" s="15"/>
      <c r="BH49" s="15"/>
      <c r="BI49" s="15"/>
      <c r="BJ49" s="19" t="str">
        <f t="shared" ref="BJ49:BK49" si="53">H49</f>
        <v/>
      </c>
      <c r="BK49" s="19" t="str">
        <f t="shared" si="53"/>
        <v/>
      </c>
      <c r="BL49" s="20" t="str">
        <f t="shared" si="8"/>
        <v/>
      </c>
    </row>
    <row r="50">
      <c r="A50" s="21" t="str">
        <f t="shared" si="2"/>
        <v/>
      </c>
      <c r="B50" s="22"/>
      <c r="C50" s="23"/>
      <c r="D50" s="24"/>
      <c r="E50" s="24"/>
      <c r="F50" s="24"/>
      <c r="G50" s="25"/>
      <c r="H50" s="23"/>
      <c r="I50" s="23"/>
      <c r="J50" s="25"/>
      <c r="K50" s="25"/>
      <c r="L50" s="26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>
        <f t="shared" si="3"/>
        <v>0</v>
      </c>
      <c r="BD50" s="27">
        <f t="shared" si="4"/>
        <v>0</v>
      </c>
      <c r="BE50" s="27">
        <f t="shared" si="5"/>
        <v>0</v>
      </c>
      <c r="BF50" s="27">
        <f t="shared" si="6"/>
        <v>0</v>
      </c>
      <c r="BG50" s="24"/>
      <c r="BH50" s="24"/>
      <c r="BI50" s="24"/>
      <c r="BJ50" s="28" t="str">
        <f t="shared" ref="BJ50:BK50" si="54">H50</f>
        <v/>
      </c>
      <c r="BK50" s="28" t="str">
        <f t="shared" si="54"/>
        <v/>
      </c>
      <c r="BL50" s="29" t="str">
        <f t="shared" si="8"/>
        <v/>
      </c>
    </row>
    <row r="51">
      <c r="A51" s="12" t="str">
        <f t="shared" si="2"/>
        <v/>
      </c>
      <c r="B51" s="13"/>
      <c r="C51" s="14"/>
      <c r="D51" s="15"/>
      <c r="E51" s="15"/>
      <c r="F51" s="15"/>
      <c r="G51" s="16"/>
      <c r="H51" s="14"/>
      <c r="I51" s="14"/>
      <c r="J51" s="16"/>
      <c r="K51" s="16"/>
      <c r="L51" s="17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>
        <f t="shared" si="3"/>
        <v>0</v>
      </c>
      <c r="BD51" s="18">
        <f t="shared" si="4"/>
        <v>0</v>
      </c>
      <c r="BE51" s="18">
        <f t="shared" si="5"/>
        <v>0</v>
      </c>
      <c r="BF51" s="18">
        <f t="shared" si="6"/>
        <v>0</v>
      </c>
      <c r="BG51" s="15"/>
      <c r="BH51" s="15"/>
      <c r="BI51" s="15"/>
      <c r="BJ51" s="19" t="str">
        <f t="shared" ref="BJ51:BK51" si="55">H51</f>
        <v/>
      </c>
      <c r="BK51" s="19" t="str">
        <f t="shared" si="55"/>
        <v/>
      </c>
      <c r="BL51" s="20" t="str">
        <f t="shared" si="8"/>
        <v/>
      </c>
    </row>
    <row r="52">
      <c r="A52" s="21" t="str">
        <f t="shared" si="2"/>
        <v/>
      </c>
      <c r="B52" s="22"/>
      <c r="C52" s="23"/>
      <c r="D52" s="24"/>
      <c r="E52" s="24"/>
      <c r="F52" s="24"/>
      <c r="G52" s="25"/>
      <c r="H52" s="23"/>
      <c r="I52" s="23"/>
      <c r="J52" s="25"/>
      <c r="K52" s="25"/>
      <c r="L52" s="26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>
        <f t="shared" si="3"/>
        <v>0</v>
      </c>
      <c r="BD52" s="27">
        <f t="shared" si="4"/>
        <v>0</v>
      </c>
      <c r="BE52" s="27">
        <f t="shared" si="5"/>
        <v>0</v>
      </c>
      <c r="BF52" s="27">
        <f t="shared" si="6"/>
        <v>0</v>
      </c>
      <c r="BG52" s="24"/>
      <c r="BH52" s="24"/>
      <c r="BI52" s="24"/>
      <c r="BJ52" s="28" t="str">
        <f t="shared" ref="BJ52:BK52" si="56">H52</f>
        <v/>
      </c>
      <c r="BK52" s="28" t="str">
        <f t="shared" si="56"/>
        <v/>
      </c>
      <c r="BL52" s="29" t="str">
        <f t="shared" si="8"/>
        <v/>
      </c>
    </row>
    <row r="53">
      <c r="A53" s="12" t="str">
        <f t="shared" si="2"/>
        <v/>
      </c>
      <c r="B53" s="13"/>
      <c r="C53" s="14"/>
      <c r="D53" s="15"/>
      <c r="E53" s="15"/>
      <c r="F53" s="15"/>
      <c r="G53" s="16"/>
      <c r="H53" s="14"/>
      <c r="I53" s="14"/>
      <c r="J53" s="16"/>
      <c r="K53" s="16"/>
      <c r="L53" s="17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>
        <f t="shared" si="3"/>
        <v>0</v>
      </c>
      <c r="BD53" s="18">
        <f t="shared" si="4"/>
        <v>0</v>
      </c>
      <c r="BE53" s="18">
        <f t="shared" si="5"/>
        <v>0</v>
      </c>
      <c r="BF53" s="18">
        <f t="shared" si="6"/>
        <v>0</v>
      </c>
      <c r="BG53" s="15"/>
      <c r="BH53" s="15"/>
      <c r="BI53" s="15"/>
      <c r="BJ53" s="19" t="str">
        <f t="shared" ref="BJ53:BK53" si="57">H53</f>
        <v/>
      </c>
      <c r="BK53" s="19" t="str">
        <f t="shared" si="57"/>
        <v/>
      </c>
      <c r="BL53" s="20" t="str">
        <f t="shared" si="8"/>
        <v/>
      </c>
    </row>
    <row r="54">
      <c r="A54" s="21" t="str">
        <f t="shared" si="2"/>
        <v/>
      </c>
      <c r="B54" s="22"/>
      <c r="C54" s="23"/>
      <c r="D54" s="24"/>
      <c r="E54" s="24"/>
      <c r="F54" s="24"/>
      <c r="G54" s="25"/>
      <c r="H54" s="23"/>
      <c r="I54" s="23"/>
      <c r="J54" s="25"/>
      <c r="K54" s="25"/>
      <c r="L54" s="26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>
        <f t="shared" si="3"/>
        <v>0</v>
      </c>
      <c r="BD54" s="27">
        <f t="shared" si="4"/>
        <v>0</v>
      </c>
      <c r="BE54" s="27">
        <f t="shared" si="5"/>
        <v>0</v>
      </c>
      <c r="BF54" s="27">
        <f t="shared" si="6"/>
        <v>0</v>
      </c>
      <c r="BG54" s="24"/>
      <c r="BH54" s="24"/>
      <c r="BI54" s="24"/>
      <c r="BJ54" s="28" t="str">
        <f t="shared" ref="BJ54:BK54" si="58">H54</f>
        <v/>
      </c>
      <c r="BK54" s="28" t="str">
        <f t="shared" si="58"/>
        <v/>
      </c>
      <c r="BL54" s="29" t="str">
        <f t="shared" si="8"/>
        <v/>
      </c>
    </row>
    <row r="55">
      <c r="A55" s="12" t="str">
        <f t="shared" si="2"/>
        <v/>
      </c>
      <c r="B55" s="13"/>
      <c r="C55" s="14"/>
      <c r="D55" s="15"/>
      <c r="E55" s="15"/>
      <c r="F55" s="15"/>
      <c r="G55" s="16"/>
      <c r="H55" s="14"/>
      <c r="I55" s="14"/>
      <c r="J55" s="16"/>
      <c r="K55" s="16"/>
      <c r="L55" s="17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>
        <f t="shared" si="3"/>
        <v>0</v>
      </c>
      <c r="BD55" s="18">
        <f t="shared" si="4"/>
        <v>0</v>
      </c>
      <c r="BE55" s="18">
        <f t="shared" si="5"/>
        <v>0</v>
      </c>
      <c r="BF55" s="18">
        <f t="shared" si="6"/>
        <v>0</v>
      </c>
      <c r="BG55" s="15"/>
      <c r="BH55" s="15"/>
      <c r="BI55" s="15"/>
      <c r="BJ55" s="19" t="str">
        <f t="shared" ref="BJ55:BK55" si="59">H55</f>
        <v/>
      </c>
      <c r="BK55" s="19" t="str">
        <f t="shared" si="59"/>
        <v/>
      </c>
      <c r="BL55" s="20" t="str">
        <f t="shared" si="8"/>
        <v/>
      </c>
    </row>
    <row r="56">
      <c r="A56" s="21" t="str">
        <f t="shared" si="2"/>
        <v/>
      </c>
      <c r="B56" s="22"/>
      <c r="C56" s="23"/>
      <c r="D56" s="24"/>
      <c r="E56" s="24"/>
      <c r="F56" s="24"/>
      <c r="G56" s="25"/>
      <c r="H56" s="23"/>
      <c r="I56" s="23"/>
      <c r="J56" s="25"/>
      <c r="K56" s="25"/>
      <c r="L56" s="26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>
        <f t="shared" si="3"/>
        <v>0</v>
      </c>
      <c r="BD56" s="27">
        <f t="shared" si="4"/>
        <v>0</v>
      </c>
      <c r="BE56" s="27">
        <f t="shared" si="5"/>
        <v>0</v>
      </c>
      <c r="BF56" s="27">
        <f t="shared" si="6"/>
        <v>0</v>
      </c>
      <c r="BG56" s="24"/>
      <c r="BH56" s="24"/>
      <c r="BI56" s="24"/>
      <c r="BJ56" s="28" t="str">
        <f t="shared" ref="BJ56:BK56" si="60">H56</f>
        <v/>
      </c>
      <c r="BK56" s="28" t="str">
        <f t="shared" si="60"/>
        <v/>
      </c>
      <c r="BL56" s="29" t="str">
        <f t="shared" si="8"/>
        <v/>
      </c>
    </row>
    <row r="57">
      <c r="A57" s="12" t="str">
        <f t="shared" si="2"/>
        <v/>
      </c>
      <c r="B57" s="13"/>
      <c r="C57" s="14"/>
      <c r="D57" s="15"/>
      <c r="E57" s="15"/>
      <c r="F57" s="15"/>
      <c r="G57" s="16"/>
      <c r="H57" s="14"/>
      <c r="I57" s="14"/>
      <c r="J57" s="16"/>
      <c r="K57" s="16"/>
      <c r="L57" s="17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>
        <f t="shared" si="3"/>
        <v>0</v>
      </c>
      <c r="BD57" s="18">
        <f t="shared" si="4"/>
        <v>0</v>
      </c>
      <c r="BE57" s="18">
        <f t="shared" si="5"/>
        <v>0</v>
      </c>
      <c r="BF57" s="18">
        <f t="shared" si="6"/>
        <v>0</v>
      </c>
      <c r="BG57" s="15"/>
      <c r="BH57" s="15"/>
      <c r="BI57" s="15"/>
      <c r="BJ57" s="19" t="str">
        <f t="shared" ref="BJ57:BK57" si="61">H57</f>
        <v/>
      </c>
      <c r="BK57" s="19" t="str">
        <f t="shared" si="61"/>
        <v/>
      </c>
      <c r="BL57" s="20" t="str">
        <f t="shared" si="8"/>
        <v/>
      </c>
    </row>
    <row r="58">
      <c r="A58" s="21" t="str">
        <f t="shared" si="2"/>
        <v/>
      </c>
      <c r="B58" s="22"/>
      <c r="C58" s="23"/>
      <c r="D58" s="24"/>
      <c r="E58" s="24"/>
      <c r="F58" s="24"/>
      <c r="G58" s="25"/>
      <c r="H58" s="23"/>
      <c r="I58" s="23"/>
      <c r="J58" s="25"/>
      <c r="K58" s="25"/>
      <c r="L58" s="26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>
        <f t="shared" si="3"/>
        <v>0</v>
      </c>
      <c r="BD58" s="27">
        <f t="shared" si="4"/>
        <v>0</v>
      </c>
      <c r="BE58" s="27">
        <f t="shared" si="5"/>
        <v>0</v>
      </c>
      <c r="BF58" s="27">
        <f t="shared" si="6"/>
        <v>0</v>
      </c>
      <c r="BG58" s="24"/>
      <c r="BH58" s="24"/>
      <c r="BI58" s="24"/>
      <c r="BJ58" s="28" t="str">
        <f t="shared" ref="BJ58:BK58" si="62">H58</f>
        <v/>
      </c>
      <c r="BK58" s="28" t="str">
        <f t="shared" si="62"/>
        <v/>
      </c>
      <c r="BL58" s="29" t="str">
        <f t="shared" si="8"/>
        <v/>
      </c>
    </row>
    <row r="59">
      <c r="A59" s="12" t="str">
        <f t="shared" si="2"/>
        <v/>
      </c>
      <c r="B59" s="13"/>
      <c r="C59" s="14"/>
      <c r="D59" s="15"/>
      <c r="E59" s="15"/>
      <c r="F59" s="15"/>
      <c r="G59" s="16"/>
      <c r="H59" s="14"/>
      <c r="I59" s="14"/>
      <c r="J59" s="16"/>
      <c r="K59" s="16"/>
      <c r="L59" s="17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>
        <f t="shared" si="3"/>
        <v>0</v>
      </c>
      <c r="BD59" s="18">
        <f t="shared" si="4"/>
        <v>0</v>
      </c>
      <c r="BE59" s="18">
        <f t="shared" si="5"/>
        <v>0</v>
      </c>
      <c r="BF59" s="18">
        <f t="shared" si="6"/>
        <v>0</v>
      </c>
      <c r="BG59" s="15"/>
      <c r="BH59" s="15"/>
      <c r="BI59" s="15"/>
      <c r="BJ59" s="19" t="str">
        <f t="shared" ref="BJ59:BK59" si="63">H59</f>
        <v/>
      </c>
      <c r="BK59" s="19" t="str">
        <f t="shared" si="63"/>
        <v/>
      </c>
      <c r="BL59" s="20" t="str">
        <f t="shared" si="8"/>
        <v/>
      </c>
    </row>
    <row r="60">
      <c r="A60" s="21" t="str">
        <f t="shared" si="2"/>
        <v/>
      </c>
      <c r="B60" s="22"/>
      <c r="C60" s="23"/>
      <c r="D60" s="24"/>
      <c r="E60" s="24"/>
      <c r="F60" s="24"/>
      <c r="G60" s="25"/>
      <c r="H60" s="23"/>
      <c r="I60" s="23"/>
      <c r="J60" s="25"/>
      <c r="K60" s="25"/>
      <c r="L60" s="26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>
        <f t="shared" si="3"/>
        <v>0</v>
      </c>
      <c r="BD60" s="27">
        <f t="shared" si="4"/>
        <v>0</v>
      </c>
      <c r="BE60" s="27">
        <f t="shared" si="5"/>
        <v>0</v>
      </c>
      <c r="BF60" s="27">
        <f t="shared" si="6"/>
        <v>0</v>
      </c>
      <c r="BG60" s="24"/>
      <c r="BH60" s="24"/>
      <c r="BI60" s="24"/>
      <c r="BJ60" s="28" t="str">
        <f t="shared" ref="BJ60:BK60" si="64">H60</f>
        <v/>
      </c>
      <c r="BK60" s="28" t="str">
        <f t="shared" si="64"/>
        <v/>
      </c>
      <c r="BL60" s="29" t="str">
        <f t="shared" si="8"/>
        <v/>
      </c>
    </row>
    <row r="61">
      <c r="A61" s="12" t="str">
        <f t="shared" si="2"/>
        <v/>
      </c>
      <c r="B61" s="13"/>
      <c r="C61" s="14"/>
      <c r="D61" s="15"/>
      <c r="E61" s="15"/>
      <c r="F61" s="15"/>
      <c r="G61" s="16"/>
      <c r="H61" s="14"/>
      <c r="I61" s="14"/>
      <c r="J61" s="16"/>
      <c r="K61" s="16"/>
      <c r="L61" s="17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>
        <f t="shared" si="3"/>
        <v>0</v>
      </c>
      <c r="BD61" s="18">
        <f t="shared" si="4"/>
        <v>0</v>
      </c>
      <c r="BE61" s="18">
        <f t="shared" si="5"/>
        <v>0</v>
      </c>
      <c r="BF61" s="18">
        <f t="shared" si="6"/>
        <v>0</v>
      </c>
      <c r="BG61" s="15"/>
      <c r="BH61" s="15"/>
      <c r="BI61" s="15"/>
      <c r="BJ61" s="19" t="str">
        <f t="shared" ref="BJ61:BK61" si="65">H61</f>
        <v/>
      </c>
      <c r="BK61" s="19" t="str">
        <f t="shared" si="65"/>
        <v/>
      </c>
      <c r="BL61" s="20" t="str">
        <f t="shared" si="8"/>
        <v/>
      </c>
    </row>
    <row r="62">
      <c r="A62" s="21" t="str">
        <f t="shared" si="2"/>
        <v/>
      </c>
      <c r="B62" s="22"/>
      <c r="C62" s="23"/>
      <c r="D62" s="24"/>
      <c r="E62" s="24"/>
      <c r="F62" s="24"/>
      <c r="G62" s="25"/>
      <c r="H62" s="23"/>
      <c r="I62" s="23"/>
      <c r="J62" s="25"/>
      <c r="K62" s="25"/>
      <c r="L62" s="26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>
        <f t="shared" si="3"/>
        <v>0</v>
      </c>
      <c r="BD62" s="27">
        <f t="shared" si="4"/>
        <v>0</v>
      </c>
      <c r="BE62" s="27">
        <f t="shared" si="5"/>
        <v>0</v>
      </c>
      <c r="BF62" s="27">
        <f t="shared" si="6"/>
        <v>0</v>
      </c>
      <c r="BG62" s="24"/>
      <c r="BH62" s="24"/>
      <c r="BI62" s="24"/>
      <c r="BJ62" s="28" t="str">
        <f t="shared" ref="BJ62:BK62" si="66">H62</f>
        <v/>
      </c>
      <c r="BK62" s="28" t="str">
        <f t="shared" si="66"/>
        <v/>
      </c>
      <c r="BL62" s="29" t="str">
        <f t="shared" si="8"/>
        <v/>
      </c>
    </row>
    <row r="63">
      <c r="A63" s="12" t="str">
        <f t="shared" si="2"/>
        <v/>
      </c>
      <c r="B63" s="13"/>
      <c r="C63" s="14"/>
      <c r="D63" s="15"/>
      <c r="E63" s="15"/>
      <c r="F63" s="15"/>
      <c r="G63" s="16"/>
      <c r="H63" s="14"/>
      <c r="I63" s="14"/>
      <c r="J63" s="16"/>
      <c r="K63" s="16"/>
      <c r="L63" s="17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>
        <f t="shared" si="3"/>
        <v>0</v>
      </c>
      <c r="BD63" s="18">
        <f t="shared" si="4"/>
        <v>0</v>
      </c>
      <c r="BE63" s="18">
        <f t="shared" si="5"/>
        <v>0</v>
      </c>
      <c r="BF63" s="18">
        <f t="shared" si="6"/>
        <v>0</v>
      </c>
      <c r="BG63" s="15"/>
      <c r="BH63" s="15"/>
      <c r="BI63" s="15"/>
      <c r="BJ63" s="19" t="str">
        <f t="shared" ref="BJ63:BK63" si="67">H63</f>
        <v/>
      </c>
      <c r="BK63" s="19" t="str">
        <f t="shared" si="67"/>
        <v/>
      </c>
      <c r="BL63" s="20" t="str">
        <f t="shared" si="8"/>
        <v/>
      </c>
    </row>
    <row r="64">
      <c r="A64" s="21" t="str">
        <f t="shared" si="2"/>
        <v/>
      </c>
      <c r="B64" s="22"/>
      <c r="C64" s="23"/>
      <c r="D64" s="24"/>
      <c r="E64" s="24"/>
      <c r="F64" s="24"/>
      <c r="G64" s="25"/>
      <c r="H64" s="23"/>
      <c r="I64" s="23"/>
      <c r="J64" s="25"/>
      <c r="K64" s="25"/>
      <c r="L64" s="26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>
        <f t="shared" si="3"/>
        <v>0</v>
      </c>
      <c r="BD64" s="27">
        <f t="shared" si="4"/>
        <v>0</v>
      </c>
      <c r="BE64" s="27">
        <f t="shared" si="5"/>
        <v>0</v>
      </c>
      <c r="BF64" s="27">
        <f t="shared" si="6"/>
        <v>0</v>
      </c>
      <c r="BG64" s="24"/>
      <c r="BH64" s="24"/>
      <c r="BI64" s="24"/>
      <c r="BJ64" s="28" t="str">
        <f t="shared" ref="BJ64:BK64" si="68">H64</f>
        <v/>
      </c>
      <c r="BK64" s="28" t="str">
        <f t="shared" si="68"/>
        <v/>
      </c>
      <c r="BL64" s="29" t="str">
        <f t="shared" si="8"/>
        <v/>
      </c>
    </row>
    <row r="65">
      <c r="A65" s="12" t="str">
        <f t="shared" si="2"/>
        <v/>
      </c>
      <c r="B65" s="13"/>
      <c r="C65" s="14"/>
      <c r="D65" s="15"/>
      <c r="E65" s="15"/>
      <c r="F65" s="15"/>
      <c r="G65" s="16"/>
      <c r="H65" s="14"/>
      <c r="I65" s="14"/>
      <c r="J65" s="16"/>
      <c r="K65" s="16"/>
      <c r="L65" s="17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>
        <f t="shared" si="3"/>
        <v>0</v>
      </c>
      <c r="BD65" s="18">
        <f t="shared" si="4"/>
        <v>0</v>
      </c>
      <c r="BE65" s="18">
        <f t="shared" si="5"/>
        <v>0</v>
      </c>
      <c r="BF65" s="18">
        <f t="shared" si="6"/>
        <v>0</v>
      </c>
      <c r="BG65" s="15"/>
      <c r="BH65" s="15"/>
      <c r="BI65" s="15"/>
      <c r="BJ65" s="19" t="str">
        <f t="shared" ref="BJ65:BK65" si="69">H65</f>
        <v/>
      </c>
      <c r="BK65" s="19" t="str">
        <f t="shared" si="69"/>
        <v/>
      </c>
      <c r="BL65" s="20" t="str">
        <f t="shared" si="8"/>
        <v/>
      </c>
    </row>
    <row r="66">
      <c r="A66" s="21" t="str">
        <f t="shared" si="2"/>
        <v/>
      </c>
      <c r="B66" s="22"/>
      <c r="C66" s="23"/>
      <c r="D66" s="24"/>
      <c r="E66" s="24"/>
      <c r="F66" s="24"/>
      <c r="G66" s="25"/>
      <c r="H66" s="23"/>
      <c r="I66" s="23"/>
      <c r="J66" s="25"/>
      <c r="K66" s="25"/>
      <c r="L66" s="26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>
        <f t="shared" si="3"/>
        <v>0</v>
      </c>
      <c r="BD66" s="27">
        <f t="shared" si="4"/>
        <v>0</v>
      </c>
      <c r="BE66" s="27">
        <f t="shared" si="5"/>
        <v>0</v>
      </c>
      <c r="BF66" s="27">
        <f t="shared" si="6"/>
        <v>0</v>
      </c>
      <c r="BG66" s="24"/>
      <c r="BH66" s="24"/>
      <c r="BI66" s="24"/>
      <c r="BJ66" s="28" t="str">
        <f t="shared" ref="BJ66:BK66" si="70">H66</f>
        <v/>
      </c>
      <c r="BK66" s="28" t="str">
        <f t="shared" si="70"/>
        <v/>
      </c>
      <c r="BL66" s="29" t="str">
        <f t="shared" si="8"/>
        <v/>
      </c>
    </row>
    <row r="67">
      <c r="A67" s="12" t="str">
        <f t="shared" si="2"/>
        <v/>
      </c>
      <c r="B67" s="13"/>
      <c r="C67" s="14"/>
      <c r="D67" s="15"/>
      <c r="E67" s="15"/>
      <c r="F67" s="15"/>
      <c r="G67" s="16"/>
      <c r="H67" s="14"/>
      <c r="I67" s="14"/>
      <c r="J67" s="16"/>
      <c r="K67" s="16"/>
      <c r="L67" s="17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>
        <f t="shared" si="3"/>
        <v>0</v>
      </c>
      <c r="BD67" s="18">
        <f t="shared" si="4"/>
        <v>0</v>
      </c>
      <c r="BE67" s="18">
        <f t="shared" si="5"/>
        <v>0</v>
      </c>
      <c r="BF67" s="18">
        <f t="shared" si="6"/>
        <v>0</v>
      </c>
      <c r="BG67" s="15"/>
      <c r="BH67" s="15"/>
      <c r="BI67" s="15"/>
      <c r="BJ67" s="19" t="str">
        <f t="shared" ref="BJ67:BK67" si="71">H67</f>
        <v/>
      </c>
      <c r="BK67" s="19" t="str">
        <f t="shared" si="71"/>
        <v/>
      </c>
      <c r="BL67" s="20" t="str">
        <f t="shared" si="8"/>
        <v/>
      </c>
    </row>
    <row r="68">
      <c r="A68" s="21" t="str">
        <f t="shared" si="2"/>
        <v/>
      </c>
      <c r="B68" s="22"/>
      <c r="C68" s="23"/>
      <c r="D68" s="24"/>
      <c r="E68" s="24"/>
      <c r="F68" s="24"/>
      <c r="G68" s="25"/>
      <c r="H68" s="23"/>
      <c r="I68" s="23"/>
      <c r="J68" s="25"/>
      <c r="K68" s="23"/>
      <c r="L68" s="26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>
        <f t="shared" si="3"/>
        <v>0</v>
      </c>
      <c r="BD68" s="27">
        <f t="shared" si="4"/>
        <v>0</v>
      </c>
      <c r="BE68" s="27">
        <f t="shared" si="5"/>
        <v>0</v>
      </c>
      <c r="BF68" s="27">
        <f t="shared" si="6"/>
        <v>0</v>
      </c>
      <c r="BG68" s="24"/>
      <c r="BH68" s="24"/>
      <c r="BI68" s="24"/>
      <c r="BJ68" s="28" t="str">
        <f t="shared" ref="BJ68:BK68" si="72">H68</f>
        <v/>
      </c>
      <c r="BK68" s="28" t="str">
        <f t="shared" si="72"/>
        <v/>
      </c>
      <c r="BL68" s="29" t="str">
        <f t="shared" si="8"/>
        <v/>
      </c>
    </row>
    <row r="69">
      <c r="A69" s="12" t="str">
        <f t="shared" si="2"/>
        <v/>
      </c>
      <c r="B69" s="13"/>
      <c r="C69" s="14"/>
      <c r="D69" s="15"/>
      <c r="E69" s="15"/>
      <c r="F69" s="15"/>
      <c r="G69" s="16"/>
      <c r="H69" s="14"/>
      <c r="I69" s="14"/>
      <c r="J69" s="16"/>
      <c r="K69" s="16"/>
      <c r="L69" s="17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>
        <f t="shared" si="3"/>
        <v>0</v>
      </c>
      <c r="BD69" s="18">
        <f t="shared" si="4"/>
        <v>0</v>
      </c>
      <c r="BE69" s="18">
        <f t="shared" si="5"/>
        <v>0</v>
      </c>
      <c r="BF69" s="18">
        <f t="shared" si="6"/>
        <v>0</v>
      </c>
      <c r="BG69" s="15"/>
      <c r="BH69" s="15"/>
      <c r="BI69" s="15"/>
      <c r="BJ69" s="19" t="str">
        <f t="shared" ref="BJ69:BK69" si="73">H69</f>
        <v/>
      </c>
      <c r="BK69" s="19" t="str">
        <f t="shared" si="73"/>
        <v/>
      </c>
      <c r="BL69" s="20" t="str">
        <f t="shared" si="8"/>
        <v/>
      </c>
    </row>
    <row r="70">
      <c r="A70" s="21" t="str">
        <f t="shared" si="2"/>
        <v/>
      </c>
      <c r="B70" s="22"/>
      <c r="C70" s="23"/>
      <c r="D70" s="24"/>
      <c r="E70" s="24"/>
      <c r="F70" s="24"/>
      <c r="G70" s="25"/>
      <c r="H70" s="23"/>
      <c r="I70" s="23"/>
      <c r="J70" s="25"/>
      <c r="K70" s="25"/>
      <c r="L70" s="26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>
        <f t="shared" si="3"/>
        <v>0</v>
      </c>
      <c r="BD70" s="27">
        <f t="shared" si="4"/>
        <v>0</v>
      </c>
      <c r="BE70" s="27">
        <f t="shared" si="5"/>
        <v>0</v>
      </c>
      <c r="BF70" s="27">
        <f t="shared" si="6"/>
        <v>0</v>
      </c>
      <c r="BG70" s="24"/>
      <c r="BH70" s="24"/>
      <c r="BI70" s="24"/>
      <c r="BJ70" s="28" t="str">
        <f t="shared" ref="BJ70:BK70" si="74">H70</f>
        <v/>
      </c>
      <c r="BK70" s="28" t="str">
        <f t="shared" si="74"/>
        <v/>
      </c>
      <c r="BL70" s="29" t="str">
        <f t="shared" si="8"/>
        <v/>
      </c>
    </row>
    <row r="71">
      <c r="A71" s="12" t="str">
        <f t="shared" si="2"/>
        <v/>
      </c>
      <c r="B71" s="13"/>
      <c r="C71" s="14"/>
      <c r="D71" s="15"/>
      <c r="E71" s="15"/>
      <c r="F71" s="15"/>
      <c r="G71" s="16"/>
      <c r="H71" s="14"/>
      <c r="I71" s="14"/>
      <c r="J71" s="16"/>
      <c r="K71" s="16"/>
      <c r="L71" s="17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>
        <f t="shared" si="3"/>
        <v>0</v>
      </c>
      <c r="BD71" s="18">
        <f t="shared" si="4"/>
        <v>0</v>
      </c>
      <c r="BE71" s="18">
        <f t="shared" si="5"/>
        <v>0</v>
      </c>
      <c r="BF71" s="18">
        <f t="shared" si="6"/>
        <v>0</v>
      </c>
      <c r="BG71" s="15"/>
      <c r="BH71" s="15"/>
      <c r="BI71" s="15"/>
      <c r="BJ71" s="19" t="str">
        <f t="shared" ref="BJ71:BK71" si="75">H71</f>
        <v/>
      </c>
      <c r="BK71" s="19" t="str">
        <f t="shared" si="75"/>
        <v/>
      </c>
      <c r="BL71" s="20" t="str">
        <f t="shared" si="8"/>
        <v/>
      </c>
    </row>
    <row r="72">
      <c r="A72" s="21" t="str">
        <f t="shared" si="2"/>
        <v/>
      </c>
      <c r="B72" s="22"/>
      <c r="C72" s="23"/>
      <c r="D72" s="24"/>
      <c r="E72" s="24"/>
      <c r="F72" s="24"/>
      <c r="G72" s="25"/>
      <c r="H72" s="23"/>
      <c r="I72" s="23"/>
      <c r="J72" s="25"/>
      <c r="K72" s="25"/>
      <c r="L72" s="26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>
        <f t="shared" si="3"/>
        <v>0</v>
      </c>
      <c r="BD72" s="27">
        <f t="shared" si="4"/>
        <v>0</v>
      </c>
      <c r="BE72" s="27">
        <f t="shared" si="5"/>
        <v>0</v>
      </c>
      <c r="BF72" s="27">
        <f t="shared" si="6"/>
        <v>0</v>
      </c>
      <c r="BG72" s="24"/>
      <c r="BH72" s="24"/>
      <c r="BI72" s="24"/>
      <c r="BJ72" s="28" t="str">
        <f t="shared" ref="BJ72:BK72" si="76">H72</f>
        <v/>
      </c>
      <c r="BK72" s="28" t="str">
        <f t="shared" si="76"/>
        <v/>
      </c>
      <c r="BL72" s="29" t="str">
        <f t="shared" si="8"/>
        <v/>
      </c>
    </row>
    <row r="73">
      <c r="A73" s="12" t="str">
        <f t="shared" si="2"/>
        <v/>
      </c>
      <c r="B73" s="13"/>
      <c r="C73" s="14"/>
      <c r="D73" s="15"/>
      <c r="E73" s="15"/>
      <c r="F73" s="15"/>
      <c r="G73" s="16"/>
      <c r="H73" s="14"/>
      <c r="I73" s="14"/>
      <c r="J73" s="16"/>
      <c r="K73" s="16"/>
      <c r="L73" s="17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>
        <f t="shared" si="3"/>
        <v>0</v>
      </c>
      <c r="BD73" s="18">
        <f t="shared" si="4"/>
        <v>0</v>
      </c>
      <c r="BE73" s="18">
        <f t="shared" si="5"/>
        <v>0</v>
      </c>
      <c r="BF73" s="18">
        <f t="shared" si="6"/>
        <v>0</v>
      </c>
      <c r="BG73" s="15"/>
      <c r="BH73" s="15"/>
      <c r="BI73" s="15"/>
      <c r="BJ73" s="19" t="str">
        <f t="shared" ref="BJ73:BK73" si="77">H73</f>
        <v/>
      </c>
      <c r="BK73" s="19" t="str">
        <f t="shared" si="77"/>
        <v/>
      </c>
      <c r="BL73" s="20" t="str">
        <f t="shared" si="8"/>
        <v/>
      </c>
    </row>
    <row r="74">
      <c r="A74" s="21" t="str">
        <f t="shared" si="2"/>
        <v/>
      </c>
      <c r="B74" s="22"/>
      <c r="C74" s="23"/>
      <c r="D74" s="24"/>
      <c r="E74" s="24"/>
      <c r="F74" s="24"/>
      <c r="G74" s="25"/>
      <c r="H74" s="23"/>
      <c r="I74" s="23"/>
      <c r="J74" s="25"/>
      <c r="K74" s="25"/>
      <c r="L74" s="26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>
        <f t="shared" si="3"/>
        <v>0</v>
      </c>
      <c r="BD74" s="27">
        <f t="shared" si="4"/>
        <v>0</v>
      </c>
      <c r="BE74" s="27">
        <f t="shared" si="5"/>
        <v>0</v>
      </c>
      <c r="BF74" s="27">
        <f t="shared" si="6"/>
        <v>0</v>
      </c>
      <c r="BG74" s="24"/>
      <c r="BH74" s="24"/>
      <c r="BI74" s="24"/>
      <c r="BJ74" s="28" t="str">
        <f t="shared" ref="BJ74:BK74" si="78">H74</f>
        <v/>
      </c>
      <c r="BK74" s="28" t="str">
        <f t="shared" si="78"/>
        <v/>
      </c>
      <c r="BL74" s="29" t="str">
        <f t="shared" si="8"/>
        <v/>
      </c>
    </row>
    <row r="75">
      <c r="A75" s="12" t="str">
        <f t="shared" si="2"/>
        <v/>
      </c>
      <c r="B75" s="13"/>
      <c r="C75" s="14"/>
      <c r="D75" s="15"/>
      <c r="E75" s="15"/>
      <c r="F75" s="15"/>
      <c r="G75" s="16"/>
      <c r="H75" s="14"/>
      <c r="I75" s="14"/>
      <c r="J75" s="16"/>
      <c r="K75" s="16"/>
      <c r="L75" s="17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>
        <f t="shared" si="3"/>
        <v>0</v>
      </c>
      <c r="BD75" s="18">
        <f t="shared" si="4"/>
        <v>0</v>
      </c>
      <c r="BE75" s="18">
        <f t="shared" si="5"/>
        <v>0</v>
      </c>
      <c r="BF75" s="18">
        <f t="shared" si="6"/>
        <v>0</v>
      </c>
      <c r="BG75" s="15"/>
      <c r="BH75" s="15"/>
      <c r="BI75" s="15"/>
      <c r="BJ75" s="19" t="str">
        <f t="shared" ref="BJ75:BK75" si="79">H75</f>
        <v/>
      </c>
      <c r="BK75" s="19" t="str">
        <f t="shared" si="79"/>
        <v/>
      </c>
      <c r="BL75" s="20" t="str">
        <f t="shared" si="8"/>
        <v/>
      </c>
    </row>
    <row r="76">
      <c r="A76" s="21" t="str">
        <f t="shared" si="2"/>
        <v/>
      </c>
      <c r="B76" s="22"/>
      <c r="C76" s="23"/>
      <c r="D76" s="24"/>
      <c r="E76" s="24"/>
      <c r="F76" s="24"/>
      <c r="G76" s="25"/>
      <c r="H76" s="23"/>
      <c r="I76" s="23"/>
      <c r="J76" s="25"/>
      <c r="K76" s="25"/>
      <c r="L76" s="26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>
        <f t="shared" si="3"/>
        <v>0</v>
      </c>
      <c r="BD76" s="27">
        <f t="shared" si="4"/>
        <v>0</v>
      </c>
      <c r="BE76" s="27">
        <f t="shared" si="5"/>
        <v>0</v>
      </c>
      <c r="BF76" s="27">
        <f t="shared" si="6"/>
        <v>0</v>
      </c>
      <c r="BG76" s="24"/>
      <c r="BH76" s="24"/>
      <c r="BI76" s="24"/>
      <c r="BJ76" s="28" t="str">
        <f t="shared" ref="BJ76:BK76" si="80">H76</f>
        <v/>
      </c>
      <c r="BK76" s="28" t="str">
        <f t="shared" si="80"/>
        <v/>
      </c>
      <c r="BL76" s="29" t="str">
        <f t="shared" si="8"/>
        <v/>
      </c>
    </row>
    <row r="77">
      <c r="A77" s="12" t="str">
        <f t="shared" si="2"/>
        <v/>
      </c>
      <c r="B77" s="13"/>
      <c r="C77" s="14"/>
      <c r="D77" s="15"/>
      <c r="E77" s="15"/>
      <c r="F77" s="15"/>
      <c r="G77" s="16"/>
      <c r="H77" s="14"/>
      <c r="I77" s="14"/>
      <c r="J77" s="16"/>
      <c r="K77" s="16"/>
      <c r="L77" s="17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>
        <f t="shared" si="3"/>
        <v>0</v>
      </c>
      <c r="BD77" s="18">
        <f t="shared" si="4"/>
        <v>0</v>
      </c>
      <c r="BE77" s="18">
        <f t="shared" si="5"/>
        <v>0</v>
      </c>
      <c r="BF77" s="18">
        <f t="shared" si="6"/>
        <v>0</v>
      </c>
      <c r="BG77" s="15"/>
      <c r="BH77" s="15"/>
      <c r="BI77" s="15"/>
      <c r="BJ77" s="19" t="str">
        <f t="shared" ref="BJ77:BK77" si="81">H77</f>
        <v/>
      </c>
      <c r="BK77" s="19" t="str">
        <f t="shared" si="81"/>
        <v/>
      </c>
      <c r="BL77" s="20" t="str">
        <f t="shared" si="8"/>
        <v/>
      </c>
    </row>
    <row r="78">
      <c r="A78" s="21" t="str">
        <f t="shared" si="2"/>
        <v/>
      </c>
      <c r="B78" s="22"/>
      <c r="C78" s="23"/>
      <c r="D78" s="24"/>
      <c r="E78" s="24"/>
      <c r="F78" s="24"/>
      <c r="G78" s="25"/>
      <c r="H78" s="23"/>
      <c r="I78" s="23"/>
      <c r="J78" s="25"/>
      <c r="K78" s="25"/>
      <c r="L78" s="26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>
        <f t="shared" si="3"/>
        <v>0</v>
      </c>
      <c r="BD78" s="27">
        <f t="shared" si="4"/>
        <v>0</v>
      </c>
      <c r="BE78" s="27">
        <f t="shared" si="5"/>
        <v>0</v>
      </c>
      <c r="BF78" s="27">
        <f t="shared" si="6"/>
        <v>0</v>
      </c>
      <c r="BG78" s="24"/>
      <c r="BH78" s="24"/>
      <c r="BI78" s="24"/>
      <c r="BJ78" s="28" t="str">
        <f t="shared" ref="BJ78:BK78" si="82">H78</f>
        <v/>
      </c>
      <c r="BK78" s="28" t="str">
        <f t="shared" si="82"/>
        <v/>
      </c>
      <c r="BL78" s="29" t="str">
        <f t="shared" si="8"/>
        <v/>
      </c>
    </row>
    <row r="79">
      <c r="A79" s="12" t="str">
        <f t="shared" si="2"/>
        <v/>
      </c>
      <c r="B79" s="13"/>
      <c r="C79" s="14"/>
      <c r="D79" s="15"/>
      <c r="E79" s="15"/>
      <c r="F79" s="15"/>
      <c r="G79" s="16"/>
      <c r="H79" s="14"/>
      <c r="I79" s="14"/>
      <c r="J79" s="16"/>
      <c r="K79" s="16"/>
      <c r="L79" s="17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>
        <f t="shared" si="3"/>
        <v>0</v>
      </c>
      <c r="BD79" s="18">
        <f t="shared" si="4"/>
        <v>0</v>
      </c>
      <c r="BE79" s="18">
        <f t="shared" si="5"/>
        <v>0</v>
      </c>
      <c r="BF79" s="18">
        <f t="shared" si="6"/>
        <v>0</v>
      </c>
      <c r="BG79" s="15"/>
      <c r="BH79" s="15"/>
      <c r="BI79" s="15"/>
      <c r="BJ79" s="19" t="str">
        <f t="shared" ref="BJ79:BK79" si="83">H79</f>
        <v/>
      </c>
      <c r="BK79" s="19" t="str">
        <f t="shared" si="83"/>
        <v/>
      </c>
      <c r="BL79" s="20" t="str">
        <f t="shared" si="8"/>
        <v/>
      </c>
    </row>
    <row r="80">
      <c r="A80" s="21" t="str">
        <f t="shared" si="2"/>
        <v/>
      </c>
      <c r="B80" s="22"/>
      <c r="C80" s="23"/>
      <c r="D80" s="24"/>
      <c r="E80" s="24"/>
      <c r="F80" s="24"/>
      <c r="G80" s="25"/>
      <c r="H80" s="23"/>
      <c r="I80" s="23"/>
      <c r="J80" s="25"/>
      <c r="K80" s="25"/>
      <c r="L80" s="26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>
        <f t="shared" si="3"/>
        <v>0</v>
      </c>
      <c r="BD80" s="27">
        <f t="shared" si="4"/>
        <v>0</v>
      </c>
      <c r="BE80" s="27">
        <f t="shared" si="5"/>
        <v>0</v>
      </c>
      <c r="BF80" s="27">
        <f t="shared" si="6"/>
        <v>0</v>
      </c>
      <c r="BG80" s="24"/>
      <c r="BH80" s="24"/>
      <c r="BI80" s="24"/>
      <c r="BJ80" s="28" t="str">
        <f t="shared" ref="BJ80:BK80" si="84">H80</f>
        <v/>
      </c>
      <c r="BK80" s="28" t="str">
        <f t="shared" si="84"/>
        <v/>
      </c>
      <c r="BL80" s="29" t="str">
        <f t="shared" si="8"/>
        <v/>
      </c>
    </row>
    <row r="81">
      <c r="A81" s="12" t="str">
        <f t="shared" si="2"/>
        <v/>
      </c>
      <c r="B81" s="13"/>
      <c r="C81" s="14"/>
      <c r="D81" s="15"/>
      <c r="E81" s="15"/>
      <c r="F81" s="15"/>
      <c r="G81" s="16"/>
      <c r="H81" s="14"/>
      <c r="I81" s="14"/>
      <c r="J81" s="16"/>
      <c r="K81" s="16"/>
      <c r="L81" s="17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>
        <f t="shared" si="3"/>
        <v>0</v>
      </c>
      <c r="BD81" s="18">
        <f t="shared" si="4"/>
        <v>0</v>
      </c>
      <c r="BE81" s="18">
        <f t="shared" si="5"/>
        <v>0</v>
      </c>
      <c r="BF81" s="18">
        <f t="shared" si="6"/>
        <v>0</v>
      </c>
      <c r="BG81" s="15"/>
      <c r="BH81" s="15"/>
      <c r="BI81" s="15"/>
      <c r="BJ81" s="19" t="str">
        <f t="shared" ref="BJ81:BK81" si="85">H81</f>
        <v/>
      </c>
      <c r="BK81" s="19" t="str">
        <f t="shared" si="85"/>
        <v/>
      </c>
      <c r="BL81" s="20" t="str">
        <f t="shared" si="8"/>
        <v/>
      </c>
    </row>
    <row r="82">
      <c r="A82" s="21" t="str">
        <f t="shared" si="2"/>
        <v/>
      </c>
      <c r="B82" s="22"/>
      <c r="C82" s="23"/>
      <c r="D82" s="24"/>
      <c r="E82" s="24"/>
      <c r="F82" s="24"/>
      <c r="G82" s="25"/>
      <c r="H82" s="23"/>
      <c r="I82" s="23"/>
      <c r="J82" s="25"/>
      <c r="K82" s="25"/>
      <c r="L82" s="26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>
        <f t="shared" si="3"/>
        <v>0</v>
      </c>
      <c r="BD82" s="27">
        <f t="shared" si="4"/>
        <v>0</v>
      </c>
      <c r="BE82" s="27">
        <f t="shared" si="5"/>
        <v>0</v>
      </c>
      <c r="BF82" s="27">
        <f t="shared" si="6"/>
        <v>0</v>
      </c>
      <c r="BG82" s="24"/>
      <c r="BH82" s="24"/>
      <c r="BI82" s="24"/>
      <c r="BJ82" s="28" t="str">
        <f t="shared" ref="BJ82:BK82" si="86">H82</f>
        <v/>
      </c>
      <c r="BK82" s="28" t="str">
        <f t="shared" si="86"/>
        <v/>
      </c>
      <c r="BL82" s="29" t="str">
        <f t="shared" si="8"/>
        <v/>
      </c>
    </row>
    <row r="83">
      <c r="A83" s="12" t="str">
        <f t="shared" si="2"/>
        <v/>
      </c>
      <c r="B83" s="13"/>
      <c r="C83" s="14"/>
      <c r="D83" s="15"/>
      <c r="E83" s="15"/>
      <c r="F83" s="15"/>
      <c r="G83" s="16"/>
      <c r="H83" s="14"/>
      <c r="I83" s="14"/>
      <c r="J83" s="16"/>
      <c r="K83" s="16"/>
      <c r="L83" s="17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>
        <f t="shared" si="3"/>
        <v>0</v>
      </c>
      <c r="BD83" s="18">
        <f t="shared" si="4"/>
        <v>0</v>
      </c>
      <c r="BE83" s="18">
        <f t="shared" si="5"/>
        <v>0</v>
      </c>
      <c r="BF83" s="18">
        <f t="shared" si="6"/>
        <v>0</v>
      </c>
      <c r="BG83" s="15"/>
      <c r="BH83" s="15"/>
      <c r="BI83" s="15"/>
      <c r="BJ83" s="19" t="str">
        <f t="shared" ref="BJ83:BK83" si="87">H83</f>
        <v/>
      </c>
      <c r="BK83" s="19" t="str">
        <f t="shared" si="87"/>
        <v/>
      </c>
      <c r="BL83" s="20" t="str">
        <f t="shared" si="8"/>
        <v/>
      </c>
    </row>
    <row r="84">
      <c r="A84" s="21" t="str">
        <f t="shared" si="2"/>
        <v/>
      </c>
      <c r="B84" s="22"/>
      <c r="C84" s="23"/>
      <c r="D84" s="24"/>
      <c r="E84" s="24"/>
      <c r="F84" s="24"/>
      <c r="G84" s="25"/>
      <c r="H84" s="23"/>
      <c r="I84" s="23"/>
      <c r="J84" s="25"/>
      <c r="K84" s="23"/>
      <c r="L84" s="26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>
        <f t="shared" si="3"/>
        <v>0</v>
      </c>
      <c r="BD84" s="27">
        <f t="shared" si="4"/>
        <v>0</v>
      </c>
      <c r="BE84" s="27">
        <f t="shared" si="5"/>
        <v>0</v>
      </c>
      <c r="BF84" s="27">
        <f t="shared" si="6"/>
        <v>0</v>
      </c>
      <c r="BG84" s="24"/>
      <c r="BH84" s="24"/>
      <c r="BI84" s="24"/>
      <c r="BJ84" s="28" t="str">
        <f t="shared" ref="BJ84:BK84" si="88">H84</f>
        <v/>
      </c>
      <c r="BK84" s="28" t="str">
        <f t="shared" si="88"/>
        <v/>
      </c>
      <c r="BL84" s="29" t="str">
        <f t="shared" si="8"/>
        <v/>
      </c>
    </row>
    <row r="85">
      <c r="A85" s="12" t="str">
        <f t="shared" si="2"/>
        <v/>
      </c>
      <c r="B85" s="13"/>
      <c r="C85" s="14"/>
      <c r="D85" s="15"/>
      <c r="E85" s="15"/>
      <c r="F85" s="15"/>
      <c r="G85" s="16"/>
      <c r="H85" s="14"/>
      <c r="I85" s="14"/>
      <c r="J85" s="16"/>
      <c r="K85" s="14"/>
      <c r="L85" s="17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>
        <f t="shared" si="3"/>
        <v>0</v>
      </c>
      <c r="BD85" s="18">
        <f t="shared" si="4"/>
        <v>0</v>
      </c>
      <c r="BE85" s="18">
        <f t="shared" si="5"/>
        <v>0</v>
      </c>
      <c r="BF85" s="18">
        <f t="shared" si="6"/>
        <v>0</v>
      </c>
      <c r="BG85" s="15"/>
      <c r="BH85" s="15"/>
      <c r="BI85" s="15"/>
      <c r="BJ85" s="19" t="str">
        <f t="shared" ref="BJ85:BK85" si="89">H85</f>
        <v/>
      </c>
      <c r="BK85" s="19" t="str">
        <f t="shared" si="89"/>
        <v/>
      </c>
      <c r="BL85" s="20" t="str">
        <f t="shared" si="8"/>
        <v/>
      </c>
    </row>
    <row r="86">
      <c r="A86" s="21" t="str">
        <f t="shared" si="2"/>
        <v/>
      </c>
      <c r="B86" s="22"/>
      <c r="C86" s="23"/>
      <c r="D86" s="24"/>
      <c r="E86" s="24"/>
      <c r="F86" s="24"/>
      <c r="G86" s="25"/>
      <c r="H86" s="23"/>
      <c r="I86" s="23"/>
      <c r="J86" s="25"/>
      <c r="K86" s="25"/>
      <c r="L86" s="26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>
        <f t="shared" si="3"/>
        <v>0</v>
      </c>
      <c r="BD86" s="27">
        <f t="shared" si="4"/>
        <v>0</v>
      </c>
      <c r="BE86" s="27">
        <f t="shared" si="5"/>
        <v>0</v>
      </c>
      <c r="BF86" s="27">
        <f t="shared" si="6"/>
        <v>0</v>
      </c>
      <c r="BG86" s="24"/>
      <c r="BH86" s="24"/>
      <c r="BI86" s="24"/>
      <c r="BJ86" s="28" t="str">
        <f t="shared" ref="BJ86:BK86" si="90">H86</f>
        <v/>
      </c>
      <c r="BK86" s="28" t="str">
        <f t="shared" si="90"/>
        <v/>
      </c>
      <c r="BL86" s="29" t="str">
        <f t="shared" si="8"/>
        <v/>
      </c>
    </row>
    <row r="87">
      <c r="A87" s="12" t="str">
        <f t="shared" si="2"/>
        <v/>
      </c>
      <c r="B87" s="13"/>
      <c r="C87" s="14"/>
      <c r="D87" s="15"/>
      <c r="E87" s="15"/>
      <c r="F87" s="15"/>
      <c r="G87" s="16"/>
      <c r="H87" s="14"/>
      <c r="I87" s="14"/>
      <c r="J87" s="16"/>
      <c r="K87" s="16"/>
      <c r="L87" s="17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>
        <f t="shared" si="3"/>
        <v>0</v>
      </c>
      <c r="BD87" s="18">
        <f t="shared" si="4"/>
        <v>0</v>
      </c>
      <c r="BE87" s="18">
        <f t="shared" si="5"/>
        <v>0</v>
      </c>
      <c r="BF87" s="18">
        <f t="shared" si="6"/>
        <v>0</v>
      </c>
      <c r="BG87" s="15"/>
      <c r="BH87" s="15"/>
      <c r="BI87" s="15"/>
      <c r="BJ87" s="19" t="str">
        <f t="shared" ref="BJ87:BK87" si="91">H87</f>
        <v/>
      </c>
      <c r="BK87" s="19" t="str">
        <f t="shared" si="91"/>
        <v/>
      </c>
      <c r="BL87" s="20" t="str">
        <f t="shared" si="8"/>
        <v/>
      </c>
    </row>
    <row r="88">
      <c r="A88" s="21" t="str">
        <f t="shared" si="2"/>
        <v/>
      </c>
      <c r="B88" s="22"/>
      <c r="C88" s="23"/>
      <c r="D88" s="24"/>
      <c r="E88" s="24"/>
      <c r="F88" s="24"/>
      <c r="G88" s="25"/>
      <c r="H88" s="23"/>
      <c r="I88" s="23"/>
      <c r="J88" s="25"/>
      <c r="K88" s="25"/>
      <c r="L88" s="26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>
        <f t="shared" si="3"/>
        <v>0</v>
      </c>
      <c r="BD88" s="27">
        <f t="shared" si="4"/>
        <v>0</v>
      </c>
      <c r="BE88" s="27">
        <f t="shared" si="5"/>
        <v>0</v>
      </c>
      <c r="BF88" s="27">
        <f t="shared" si="6"/>
        <v>0</v>
      </c>
      <c r="BG88" s="24"/>
      <c r="BH88" s="24"/>
      <c r="BI88" s="24"/>
      <c r="BJ88" s="28" t="str">
        <f t="shared" ref="BJ88:BK88" si="92">H88</f>
        <v/>
      </c>
      <c r="BK88" s="28" t="str">
        <f t="shared" si="92"/>
        <v/>
      </c>
      <c r="BL88" s="29" t="str">
        <f t="shared" si="8"/>
        <v/>
      </c>
    </row>
    <row r="89">
      <c r="A89" s="12" t="str">
        <f t="shared" si="2"/>
        <v/>
      </c>
      <c r="B89" s="13"/>
      <c r="C89" s="14"/>
      <c r="D89" s="15"/>
      <c r="E89" s="15"/>
      <c r="F89" s="15"/>
      <c r="G89" s="16"/>
      <c r="H89" s="14"/>
      <c r="I89" s="14"/>
      <c r="J89" s="16"/>
      <c r="K89" s="16"/>
      <c r="L89" s="17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>
        <f t="shared" si="3"/>
        <v>0</v>
      </c>
      <c r="BD89" s="18">
        <f t="shared" si="4"/>
        <v>0</v>
      </c>
      <c r="BE89" s="18">
        <f t="shared" si="5"/>
        <v>0</v>
      </c>
      <c r="BF89" s="18">
        <f t="shared" si="6"/>
        <v>0</v>
      </c>
      <c r="BG89" s="15"/>
      <c r="BH89" s="15"/>
      <c r="BI89" s="15"/>
      <c r="BJ89" s="19" t="str">
        <f t="shared" ref="BJ89:BK89" si="93">H89</f>
        <v/>
      </c>
      <c r="BK89" s="19" t="str">
        <f t="shared" si="93"/>
        <v/>
      </c>
      <c r="BL89" s="20" t="str">
        <f t="shared" si="8"/>
        <v/>
      </c>
    </row>
    <row r="90">
      <c r="A90" s="21" t="str">
        <f t="shared" si="2"/>
        <v/>
      </c>
      <c r="B90" s="22"/>
      <c r="C90" s="23"/>
      <c r="D90" s="24"/>
      <c r="E90" s="24"/>
      <c r="F90" s="24"/>
      <c r="G90" s="25"/>
      <c r="H90" s="23"/>
      <c r="I90" s="23"/>
      <c r="J90" s="25"/>
      <c r="K90" s="25"/>
      <c r="L90" s="26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>
        <f t="shared" si="3"/>
        <v>0</v>
      </c>
      <c r="BD90" s="27">
        <f t="shared" si="4"/>
        <v>0</v>
      </c>
      <c r="BE90" s="27">
        <f t="shared" si="5"/>
        <v>0</v>
      </c>
      <c r="BF90" s="27">
        <f t="shared" si="6"/>
        <v>0</v>
      </c>
      <c r="BG90" s="24"/>
      <c r="BH90" s="24"/>
      <c r="BI90" s="24"/>
      <c r="BJ90" s="28" t="str">
        <f t="shared" ref="BJ90:BK90" si="94">H90</f>
        <v/>
      </c>
      <c r="BK90" s="28" t="str">
        <f t="shared" si="94"/>
        <v/>
      </c>
      <c r="BL90" s="29" t="str">
        <f t="shared" si="8"/>
        <v/>
      </c>
    </row>
    <row r="91">
      <c r="A91" s="12" t="str">
        <f t="shared" si="2"/>
        <v/>
      </c>
      <c r="B91" s="13"/>
      <c r="C91" s="14"/>
      <c r="D91" s="15"/>
      <c r="E91" s="15"/>
      <c r="F91" s="15"/>
      <c r="G91" s="16"/>
      <c r="H91" s="14"/>
      <c r="I91" s="14"/>
      <c r="J91" s="16"/>
      <c r="K91" s="16"/>
      <c r="L91" s="17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>
        <f t="shared" si="3"/>
        <v>0</v>
      </c>
      <c r="BD91" s="18">
        <f t="shared" si="4"/>
        <v>0</v>
      </c>
      <c r="BE91" s="18">
        <f t="shared" si="5"/>
        <v>0</v>
      </c>
      <c r="BF91" s="18">
        <f t="shared" si="6"/>
        <v>0</v>
      </c>
      <c r="BG91" s="15"/>
      <c r="BH91" s="15"/>
      <c r="BI91" s="15"/>
      <c r="BJ91" s="19" t="str">
        <f t="shared" ref="BJ91:BK91" si="95">H91</f>
        <v/>
      </c>
      <c r="BK91" s="19" t="str">
        <f t="shared" si="95"/>
        <v/>
      </c>
      <c r="BL91" s="20" t="str">
        <f t="shared" si="8"/>
        <v/>
      </c>
    </row>
    <row r="92">
      <c r="A92" s="21" t="str">
        <f t="shared" si="2"/>
        <v/>
      </c>
      <c r="B92" s="22"/>
      <c r="C92" s="23"/>
      <c r="D92" s="24"/>
      <c r="E92" s="24"/>
      <c r="F92" s="24"/>
      <c r="G92" s="25"/>
      <c r="H92" s="23"/>
      <c r="I92" s="23"/>
      <c r="J92" s="25"/>
      <c r="K92" s="25"/>
      <c r="L92" s="26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>
        <f t="shared" si="3"/>
        <v>0</v>
      </c>
      <c r="BD92" s="27">
        <f t="shared" si="4"/>
        <v>0</v>
      </c>
      <c r="BE92" s="27">
        <f t="shared" si="5"/>
        <v>0</v>
      </c>
      <c r="BF92" s="27">
        <f t="shared" si="6"/>
        <v>0</v>
      </c>
      <c r="BG92" s="24"/>
      <c r="BH92" s="24"/>
      <c r="BI92" s="24"/>
      <c r="BJ92" s="28" t="str">
        <f t="shared" ref="BJ92:BK92" si="96">H92</f>
        <v/>
      </c>
      <c r="BK92" s="28" t="str">
        <f t="shared" si="96"/>
        <v/>
      </c>
      <c r="BL92" s="29" t="str">
        <f t="shared" si="8"/>
        <v/>
      </c>
    </row>
    <row r="93">
      <c r="A93" s="12" t="str">
        <f t="shared" si="2"/>
        <v/>
      </c>
      <c r="B93" s="13"/>
      <c r="C93" s="14"/>
      <c r="D93" s="15"/>
      <c r="E93" s="15"/>
      <c r="F93" s="15"/>
      <c r="G93" s="16"/>
      <c r="H93" s="14"/>
      <c r="I93" s="14"/>
      <c r="J93" s="16"/>
      <c r="K93" s="16"/>
      <c r="L93" s="17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>
        <f t="shared" si="3"/>
        <v>0</v>
      </c>
      <c r="BD93" s="18">
        <f t="shared" si="4"/>
        <v>0</v>
      </c>
      <c r="BE93" s="18">
        <f t="shared" si="5"/>
        <v>0</v>
      </c>
      <c r="BF93" s="18">
        <f t="shared" si="6"/>
        <v>0</v>
      </c>
      <c r="BG93" s="15"/>
      <c r="BH93" s="15"/>
      <c r="BI93" s="15"/>
      <c r="BJ93" s="19" t="str">
        <f t="shared" ref="BJ93:BK93" si="97">H93</f>
        <v/>
      </c>
      <c r="BK93" s="19" t="str">
        <f t="shared" si="97"/>
        <v/>
      </c>
      <c r="BL93" s="20" t="str">
        <f t="shared" si="8"/>
        <v/>
      </c>
    </row>
    <row r="94">
      <c r="A94" s="21" t="str">
        <f t="shared" si="2"/>
        <v/>
      </c>
      <c r="B94" s="22"/>
      <c r="C94" s="23"/>
      <c r="D94" s="24"/>
      <c r="E94" s="24"/>
      <c r="F94" s="24"/>
      <c r="G94" s="25"/>
      <c r="H94" s="23"/>
      <c r="I94" s="23"/>
      <c r="J94" s="25"/>
      <c r="K94" s="25"/>
      <c r="L94" s="26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>
        <f t="shared" si="3"/>
        <v>0</v>
      </c>
      <c r="BD94" s="27">
        <f t="shared" si="4"/>
        <v>0</v>
      </c>
      <c r="BE94" s="27">
        <f t="shared" si="5"/>
        <v>0</v>
      </c>
      <c r="BF94" s="27">
        <f t="shared" si="6"/>
        <v>0</v>
      </c>
      <c r="BG94" s="24"/>
      <c r="BH94" s="24"/>
      <c r="BI94" s="24"/>
      <c r="BJ94" s="28" t="str">
        <f t="shared" ref="BJ94:BK94" si="98">H94</f>
        <v/>
      </c>
      <c r="BK94" s="28" t="str">
        <f t="shared" si="98"/>
        <v/>
      </c>
      <c r="BL94" s="29" t="str">
        <f t="shared" si="8"/>
        <v/>
      </c>
    </row>
    <row r="95">
      <c r="A95" s="12" t="str">
        <f t="shared" si="2"/>
        <v/>
      </c>
      <c r="B95" s="13"/>
      <c r="C95" s="14"/>
      <c r="D95" s="15"/>
      <c r="E95" s="15"/>
      <c r="F95" s="15"/>
      <c r="G95" s="16"/>
      <c r="H95" s="14"/>
      <c r="I95" s="14"/>
      <c r="J95" s="16"/>
      <c r="K95" s="16"/>
      <c r="L95" s="17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>
        <f t="shared" si="3"/>
        <v>0</v>
      </c>
      <c r="BD95" s="18">
        <f t="shared" si="4"/>
        <v>0</v>
      </c>
      <c r="BE95" s="18">
        <f t="shared" si="5"/>
        <v>0</v>
      </c>
      <c r="BF95" s="18">
        <f t="shared" si="6"/>
        <v>0</v>
      </c>
      <c r="BG95" s="15"/>
      <c r="BH95" s="15"/>
      <c r="BI95" s="15"/>
      <c r="BJ95" s="19" t="str">
        <f t="shared" ref="BJ95:BK95" si="99">H95</f>
        <v/>
      </c>
      <c r="BK95" s="19" t="str">
        <f t="shared" si="99"/>
        <v/>
      </c>
      <c r="BL95" s="20" t="str">
        <f t="shared" si="8"/>
        <v/>
      </c>
    </row>
    <row r="96">
      <c r="A96" s="21" t="str">
        <f t="shared" si="2"/>
        <v/>
      </c>
      <c r="B96" s="22"/>
      <c r="C96" s="23"/>
      <c r="D96" s="24"/>
      <c r="E96" s="24"/>
      <c r="F96" s="24"/>
      <c r="G96" s="25"/>
      <c r="H96" s="23"/>
      <c r="I96" s="23"/>
      <c r="J96" s="25"/>
      <c r="K96" s="25"/>
      <c r="L96" s="26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>
        <f t="shared" si="3"/>
        <v>0</v>
      </c>
      <c r="BD96" s="27">
        <f t="shared" si="4"/>
        <v>0</v>
      </c>
      <c r="BE96" s="27">
        <f t="shared" si="5"/>
        <v>0</v>
      </c>
      <c r="BF96" s="27">
        <f t="shared" si="6"/>
        <v>0</v>
      </c>
      <c r="BG96" s="24"/>
      <c r="BH96" s="24"/>
      <c r="BI96" s="24"/>
      <c r="BJ96" s="28" t="str">
        <f t="shared" ref="BJ96:BK96" si="100">H96</f>
        <v/>
      </c>
      <c r="BK96" s="28" t="str">
        <f t="shared" si="100"/>
        <v/>
      </c>
      <c r="BL96" s="29" t="str">
        <f t="shared" si="8"/>
        <v/>
      </c>
    </row>
    <row r="97">
      <c r="A97" s="12" t="str">
        <f t="shared" si="2"/>
        <v/>
      </c>
      <c r="B97" s="13"/>
      <c r="C97" s="14"/>
      <c r="D97" s="15"/>
      <c r="E97" s="15"/>
      <c r="F97" s="15"/>
      <c r="G97" s="16"/>
      <c r="H97" s="14"/>
      <c r="I97" s="14"/>
      <c r="J97" s="16"/>
      <c r="K97" s="16"/>
      <c r="L97" s="17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>
        <f t="shared" si="3"/>
        <v>0</v>
      </c>
      <c r="BD97" s="18">
        <f t="shared" si="4"/>
        <v>0</v>
      </c>
      <c r="BE97" s="18">
        <f t="shared" si="5"/>
        <v>0</v>
      </c>
      <c r="BF97" s="18">
        <f t="shared" si="6"/>
        <v>0</v>
      </c>
      <c r="BG97" s="15"/>
      <c r="BH97" s="15"/>
      <c r="BI97" s="15"/>
      <c r="BJ97" s="19" t="str">
        <f t="shared" ref="BJ97:BK97" si="101">H97</f>
        <v/>
      </c>
      <c r="BK97" s="19" t="str">
        <f t="shared" si="101"/>
        <v/>
      </c>
      <c r="BL97" s="20" t="str">
        <f t="shared" si="8"/>
        <v/>
      </c>
    </row>
    <row r="98">
      <c r="A98" s="21" t="str">
        <f t="shared" si="2"/>
        <v/>
      </c>
      <c r="B98" s="22"/>
      <c r="C98" s="23"/>
      <c r="D98" s="24"/>
      <c r="E98" s="24"/>
      <c r="F98" s="24"/>
      <c r="G98" s="25"/>
      <c r="H98" s="23"/>
      <c r="I98" s="23"/>
      <c r="J98" s="25"/>
      <c r="K98" s="23"/>
      <c r="L98" s="26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>
        <f t="shared" si="3"/>
        <v>0</v>
      </c>
      <c r="BD98" s="27">
        <f t="shared" si="4"/>
        <v>0</v>
      </c>
      <c r="BE98" s="27">
        <f t="shared" si="5"/>
        <v>0</v>
      </c>
      <c r="BF98" s="27">
        <f t="shared" si="6"/>
        <v>0</v>
      </c>
      <c r="BG98" s="24"/>
      <c r="BH98" s="24"/>
      <c r="BI98" s="24"/>
      <c r="BJ98" s="28" t="str">
        <f t="shared" ref="BJ98:BK98" si="102">H98</f>
        <v/>
      </c>
      <c r="BK98" s="28" t="str">
        <f t="shared" si="102"/>
        <v/>
      </c>
      <c r="BL98" s="29" t="str">
        <f t="shared" si="8"/>
        <v/>
      </c>
    </row>
    <row r="99">
      <c r="A99" s="12" t="str">
        <f t="shared" si="2"/>
        <v/>
      </c>
      <c r="B99" s="13"/>
      <c r="C99" s="14"/>
      <c r="D99" s="15"/>
      <c r="E99" s="15"/>
      <c r="F99" s="15"/>
      <c r="G99" s="16"/>
      <c r="H99" s="14"/>
      <c r="I99" s="14"/>
      <c r="J99" s="16"/>
      <c r="K99" s="16"/>
      <c r="L99" s="17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>
        <f t="shared" si="3"/>
        <v>0</v>
      </c>
      <c r="BD99" s="18">
        <f t="shared" si="4"/>
        <v>0</v>
      </c>
      <c r="BE99" s="18">
        <f t="shared" si="5"/>
        <v>0</v>
      </c>
      <c r="BF99" s="18">
        <f t="shared" si="6"/>
        <v>0</v>
      </c>
      <c r="BG99" s="15"/>
      <c r="BH99" s="15"/>
      <c r="BI99" s="15"/>
      <c r="BJ99" s="19" t="str">
        <f t="shared" ref="BJ99:BK99" si="103">H99</f>
        <v/>
      </c>
      <c r="BK99" s="19" t="str">
        <f t="shared" si="103"/>
        <v/>
      </c>
      <c r="BL99" s="20" t="str">
        <f t="shared" si="8"/>
        <v/>
      </c>
    </row>
    <row r="100">
      <c r="A100" s="21" t="str">
        <f t="shared" si="2"/>
        <v/>
      </c>
      <c r="B100" s="22"/>
      <c r="C100" s="23"/>
      <c r="D100" s="24"/>
      <c r="E100" s="24"/>
      <c r="F100" s="24"/>
      <c r="G100" s="25"/>
      <c r="H100" s="23"/>
      <c r="I100" s="23"/>
      <c r="J100" s="25"/>
      <c r="K100" s="25"/>
      <c r="L100" s="26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>
        <f t="shared" si="3"/>
        <v>0</v>
      </c>
      <c r="BD100" s="27">
        <f t="shared" si="4"/>
        <v>0</v>
      </c>
      <c r="BE100" s="27">
        <f t="shared" si="5"/>
        <v>0</v>
      </c>
      <c r="BF100" s="27">
        <f t="shared" si="6"/>
        <v>0</v>
      </c>
      <c r="BG100" s="24"/>
      <c r="BH100" s="24"/>
      <c r="BI100" s="24"/>
      <c r="BJ100" s="28" t="str">
        <f t="shared" ref="BJ100:BK100" si="104">H100</f>
        <v/>
      </c>
      <c r="BK100" s="28" t="str">
        <f t="shared" si="104"/>
        <v/>
      </c>
      <c r="BL100" s="29" t="str">
        <f t="shared" si="8"/>
        <v/>
      </c>
    </row>
    <row r="101">
      <c r="A101" s="12" t="str">
        <f t="shared" si="2"/>
        <v/>
      </c>
      <c r="B101" s="13"/>
      <c r="C101" s="14"/>
      <c r="D101" s="15"/>
      <c r="E101" s="15"/>
      <c r="F101" s="15"/>
      <c r="G101" s="16"/>
      <c r="H101" s="14"/>
      <c r="I101" s="14"/>
      <c r="J101" s="16"/>
      <c r="K101" s="16"/>
      <c r="L101" s="17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>
        <f t="shared" si="3"/>
        <v>0</v>
      </c>
      <c r="BD101" s="18">
        <f t="shared" si="4"/>
        <v>0</v>
      </c>
      <c r="BE101" s="18">
        <f t="shared" si="5"/>
        <v>0</v>
      </c>
      <c r="BF101" s="18">
        <f t="shared" si="6"/>
        <v>0</v>
      </c>
      <c r="BG101" s="15"/>
      <c r="BH101" s="15"/>
      <c r="BI101" s="15"/>
      <c r="BJ101" s="19" t="str">
        <f t="shared" ref="BJ101:BK101" si="105">H101</f>
        <v/>
      </c>
      <c r="BK101" s="19" t="str">
        <f t="shared" si="105"/>
        <v/>
      </c>
      <c r="BL101" s="20" t="str">
        <f t="shared" si="8"/>
        <v/>
      </c>
    </row>
    <row r="102">
      <c r="A102" s="21" t="str">
        <f t="shared" si="2"/>
        <v/>
      </c>
      <c r="B102" s="22"/>
      <c r="C102" s="23"/>
      <c r="D102" s="24"/>
      <c r="E102" s="24"/>
      <c r="F102" s="24"/>
      <c r="G102" s="25"/>
      <c r="H102" s="23"/>
      <c r="I102" s="23"/>
      <c r="J102" s="25"/>
      <c r="K102" s="25"/>
      <c r="L102" s="26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>
        <f t="shared" si="3"/>
        <v>0</v>
      </c>
      <c r="BD102" s="27">
        <f t="shared" si="4"/>
        <v>0</v>
      </c>
      <c r="BE102" s="27">
        <f t="shared" si="5"/>
        <v>0</v>
      </c>
      <c r="BF102" s="27">
        <f t="shared" si="6"/>
        <v>0</v>
      </c>
      <c r="BG102" s="24"/>
      <c r="BH102" s="24"/>
      <c r="BI102" s="24"/>
      <c r="BJ102" s="28" t="str">
        <f t="shared" ref="BJ102:BK102" si="106">H102</f>
        <v/>
      </c>
      <c r="BK102" s="28" t="str">
        <f t="shared" si="106"/>
        <v/>
      </c>
      <c r="BL102" s="29" t="str">
        <f t="shared" si="8"/>
        <v/>
      </c>
    </row>
    <row r="103">
      <c r="A103" s="12" t="str">
        <f t="shared" si="2"/>
        <v/>
      </c>
      <c r="B103" s="13"/>
      <c r="C103" s="14"/>
      <c r="D103" s="15"/>
      <c r="E103" s="15"/>
      <c r="F103" s="15"/>
      <c r="G103" s="16"/>
      <c r="H103" s="14"/>
      <c r="I103" s="14"/>
      <c r="J103" s="16"/>
      <c r="K103" s="16"/>
      <c r="L103" s="17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>
        <f t="shared" si="3"/>
        <v>0</v>
      </c>
      <c r="BD103" s="18">
        <f t="shared" si="4"/>
        <v>0</v>
      </c>
      <c r="BE103" s="18">
        <f t="shared" si="5"/>
        <v>0</v>
      </c>
      <c r="BF103" s="18">
        <f t="shared" si="6"/>
        <v>0</v>
      </c>
      <c r="BG103" s="15"/>
      <c r="BH103" s="15"/>
      <c r="BI103" s="15"/>
      <c r="BJ103" s="19" t="str">
        <f t="shared" ref="BJ103:BK103" si="107">H103</f>
        <v/>
      </c>
      <c r="BK103" s="19" t="str">
        <f t="shared" si="107"/>
        <v/>
      </c>
      <c r="BL103" s="20" t="str">
        <f t="shared" si="8"/>
        <v/>
      </c>
    </row>
    <row r="104">
      <c r="A104" s="21" t="str">
        <f t="shared" si="2"/>
        <v/>
      </c>
      <c r="B104" s="22"/>
      <c r="C104" s="23"/>
      <c r="D104" s="24"/>
      <c r="E104" s="24"/>
      <c r="F104" s="24"/>
      <c r="G104" s="25"/>
      <c r="H104" s="23"/>
      <c r="I104" s="23"/>
      <c r="J104" s="25"/>
      <c r="K104" s="25"/>
      <c r="L104" s="26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>
        <f t="shared" si="3"/>
        <v>0</v>
      </c>
      <c r="BD104" s="27">
        <f t="shared" si="4"/>
        <v>0</v>
      </c>
      <c r="BE104" s="27">
        <f t="shared" si="5"/>
        <v>0</v>
      </c>
      <c r="BF104" s="27">
        <f t="shared" si="6"/>
        <v>0</v>
      </c>
      <c r="BG104" s="24"/>
      <c r="BH104" s="24"/>
      <c r="BI104" s="24"/>
      <c r="BJ104" s="28" t="str">
        <f t="shared" ref="BJ104:BK104" si="108">H104</f>
        <v/>
      </c>
      <c r="BK104" s="28" t="str">
        <f t="shared" si="108"/>
        <v/>
      </c>
      <c r="BL104" s="29" t="str">
        <f t="shared" si="8"/>
        <v/>
      </c>
    </row>
    <row r="105">
      <c r="A105" s="12" t="str">
        <f t="shared" si="2"/>
        <v/>
      </c>
      <c r="B105" s="13"/>
      <c r="C105" s="14"/>
      <c r="D105" s="15"/>
      <c r="E105" s="15"/>
      <c r="F105" s="15"/>
      <c r="G105" s="16"/>
      <c r="H105" s="14"/>
      <c r="I105" s="14"/>
      <c r="J105" s="16"/>
      <c r="K105" s="16"/>
      <c r="L105" s="17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>
        <f t="shared" si="3"/>
        <v>0</v>
      </c>
      <c r="BD105" s="18">
        <f t="shared" si="4"/>
        <v>0</v>
      </c>
      <c r="BE105" s="18">
        <f t="shared" si="5"/>
        <v>0</v>
      </c>
      <c r="BF105" s="18">
        <f t="shared" si="6"/>
        <v>0</v>
      </c>
      <c r="BG105" s="15"/>
      <c r="BH105" s="15"/>
      <c r="BI105" s="15"/>
      <c r="BJ105" s="19" t="str">
        <f t="shared" ref="BJ105:BK105" si="109">H105</f>
        <v/>
      </c>
      <c r="BK105" s="19" t="str">
        <f t="shared" si="109"/>
        <v/>
      </c>
      <c r="BL105" s="20" t="str">
        <f t="shared" si="8"/>
        <v/>
      </c>
    </row>
    <row r="106">
      <c r="A106" s="21" t="str">
        <f t="shared" si="2"/>
        <v/>
      </c>
      <c r="B106" s="22"/>
      <c r="C106" s="23"/>
      <c r="D106" s="24"/>
      <c r="E106" s="24"/>
      <c r="F106" s="24"/>
      <c r="G106" s="25"/>
      <c r="H106" s="23"/>
      <c r="I106" s="23"/>
      <c r="J106" s="25"/>
      <c r="K106" s="25"/>
      <c r="L106" s="26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>
        <f t="shared" si="3"/>
        <v>0</v>
      </c>
      <c r="BD106" s="27">
        <f t="shared" si="4"/>
        <v>0</v>
      </c>
      <c r="BE106" s="27">
        <f t="shared" si="5"/>
        <v>0</v>
      </c>
      <c r="BF106" s="27">
        <f t="shared" si="6"/>
        <v>0</v>
      </c>
      <c r="BG106" s="24"/>
      <c r="BH106" s="24"/>
      <c r="BI106" s="24"/>
      <c r="BJ106" s="28" t="str">
        <f t="shared" ref="BJ106:BK106" si="110">H106</f>
        <v/>
      </c>
      <c r="BK106" s="28" t="str">
        <f t="shared" si="110"/>
        <v/>
      </c>
      <c r="BL106" s="29" t="str">
        <f t="shared" si="8"/>
        <v/>
      </c>
    </row>
    <row r="107">
      <c r="A107" s="12" t="str">
        <f t="shared" si="2"/>
        <v/>
      </c>
      <c r="B107" s="13"/>
      <c r="C107" s="14"/>
      <c r="D107" s="15"/>
      <c r="E107" s="15"/>
      <c r="F107" s="15"/>
      <c r="G107" s="16"/>
      <c r="H107" s="14"/>
      <c r="I107" s="14"/>
      <c r="J107" s="16"/>
      <c r="K107" s="16"/>
      <c r="L107" s="17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>
        <f t="shared" si="3"/>
        <v>0</v>
      </c>
      <c r="BD107" s="18">
        <f t="shared" si="4"/>
        <v>0</v>
      </c>
      <c r="BE107" s="18">
        <f t="shared" si="5"/>
        <v>0</v>
      </c>
      <c r="BF107" s="18">
        <f t="shared" si="6"/>
        <v>0</v>
      </c>
      <c r="BG107" s="15"/>
      <c r="BH107" s="15"/>
      <c r="BI107" s="15"/>
      <c r="BJ107" s="19" t="str">
        <f t="shared" ref="BJ107:BK107" si="111">H107</f>
        <v/>
      </c>
      <c r="BK107" s="19" t="str">
        <f t="shared" si="111"/>
        <v/>
      </c>
      <c r="BL107" s="20" t="str">
        <f t="shared" si="8"/>
        <v/>
      </c>
    </row>
    <row r="108">
      <c r="A108" s="21" t="str">
        <f t="shared" si="2"/>
        <v/>
      </c>
      <c r="B108" s="22"/>
      <c r="C108" s="23"/>
      <c r="D108" s="24"/>
      <c r="E108" s="24"/>
      <c r="F108" s="24"/>
      <c r="G108" s="25"/>
      <c r="H108" s="23"/>
      <c r="I108" s="23"/>
      <c r="J108" s="25"/>
      <c r="K108" s="25"/>
      <c r="L108" s="26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>
        <f t="shared" si="3"/>
        <v>0</v>
      </c>
      <c r="BD108" s="27">
        <f t="shared" si="4"/>
        <v>0</v>
      </c>
      <c r="BE108" s="27">
        <f t="shared" si="5"/>
        <v>0</v>
      </c>
      <c r="BF108" s="27">
        <f t="shared" si="6"/>
        <v>0</v>
      </c>
      <c r="BG108" s="24"/>
      <c r="BH108" s="24"/>
      <c r="BI108" s="24"/>
      <c r="BJ108" s="28" t="str">
        <f t="shared" ref="BJ108:BK108" si="112">H108</f>
        <v/>
      </c>
      <c r="BK108" s="28" t="str">
        <f t="shared" si="112"/>
        <v/>
      </c>
      <c r="BL108" s="29" t="str">
        <f t="shared" si="8"/>
        <v/>
      </c>
    </row>
    <row r="109">
      <c r="A109" s="12" t="str">
        <f t="shared" si="2"/>
        <v/>
      </c>
      <c r="B109" s="13"/>
      <c r="C109" s="14"/>
      <c r="D109" s="15"/>
      <c r="E109" s="15"/>
      <c r="F109" s="15"/>
      <c r="G109" s="16"/>
      <c r="H109" s="14"/>
      <c r="I109" s="14"/>
      <c r="J109" s="16"/>
      <c r="K109" s="16"/>
      <c r="L109" s="17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>
        <f t="shared" si="3"/>
        <v>0</v>
      </c>
      <c r="BD109" s="18">
        <f t="shared" si="4"/>
        <v>0</v>
      </c>
      <c r="BE109" s="18">
        <f t="shared" si="5"/>
        <v>0</v>
      </c>
      <c r="BF109" s="18">
        <f t="shared" si="6"/>
        <v>0</v>
      </c>
      <c r="BG109" s="15"/>
      <c r="BH109" s="15"/>
      <c r="BI109" s="15"/>
      <c r="BJ109" s="19" t="str">
        <f t="shared" ref="BJ109:BK109" si="113">H109</f>
        <v/>
      </c>
      <c r="BK109" s="19" t="str">
        <f t="shared" si="113"/>
        <v/>
      </c>
      <c r="BL109" s="20" t="str">
        <f t="shared" si="8"/>
        <v/>
      </c>
    </row>
    <row r="110">
      <c r="A110" s="21" t="str">
        <f t="shared" si="2"/>
        <v/>
      </c>
      <c r="B110" s="22"/>
      <c r="C110" s="23"/>
      <c r="D110" s="24"/>
      <c r="E110" s="24"/>
      <c r="F110" s="24"/>
      <c r="G110" s="25"/>
      <c r="H110" s="23"/>
      <c r="I110" s="23"/>
      <c r="J110" s="25"/>
      <c r="K110" s="25"/>
      <c r="L110" s="26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>
        <f t="shared" si="3"/>
        <v>0</v>
      </c>
      <c r="BD110" s="27">
        <f t="shared" si="4"/>
        <v>0</v>
      </c>
      <c r="BE110" s="27">
        <f t="shared" si="5"/>
        <v>0</v>
      </c>
      <c r="BF110" s="27">
        <f t="shared" si="6"/>
        <v>0</v>
      </c>
      <c r="BG110" s="24"/>
      <c r="BH110" s="24"/>
      <c r="BI110" s="24"/>
      <c r="BJ110" s="28" t="str">
        <f t="shared" ref="BJ110:BK110" si="114">H110</f>
        <v/>
      </c>
      <c r="BK110" s="28" t="str">
        <f t="shared" si="114"/>
        <v/>
      </c>
      <c r="BL110" s="29" t="str">
        <f t="shared" si="8"/>
        <v/>
      </c>
    </row>
    <row r="111">
      <c r="A111" s="12" t="str">
        <f t="shared" si="2"/>
        <v/>
      </c>
      <c r="B111" s="13"/>
      <c r="C111" s="14"/>
      <c r="D111" s="15"/>
      <c r="E111" s="15"/>
      <c r="F111" s="15"/>
      <c r="G111" s="16"/>
      <c r="H111" s="14"/>
      <c r="I111" s="14"/>
      <c r="J111" s="16"/>
      <c r="K111" s="16"/>
      <c r="L111" s="17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>
        <f t="shared" si="3"/>
        <v>0</v>
      </c>
      <c r="BD111" s="18">
        <f t="shared" si="4"/>
        <v>0</v>
      </c>
      <c r="BE111" s="18">
        <f t="shared" si="5"/>
        <v>0</v>
      </c>
      <c r="BF111" s="18">
        <f t="shared" si="6"/>
        <v>0</v>
      </c>
      <c r="BG111" s="15"/>
      <c r="BH111" s="15"/>
      <c r="BI111" s="15"/>
      <c r="BJ111" s="19" t="str">
        <f t="shared" ref="BJ111:BK111" si="115">H111</f>
        <v/>
      </c>
      <c r="BK111" s="19" t="str">
        <f t="shared" si="115"/>
        <v/>
      </c>
      <c r="BL111" s="20" t="str">
        <f t="shared" si="8"/>
        <v/>
      </c>
    </row>
    <row r="112">
      <c r="A112" s="21" t="str">
        <f t="shared" si="2"/>
        <v/>
      </c>
      <c r="B112" s="22"/>
      <c r="C112" s="23"/>
      <c r="D112" s="24"/>
      <c r="E112" s="24"/>
      <c r="F112" s="24"/>
      <c r="G112" s="25"/>
      <c r="H112" s="23"/>
      <c r="I112" s="23"/>
      <c r="J112" s="25"/>
      <c r="K112" s="25"/>
      <c r="L112" s="26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>
        <f t="shared" si="3"/>
        <v>0</v>
      </c>
      <c r="BD112" s="27">
        <f t="shared" si="4"/>
        <v>0</v>
      </c>
      <c r="BE112" s="27">
        <f t="shared" si="5"/>
        <v>0</v>
      </c>
      <c r="BF112" s="27">
        <f t="shared" si="6"/>
        <v>0</v>
      </c>
      <c r="BG112" s="24"/>
      <c r="BH112" s="24"/>
      <c r="BI112" s="24"/>
      <c r="BJ112" s="28" t="str">
        <f t="shared" ref="BJ112:BK112" si="116">H112</f>
        <v/>
      </c>
      <c r="BK112" s="28" t="str">
        <f t="shared" si="116"/>
        <v/>
      </c>
      <c r="BL112" s="29" t="str">
        <f t="shared" si="8"/>
        <v/>
      </c>
    </row>
    <row r="113">
      <c r="A113" s="12" t="str">
        <f t="shared" si="2"/>
        <v/>
      </c>
      <c r="B113" s="13"/>
      <c r="C113" s="14"/>
      <c r="D113" s="15"/>
      <c r="E113" s="15"/>
      <c r="F113" s="15"/>
      <c r="G113" s="16"/>
      <c r="H113" s="14"/>
      <c r="I113" s="14"/>
      <c r="J113" s="16"/>
      <c r="K113" s="16"/>
      <c r="L113" s="17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>
        <f t="shared" si="3"/>
        <v>0</v>
      </c>
      <c r="BD113" s="18">
        <f t="shared" si="4"/>
        <v>0</v>
      </c>
      <c r="BE113" s="18">
        <f t="shared" si="5"/>
        <v>0</v>
      </c>
      <c r="BF113" s="18">
        <f t="shared" si="6"/>
        <v>0</v>
      </c>
      <c r="BG113" s="15"/>
      <c r="BH113" s="15"/>
      <c r="BI113" s="15"/>
      <c r="BJ113" s="19" t="str">
        <f t="shared" ref="BJ113:BK113" si="117">H113</f>
        <v/>
      </c>
      <c r="BK113" s="19" t="str">
        <f t="shared" si="117"/>
        <v/>
      </c>
      <c r="BL113" s="20" t="str">
        <f t="shared" si="8"/>
        <v/>
      </c>
    </row>
    <row r="114">
      <c r="A114" s="21" t="str">
        <f t="shared" si="2"/>
        <v/>
      </c>
      <c r="B114" s="22"/>
      <c r="C114" s="23"/>
      <c r="D114" s="24"/>
      <c r="E114" s="24"/>
      <c r="F114" s="24"/>
      <c r="G114" s="25"/>
      <c r="H114" s="23"/>
      <c r="I114" s="23"/>
      <c r="J114" s="25"/>
      <c r="K114" s="25"/>
      <c r="L114" s="26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>
        <f t="shared" si="3"/>
        <v>0</v>
      </c>
      <c r="BD114" s="27">
        <f t="shared" si="4"/>
        <v>0</v>
      </c>
      <c r="BE114" s="27">
        <f t="shared" si="5"/>
        <v>0</v>
      </c>
      <c r="BF114" s="27">
        <f t="shared" si="6"/>
        <v>0</v>
      </c>
      <c r="BG114" s="24"/>
      <c r="BH114" s="24"/>
      <c r="BI114" s="24"/>
      <c r="BJ114" s="28" t="str">
        <f t="shared" ref="BJ114:BK114" si="118">H114</f>
        <v/>
      </c>
      <c r="BK114" s="28" t="str">
        <f t="shared" si="118"/>
        <v/>
      </c>
      <c r="BL114" s="29" t="str">
        <f t="shared" si="8"/>
        <v/>
      </c>
    </row>
    <row r="115">
      <c r="A115" s="12" t="str">
        <f t="shared" si="2"/>
        <v/>
      </c>
      <c r="B115" s="13"/>
      <c r="C115" s="14"/>
      <c r="D115" s="15"/>
      <c r="E115" s="15"/>
      <c r="F115" s="15"/>
      <c r="G115" s="16"/>
      <c r="H115" s="14"/>
      <c r="I115" s="14"/>
      <c r="J115" s="16"/>
      <c r="K115" s="16"/>
      <c r="L115" s="17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>
        <f t="shared" si="3"/>
        <v>0</v>
      </c>
      <c r="BD115" s="18">
        <f t="shared" si="4"/>
        <v>0</v>
      </c>
      <c r="BE115" s="18">
        <f t="shared" si="5"/>
        <v>0</v>
      </c>
      <c r="BF115" s="18">
        <f t="shared" si="6"/>
        <v>0</v>
      </c>
      <c r="BG115" s="15"/>
      <c r="BH115" s="15"/>
      <c r="BI115" s="15"/>
      <c r="BJ115" s="19" t="str">
        <f t="shared" ref="BJ115:BK115" si="119">H115</f>
        <v/>
      </c>
      <c r="BK115" s="19" t="str">
        <f t="shared" si="119"/>
        <v/>
      </c>
      <c r="BL115" s="20" t="str">
        <f t="shared" si="8"/>
        <v/>
      </c>
    </row>
    <row r="116">
      <c r="A116" s="21" t="str">
        <f t="shared" si="2"/>
        <v/>
      </c>
      <c r="B116" s="22"/>
      <c r="C116" s="23"/>
      <c r="D116" s="24"/>
      <c r="E116" s="24"/>
      <c r="F116" s="24"/>
      <c r="G116" s="25"/>
      <c r="H116" s="23"/>
      <c r="I116" s="23"/>
      <c r="J116" s="25"/>
      <c r="K116" s="25"/>
      <c r="L116" s="26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>
        <f t="shared" si="3"/>
        <v>0</v>
      </c>
      <c r="BD116" s="27">
        <f t="shared" si="4"/>
        <v>0</v>
      </c>
      <c r="BE116" s="27">
        <f t="shared" si="5"/>
        <v>0</v>
      </c>
      <c r="BF116" s="27">
        <f t="shared" si="6"/>
        <v>0</v>
      </c>
      <c r="BG116" s="24"/>
      <c r="BH116" s="24"/>
      <c r="BI116" s="24"/>
      <c r="BJ116" s="28" t="str">
        <f t="shared" ref="BJ116:BK116" si="120">H116</f>
        <v/>
      </c>
      <c r="BK116" s="28" t="str">
        <f t="shared" si="120"/>
        <v/>
      </c>
      <c r="BL116" s="29" t="str">
        <f t="shared" si="8"/>
        <v/>
      </c>
    </row>
    <row r="117">
      <c r="A117" s="12" t="str">
        <f t="shared" si="2"/>
        <v/>
      </c>
      <c r="B117" s="13"/>
      <c r="C117" s="14"/>
      <c r="D117" s="15"/>
      <c r="E117" s="15"/>
      <c r="F117" s="15"/>
      <c r="G117" s="16"/>
      <c r="H117" s="14"/>
      <c r="I117" s="14"/>
      <c r="J117" s="16"/>
      <c r="K117" s="16"/>
      <c r="L117" s="17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>
        <f t="shared" si="3"/>
        <v>0</v>
      </c>
      <c r="BD117" s="18">
        <f t="shared" si="4"/>
        <v>0</v>
      </c>
      <c r="BE117" s="18">
        <f t="shared" si="5"/>
        <v>0</v>
      </c>
      <c r="BF117" s="18">
        <f t="shared" si="6"/>
        <v>0</v>
      </c>
      <c r="BG117" s="15"/>
      <c r="BH117" s="15"/>
      <c r="BI117" s="15"/>
      <c r="BJ117" s="19" t="str">
        <f t="shared" ref="BJ117:BK117" si="121">H117</f>
        <v/>
      </c>
      <c r="BK117" s="19" t="str">
        <f t="shared" si="121"/>
        <v/>
      </c>
      <c r="BL117" s="20" t="str">
        <f t="shared" si="8"/>
        <v/>
      </c>
    </row>
    <row r="118">
      <c r="A118" s="21" t="str">
        <f t="shared" si="2"/>
        <v/>
      </c>
      <c r="B118" s="22"/>
      <c r="C118" s="23"/>
      <c r="D118" s="24"/>
      <c r="E118" s="24"/>
      <c r="F118" s="24"/>
      <c r="G118" s="25"/>
      <c r="H118" s="23"/>
      <c r="I118" s="23"/>
      <c r="J118" s="25"/>
      <c r="K118" s="25"/>
      <c r="L118" s="26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>
        <f t="shared" si="3"/>
        <v>0</v>
      </c>
      <c r="BD118" s="27">
        <f t="shared" si="4"/>
        <v>0</v>
      </c>
      <c r="BE118" s="27">
        <f t="shared" si="5"/>
        <v>0</v>
      </c>
      <c r="BF118" s="27">
        <f t="shared" si="6"/>
        <v>0</v>
      </c>
      <c r="BG118" s="24"/>
      <c r="BH118" s="24"/>
      <c r="BI118" s="24"/>
      <c r="BJ118" s="28" t="str">
        <f t="shared" ref="BJ118:BK118" si="122">H118</f>
        <v/>
      </c>
      <c r="BK118" s="28" t="str">
        <f t="shared" si="122"/>
        <v/>
      </c>
      <c r="BL118" s="29" t="str">
        <f t="shared" si="8"/>
        <v/>
      </c>
    </row>
    <row r="119">
      <c r="A119" s="12" t="str">
        <f t="shared" si="2"/>
        <v/>
      </c>
      <c r="B119" s="13"/>
      <c r="C119" s="14"/>
      <c r="D119" s="15"/>
      <c r="E119" s="15"/>
      <c r="F119" s="15"/>
      <c r="G119" s="16"/>
      <c r="H119" s="14"/>
      <c r="I119" s="14"/>
      <c r="J119" s="16"/>
      <c r="K119" s="16"/>
      <c r="L119" s="17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>
        <f t="shared" si="3"/>
        <v>0</v>
      </c>
      <c r="BD119" s="18">
        <f t="shared" si="4"/>
        <v>0</v>
      </c>
      <c r="BE119" s="18">
        <f t="shared" si="5"/>
        <v>0</v>
      </c>
      <c r="BF119" s="18">
        <f t="shared" si="6"/>
        <v>0</v>
      </c>
      <c r="BG119" s="15"/>
      <c r="BH119" s="15"/>
      <c r="BI119" s="15"/>
      <c r="BJ119" s="19" t="str">
        <f t="shared" ref="BJ119:BK119" si="123">H119</f>
        <v/>
      </c>
      <c r="BK119" s="19" t="str">
        <f t="shared" si="123"/>
        <v/>
      </c>
      <c r="BL119" s="20" t="str">
        <f t="shared" si="8"/>
        <v/>
      </c>
    </row>
    <row r="120">
      <c r="A120" s="21" t="str">
        <f t="shared" si="2"/>
        <v/>
      </c>
      <c r="B120" s="22"/>
      <c r="C120" s="23"/>
      <c r="D120" s="24"/>
      <c r="E120" s="24"/>
      <c r="F120" s="24"/>
      <c r="G120" s="25"/>
      <c r="H120" s="23"/>
      <c r="I120" s="23"/>
      <c r="J120" s="25"/>
      <c r="K120" s="25"/>
      <c r="L120" s="26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>
        <f t="shared" si="3"/>
        <v>0</v>
      </c>
      <c r="BD120" s="27">
        <f t="shared" si="4"/>
        <v>0</v>
      </c>
      <c r="BE120" s="27">
        <f t="shared" si="5"/>
        <v>0</v>
      </c>
      <c r="BF120" s="27">
        <f t="shared" si="6"/>
        <v>0</v>
      </c>
      <c r="BG120" s="24"/>
      <c r="BH120" s="24"/>
      <c r="BI120" s="24"/>
      <c r="BJ120" s="28" t="str">
        <f t="shared" ref="BJ120:BK120" si="124">H120</f>
        <v/>
      </c>
      <c r="BK120" s="28" t="str">
        <f t="shared" si="124"/>
        <v/>
      </c>
      <c r="BL120" s="29" t="str">
        <f t="shared" si="8"/>
        <v/>
      </c>
    </row>
    <row r="121">
      <c r="A121" s="12" t="str">
        <f t="shared" si="2"/>
        <v/>
      </c>
      <c r="B121" s="13"/>
      <c r="C121" s="14"/>
      <c r="D121" s="15"/>
      <c r="E121" s="15"/>
      <c r="F121" s="15"/>
      <c r="G121" s="16"/>
      <c r="H121" s="14"/>
      <c r="I121" s="14"/>
      <c r="J121" s="16"/>
      <c r="K121" s="16"/>
      <c r="L121" s="17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>
        <f t="shared" si="3"/>
        <v>0</v>
      </c>
      <c r="BD121" s="18">
        <f t="shared" si="4"/>
        <v>0</v>
      </c>
      <c r="BE121" s="18">
        <f t="shared" si="5"/>
        <v>0</v>
      </c>
      <c r="BF121" s="18">
        <f t="shared" si="6"/>
        <v>0</v>
      </c>
      <c r="BG121" s="15"/>
      <c r="BH121" s="15"/>
      <c r="BI121" s="15"/>
      <c r="BJ121" s="19" t="str">
        <f t="shared" ref="BJ121:BK121" si="125">H121</f>
        <v/>
      </c>
      <c r="BK121" s="19" t="str">
        <f t="shared" si="125"/>
        <v/>
      </c>
      <c r="BL121" s="20" t="str">
        <f t="shared" si="8"/>
        <v/>
      </c>
    </row>
    <row r="122">
      <c r="A122" s="21" t="str">
        <f t="shared" si="2"/>
        <v/>
      </c>
      <c r="B122" s="22"/>
      <c r="C122" s="23"/>
      <c r="D122" s="24"/>
      <c r="E122" s="24"/>
      <c r="F122" s="24"/>
      <c r="G122" s="25"/>
      <c r="H122" s="23"/>
      <c r="I122" s="23"/>
      <c r="J122" s="25"/>
      <c r="K122" s="25"/>
      <c r="L122" s="26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>
        <f t="shared" si="3"/>
        <v>0</v>
      </c>
      <c r="BD122" s="27">
        <f t="shared" si="4"/>
        <v>0</v>
      </c>
      <c r="BE122" s="27">
        <f t="shared" si="5"/>
        <v>0</v>
      </c>
      <c r="BF122" s="27">
        <f t="shared" si="6"/>
        <v>0</v>
      </c>
      <c r="BG122" s="24"/>
      <c r="BH122" s="24"/>
      <c r="BI122" s="24"/>
      <c r="BJ122" s="28" t="str">
        <f t="shared" ref="BJ122:BK122" si="126">H122</f>
        <v/>
      </c>
      <c r="BK122" s="28" t="str">
        <f t="shared" si="126"/>
        <v/>
      </c>
      <c r="BL122" s="29" t="str">
        <f t="shared" si="8"/>
        <v/>
      </c>
    </row>
    <row r="123">
      <c r="A123" s="12" t="str">
        <f t="shared" si="2"/>
        <v/>
      </c>
      <c r="B123" s="13"/>
      <c r="C123" s="14"/>
      <c r="D123" s="15"/>
      <c r="E123" s="15"/>
      <c r="F123" s="15"/>
      <c r="G123" s="16"/>
      <c r="H123" s="14"/>
      <c r="I123" s="14"/>
      <c r="J123" s="16"/>
      <c r="K123" s="16"/>
      <c r="L123" s="17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>
        <f t="shared" si="3"/>
        <v>0</v>
      </c>
      <c r="BD123" s="18">
        <f t="shared" si="4"/>
        <v>0</v>
      </c>
      <c r="BE123" s="18">
        <f t="shared" si="5"/>
        <v>0</v>
      </c>
      <c r="BF123" s="18">
        <f t="shared" si="6"/>
        <v>0</v>
      </c>
      <c r="BG123" s="15"/>
      <c r="BH123" s="15"/>
      <c r="BI123" s="15"/>
      <c r="BJ123" s="19" t="str">
        <f t="shared" ref="BJ123:BK123" si="127">H123</f>
        <v/>
      </c>
      <c r="BK123" s="19" t="str">
        <f t="shared" si="127"/>
        <v/>
      </c>
      <c r="BL123" s="20" t="str">
        <f t="shared" si="8"/>
        <v/>
      </c>
    </row>
    <row r="124">
      <c r="A124" s="21" t="str">
        <f t="shared" si="2"/>
        <v/>
      </c>
      <c r="B124" s="22"/>
      <c r="C124" s="23"/>
      <c r="D124" s="24"/>
      <c r="E124" s="24"/>
      <c r="F124" s="24"/>
      <c r="G124" s="25"/>
      <c r="H124" s="23"/>
      <c r="I124" s="23"/>
      <c r="J124" s="25"/>
      <c r="K124" s="25"/>
      <c r="L124" s="26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>
        <f t="shared" si="3"/>
        <v>0</v>
      </c>
      <c r="BD124" s="27">
        <f t="shared" si="4"/>
        <v>0</v>
      </c>
      <c r="BE124" s="27">
        <f t="shared" si="5"/>
        <v>0</v>
      </c>
      <c r="BF124" s="27">
        <f t="shared" si="6"/>
        <v>0</v>
      </c>
      <c r="BG124" s="24"/>
      <c r="BH124" s="24"/>
      <c r="BI124" s="24"/>
      <c r="BJ124" s="28" t="str">
        <f t="shared" ref="BJ124:BK124" si="128">H124</f>
        <v/>
      </c>
      <c r="BK124" s="28" t="str">
        <f t="shared" si="128"/>
        <v/>
      </c>
      <c r="BL124" s="29" t="str">
        <f t="shared" si="8"/>
        <v/>
      </c>
    </row>
    <row r="125">
      <c r="A125" s="12" t="str">
        <f t="shared" si="2"/>
        <v/>
      </c>
      <c r="B125" s="13"/>
      <c r="C125" s="14"/>
      <c r="D125" s="15"/>
      <c r="E125" s="15"/>
      <c r="F125" s="15"/>
      <c r="G125" s="16"/>
      <c r="H125" s="14"/>
      <c r="I125" s="14"/>
      <c r="J125" s="16"/>
      <c r="K125" s="16"/>
      <c r="L125" s="17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>
        <f t="shared" si="3"/>
        <v>0</v>
      </c>
      <c r="BD125" s="18">
        <f t="shared" si="4"/>
        <v>0</v>
      </c>
      <c r="BE125" s="18">
        <f t="shared" si="5"/>
        <v>0</v>
      </c>
      <c r="BF125" s="18">
        <f t="shared" si="6"/>
        <v>0</v>
      </c>
      <c r="BG125" s="15"/>
      <c r="BH125" s="15"/>
      <c r="BI125" s="15"/>
      <c r="BJ125" s="19" t="str">
        <f t="shared" ref="BJ125:BK125" si="129">H125</f>
        <v/>
      </c>
      <c r="BK125" s="19" t="str">
        <f t="shared" si="129"/>
        <v/>
      </c>
      <c r="BL125" s="20" t="str">
        <f t="shared" si="8"/>
        <v/>
      </c>
    </row>
    <row r="126">
      <c r="A126" s="21" t="str">
        <f t="shared" si="2"/>
        <v/>
      </c>
      <c r="B126" s="22"/>
      <c r="C126" s="23"/>
      <c r="D126" s="24"/>
      <c r="E126" s="24"/>
      <c r="F126" s="24"/>
      <c r="G126" s="25"/>
      <c r="H126" s="23"/>
      <c r="I126" s="21"/>
      <c r="J126" s="25"/>
      <c r="K126" s="25"/>
      <c r="L126" s="26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>
        <f t="shared" si="3"/>
        <v>0</v>
      </c>
      <c r="BD126" s="27">
        <f t="shared" si="4"/>
        <v>0</v>
      </c>
      <c r="BE126" s="27">
        <f t="shared" si="5"/>
        <v>0</v>
      </c>
      <c r="BF126" s="27">
        <f t="shared" si="6"/>
        <v>0</v>
      </c>
      <c r="BG126" s="24"/>
      <c r="BH126" s="24"/>
      <c r="BI126" s="24"/>
      <c r="BJ126" s="28" t="str">
        <f t="shared" ref="BJ126:BK126" si="130">H126</f>
        <v/>
      </c>
      <c r="BK126" s="28" t="str">
        <f t="shared" si="130"/>
        <v/>
      </c>
      <c r="BL126" s="29" t="str">
        <f t="shared" si="8"/>
        <v/>
      </c>
    </row>
    <row r="127">
      <c r="A127" s="12" t="str">
        <f t="shared" si="2"/>
        <v/>
      </c>
      <c r="B127" s="13"/>
      <c r="C127" s="14"/>
      <c r="D127" s="15"/>
      <c r="E127" s="15"/>
      <c r="F127" s="15"/>
      <c r="G127" s="16"/>
      <c r="H127" s="14"/>
      <c r="I127" s="14"/>
      <c r="J127" s="16"/>
      <c r="K127" s="16"/>
      <c r="L127" s="17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>
        <f t="shared" si="3"/>
        <v>0</v>
      </c>
      <c r="BD127" s="18">
        <f t="shared" si="4"/>
        <v>0</v>
      </c>
      <c r="BE127" s="18">
        <f t="shared" si="5"/>
        <v>0</v>
      </c>
      <c r="BF127" s="18">
        <f t="shared" si="6"/>
        <v>0</v>
      </c>
      <c r="BG127" s="15"/>
      <c r="BH127" s="15"/>
      <c r="BI127" s="15"/>
      <c r="BJ127" s="19" t="str">
        <f t="shared" ref="BJ127:BK127" si="131">H127</f>
        <v/>
      </c>
      <c r="BK127" s="19" t="str">
        <f t="shared" si="131"/>
        <v/>
      </c>
      <c r="BL127" s="20" t="str">
        <f t="shared" si="8"/>
        <v/>
      </c>
    </row>
    <row r="128">
      <c r="A128" s="21" t="str">
        <f t="shared" si="2"/>
        <v/>
      </c>
      <c r="B128" s="22"/>
      <c r="C128" s="23"/>
      <c r="D128" s="24"/>
      <c r="E128" s="24"/>
      <c r="F128" s="24"/>
      <c r="G128" s="25"/>
      <c r="H128" s="23"/>
      <c r="I128" s="23"/>
      <c r="J128" s="25"/>
      <c r="K128" s="25"/>
      <c r="L128" s="26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>
        <f t="shared" si="3"/>
        <v>0</v>
      </c>
      <c r="BD128" s="27">
        <f t="shared" si="4"/>
        <v>0</v>
      </c>
      <c r="BE128" s="27">
        <f t="shared" si="5"/>
        <v>0</v>
      </c>
      <c r="BF128" s="27">
        <f t="shared" si="6"/>
        <v>0</v>
      </c>
      <c r="BG128" s="24"/>
      <c r="BH128" s="24"/>
      <c r="BI128" s="24"/>
      <c r="BJ128" s="28" t="str">
        <f t="shared" ref="BJ128:BK128" si="132">H128</f>
        <v/>
      </c>
      <c r="BK128" s="28" t="str">
        <f t="shared" si="132"/>
        <v/>
      </c>
      <c r="BL128" s="29" t="str">
        <f t="shared" si="8"/>
        <v/>
      </c>
    </row>
    <row r="129">
      <c r="A129" s="12" t="str">
        <f t="shared" si="2"/>
        <v/>
      </c>
      <c r="B129" s="13"/>
      <c r="C129" s="14"/>
      <c r="D129" s="15"/>
      <c r="E129" s="15"/>
      <c r="F129" s="15"/>
      <c r="G129" s="16"/>
      <c r="H129" s="14"/>
      <c r="I129" s="14"/>
      <c r="J129" s="16"/>
      <c r="K129" s="16"/>
      <c r="L129" s="17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>
        <f t="shared" si="3"/>
        <v>0</v>
      </c>
      <c r="BD129" s="18">
        <f t="shared" si="4"/>
        <v>0</v>
      </c>
      <c r="BE129" s="18">
        <f t="shared" si="5"/>
        <v>0</v>
      </c>
      <c r="BF129" s="18">
        <f t="shared" si="6"/>
        <v>0</v>
      </c>
      <c r="BG129" s="15"/>
      <c r="BH129" s="15"/>
      <c r="BI129" s="15"/>
      <c r="BJ129" s="19" t="str">
        <f t="shared" ref="BJ129:BK129" si="133">H129</f>
        <v/>
      </c>
      <c r="BK129" s="19" t="str">
        <f t="shared" si="133"/>
        <v/>
      </c>
      <c r="BL129" s="20" t="str">
        <f t="shared" si="8"/>
        <v/>
      </c>
    </row>
    <row r="130">
      <c r="A130" s="21" t="str">
        <f t="shared" si="2"/>
        <v/>
      </c>
      <c r="B130" s="22"/>
      <c r="C130" s="23"/>
      <c r="D130" s="24"/>
      <c r="E130" s="24"/>
      <c r="F130" s="24"/>
      <c r="G130" s="25"/>
      <c r="H130" s="23"/>
      <c r="I130" s="23"/>
      <c r="J130" s="25"/>
      <c r="K130" s="25"/>
      <c r="L130" s="26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>
        <f t="shared" si="3"/>
        <v>0</v>
      </c>
      <c r="BD130" s="27">
        <f t="shared" si="4"/>
        <v>0</v>
      </c>
      <c r="BE130" s="27">
        <f t="shared" si="5"/>
        <v>0</v>
      </c>
      <c r="BF130" s="27">
        <f t="shared" si="6"/>
        <v>0</v>
      </c>
      <c r="BG130" s="24"/>
      <c r="BH130" s="24"/>
      <c r="BI130" s="24"/>
      <c r="BJ130" s="28" t="str">
        <f t="shared" ref="BJ130:BK130" si="134">H130</f>
        <v/>
      </c>
      <c r="BK130" s="28" t="str">
        <f t="shared" si="134"/>
        <v/>
      </c>
      <c r="BL130" s="29" t="str">
        <f t="shared" si="8"/>
        <v/>
      </c>
    </row>
    <row r="131">
      <c r="A131" s="12" t="str">
        <f t="shared" si="2"/>
        <v/>
      </c>
      <c r="B131" s="13"/>
      <c r="C131" s="14"/>
      <c r="D131" s="15"/>
      <c r="E131" s="15"/>
      <c r="F131" s="15"/>
      <c r="G131" s="16"/>
      <c r="H131" s="14"/>
      <c r="I131" s="14"/>
      <c r="J131" s="16"/>
      <c r="K131" s="16"/>
      <c r="L131" s="17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>
        <f t="shared" si="3"/>
        <v>0</v>
      </c>
      <c r="BD131" s="18">
        <f t="shared" si="4"/>
        <v>0</v>
      </c>
      <c r="BE131" s="18">
        <f t="shared" si="5"/>
        <v>0</v>
      </c>
      <c r="BF131" s="18">
        <f t="shared" si="6"/>
        <v>0</v>
      </c>
      <c r="BG131" s="15"/>
      <c r="BH131" s="15"/>
      <c r="BI131" s="15"/>
      <c r="BJ131" s="19" t="str">
        <f t="shared" ref="BJ131:BK131" si="135">H131</f>
        <v/>
      </c>
      <c r="BK131" s="19" t="str">
        <f t="shared" si="135"/>
        <v/>
      </c>
      <c r="BL131" s="20" t="str">
        <f t="shared" si="8"/>
        <v/>
      </c>
    </row>
    <row r="132">
      <c r="A132" s="21" t="str">
        <f t="shared" si="2"/>
        <v/>
      </c>
      <c r="B132" s="22"/>
      <c r="C132" s="23"/>
      <c r="D132" s="24"/>
      <c r="E132" s="24"/>
      <c r="F132" s="24"/>
      <c r="G132" s="25"/>
      <c r="H132" s="23"/>
      <c r="I132" s="23"/>
      <c r="J132" s="25"/>
      <c r="K132" s="25"/>
      <c r="L132" s="26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>
        <f t="shared" si="3"/>
        <v>0</v>
      </c>
      <c r="BD132" s="27">
        <f t="shared" si="4"/>
        <v>0</v>
      </c>
      <c r="BE132" s="27">
        <f t="shared" si="5"/>
        <v>0</v>
      </c>
      <c r="BF132" s="27">
        <f t="shared" si="6"/>
        <v>0</v>
      </c>
      <c r="BG132" s="24"/>
      <c r="BH132" s="24"/>
      <c r="BI132" s="24"/>
      <c r="BJ132" s="28" t="str">
        <f t="shared" ref="BJ132:BK132" si="136">H132</f>
        <v/>
      </c>
      <c r="BK132" s="28" t="str">
        <f t="shared" si="136"/>
        <v/>
      </c>
      <c r="BL132" s="29" t="str">
        <f t="shared" si="8"/>
        <v/>
      </c>
    </row>
    <row r="133">
      <c r="A133" s="12" t="str">
        <f t="shared" si="2"/>
        <v/>
      </c>
      <c r="B133" s="13"/>
      <c r="C133" s="14"/>
      <c r="D133" s="15"/>
      <c r="E133" s="15"/>
      <c r="F133" s="15"/>
      <c r="G133" s="16"/>
      <c r="H133" s="14"/>
      <c r="I133" s="14"/>
      <c r="J133" s="16"/>
      <c r="K133" s="16"/>
      <c r="L133" s="17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>
        <f t="shared" si="3"/>
        <v>0</v>
      </c>
      <c r="BD133" s="18">
        <f t="shared" si="4"/>
        <v>0</v>
      </c>
      <c r="BE133" s="18">
        <f t="shared" si="5"/>
        <v>0</v>
      </c>
      <c r="BF133" s="18">
        <f t="shared" si="6"/>
        <v>0</v>
      </c>
      <c r="BG133" s="15"/>
      <c r="BH133" s="15"/>
      <c r="BI133" s="15"/>
      <c r="BJ133" s="19" t="str">
        <f t="shared" ref="BJ133:BK133" si="137">H133</f>
        <v/>
      </c>
      <c r="BK133" s="19" t="str">
        <f t="shared" si="137"/>
        <v/>
      </c>
      <c r="BL133" s="20" t="str">
        <f t="shared" si="8"/>
        <v/>
      </c>
    </row>
    <row r="134">
      <c r="A134" s="21" t="str">
        <f t="shared" si="2"/>
        <v/>
      </c>
      <c r="B134" s="22"/>
      <c r="C134" s="23"/>
      <c r="D134" s="24"/>
      <c r="E134" s="24"/>
      <c r="F134" s="24"/>
      <c r="G134" s="25"/>
      <c r="H134" s="23"/>
      <c r="I134" s="23"/>
      <c r="J134" s="25"/>
      <c r="K134" s="25"/>
      <c r="L134" s="26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>
        <f t="shared" si="3"/>
        <v>0</v>
      </c>
      <c r="BD134" s="27">
        <f t="shared" si="4"/>
        <v>0</v>
      </c>
      <c r="BE134" s="27">
        <f t="shared" si="5"/>
        <v>0</v>
      </c>
      <c r="BF134" s="27">
        <f t="shared" si="6"/>
        <v>0</v>
      </c>
      <c r="BG134" s="24"/>
      <c r="BH134" s="24"/>
      <c r="BI134" s="24"/>
      <c r="BJ134" s="28" t="str">
        <f t="shared" ref="BJ134:BK134" si="138">H134</f>
        <v/>
      </c>
      <c r="BK134" s="28" t="str">
        <f t="shared" si="138"/>
        <v/>
      </c>
      <c r="BL134" s="29" t="str">
        <f t="shared" si="8"/>
        <v/>
      </c>
    </row>
    <row r="135">
      <c r="A135" s="12" t="str">
        <f t="shared" si="2"/>
        <v/>
      </c>
      <c r="B135" s="13"/>
      <c r="C135" s="14"/>
      <c r="D135" s="15"/>
      <c r="E135" s="15"/>
      <c r="F135" s="15"/>
      <c r="G135" s="16"/>
      <c r="H135" s="14"/>
      <c r="I135" s="14"/>
      <c r="J135" s="16"/>
      <c r="K135" s="16"/>
      <c r="L135" s="17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>
        <f t="shared" si="3"/>
        <v>0</v>
      </c>
      <c r="BD135" s="18">
        <f t="shared" si="4"/>
        <v>0</v>
      </c>
      <c r="BE135" s="18">
        <f t="shared" si="5"/>
        <v>0</v>
      </c>
      <c r="BF135" s="18">
        <f t="shared" si="6"/>
        <v>0</v>
      </c>
      <c r="BG135" s="15"/>
      <c r="BH135" s="15"/>
      <c r="BI135" s="15"/>
      <c r="BJ135" s="19" t="str">
        <f t="shared" ref="BJ135:BK135" si="139">H135</f>
        <v/>
      </c>
      <c r="BK135" s="19" t="str">
        <f t="shared" si="139"/>
        <v/>
      </c>
      <c r="BL135" s="20" t="str">
        <f t="shared" si="8"/>
        <v/>
      </c>
    </row>
    <row r="136">
      <c r="A136" s="21" t="str">
        <f t="shared" si="2"/>
        <v/>
      </c>
      <c r="B136" s="22"/>
      <c r="C136" s="23"/>
      <c r="D136" s="24"/>
      <c r="E136" s="24"/>
      <c r="F136" s="24"/>
      <c r="G136" s="25"/>
      <c r="H136" s="23"/>
      <c r="I136" s="23"/>
      <c r="J136" s="25"/>
      <c r="K136" s="25"/>
      <c r="L136" s="26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>
        <f t="shared" si="3"/>
        <v>0</v>
      </c>
      <c r="BD136" s="27">
        <f t="shared" si="4"/>
        <v>0</v>
      </c>
      <c r="BE136" s="27">
        <f t="shared" si="5"/>
        <v>0</v>
      </c>
      <c r="BF136" s="27">
        <f t="shared" si="6"/>
        <v>0</v>
      </c>
      <c r="BG136" s="24"/>
      <c r="BH136" s="24"/>
      <c r="BI136" s="24"/>
      <c r="BJ136" s="28" t="str">
        <f t="shared" ref="BJ136:BK136" si="140">H136</f>
        <v/>
      </c>
      <c r="BK136" s="28" t="str">
        <f t="shared" si="140"/>
        <v/>
      </c>
      <c r="BL136" s="29" t="str">
        <f t="shared" si="8"/>
        <v/>
      </c>
    </row>
    <row r="137">
      <c r="A137" s="12" t="str">
        <f t="shared" si="2"/>
        <v/>
      </c>
      <c r="B137" s="13"/>
      <c r="C137" s="14"/>
      <c r="D137" s="15"/>
      <c r="E137" s="15"/>
      <c r="F137" s="15"/>
      <c r="G137" s="16"/>
      <c r="H137" s="14"/>
      <c r="I137" s="14"/>
      <c r="J137" s="16"/>
      <c r="K137" s="16"/>
      <c r="L137" s="17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>
        <f t="shared" si="3"/>
        <v>0</v>
      </c>
      <c r="BD137" s="18">
        <f t="shared" si="4"/>
        <v>0</v>
      </c>
      <c r="BE137" s="18">
        <f t="shared" si="5"/>
        <v>0</v>
      </c>
      <c r="BF137" s="18">
        <f t="shared" si="6"/>
        <v>0</v>
      </c>
      <c r="BG137" s="15"/>
      <c r="BH137" s="15"/>
      <c r="BI137" s="15"/>
      <c r="BJ137" s="19" t="str">
        <f t="shared" ref="BJ137:BK137" si="141">H137</f>
        <v/>
      </c>
      <c r="BK137" s="19" t="str">
        <f t="shared" si="141"/>
        <v/>
      </c>
      <c r="BL137" s="20" t="str">
        <f t="shared" si="8"/>
        <v/>
      </c>
    </row>
    <row r="138">
      <c r="A138" s="21" t="str">
        <f t="shared" si="2"/>
        <v/>
      </c>
      <c r="B138" s="22"/>
      <c r="C138" s="23"/>
      <c r="D138" s="24"/>
      <c r="E138" s="24"/>
      <c r="F138" s="24"/>
      <c r="G138" s="25"/>
      <c r="H138" s="23"/>
      <c r="I138" s="23"/>
      <c r="J138" s="25"/>
      <c r="K138" s="25"/>
      <c r="L138" s="26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>
        <f t="shared" si="3"/>
        <v>0</v>
      </c>
      <c r="BD138" s="27">
        <f t="shared" si="4"/>
        <v>0</v>
      </c>
      <c r="BE138" s="27">
        <f t="shared" si="5"/>
        <v>0</v>
      </c>
      <c r="BF138" s="27">
        <f t="shared" si="6"/>
        <v>0</v>
      </c>
      <c r="BG138" s="24"/>
      <c r="BH138" s="24"/>
      <c r="BI138" s="24"/>
      <c r="BJ138" s="28" t="str">
        <f t="shared" ref="BJ138:BK138" si="142">H138</f>
        <v/>
      </c>
      <c r="BK138" s="28" t="str">
        <f t="shared" si="142"/>
        <v/>
      </c>
      <c r="BL138" s="29" t="str">
        <f t="shared" si="8"/>
        <v/>
      </c>
    </row>
    <row r="139">
      <c r="A139" s="12" t="str">
        <f t="shared" si="2"/>
        <v/>
      </c>
      <c r="B139" s="13"/>
      <c r="C139" s="14"/>
      <c r="D139" s="15"/>
      <c r="E139" s="15"/>
      <c r="F139" s="15"/>
      <c r="G139" s="16"/>
      <c r="H139" s="14"/>
      <c r="I139" s="14"/>
      <c r="J139" s="16"/>
      <c r="K139" s="16"/>
      <c r="L139" s="17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>
        <f t="shared" si="3"/>
        <v>0</v>
      </c>
      <c r="BD139" s="18">
        <f t="shared" si="4"/>
        <v>0</v>
      </c>
      <c r="BE139" s="18">
        <f t="shared" si="5"/>
        <v>0</v>
      </c>
      <c r="BF139" s="18">
        <f t="shared" si="6"/>
        <v>0</v>
      </c>
      <c r="BG139" s="15"/>
      <c r="BH139" s="15"/>
      <c r="BI139" s="15"/>
      <c r="BJ139" s="19" t="str">
        <f t="shared" ref="BJ139:BK139" si="143">H139</f>
        <v/>
      </c>
      <c r="BK139" s="19" t="str">
        <f t="shared" si="143"/>
        <v/>
      </c>
      <c r="BL139" s="20" t="str">
        <f t="shared" si="8"/>
        <v/>
      </c>
    </row>
    <row r="140">
      <c r="A140" s="21" t="str">
        <f t="shared" si="2"/>
        <v/>
      </c>
      <c r="B140" s="22"/>
      <c r="C140" s="23"/>
      <c r="D140" s="24"/>
      <c r="E140" s="24"/>
      <c r="F140" s="24"/>
      <c r="G140" s="25"/>
      <c r="H140" s="23"/>
      <c r="I140" s="23"/>
      <c r="J140" s="25"/>
      <c r="K140" s="25"/>
      <c r="L140" s="26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>
        <f t="shared" si="3"/>
        <v>0</v>
      </c>
      <c r="BD140" s="27">
        <f t="shared" si="4"/>
        <v>0</v>
      </c>
      <c r="BE140" s="27">
        <f t="shared" si="5"/>
        <v>0</v>
      </c>
      <c r="BF140" s="27">
        <f t="shared" si="6"/>
        <v>0</v>
      </c>
      <c r="BG140" s="24"/>
      <c r="BH140" s="24"/>
      <c r="BI140" s="24"/>
      <c r="BJ140" s="28" t="str">
        <f t="shared" ref="BJ140:BK140" si="144">H140</f>
        <v/>
      </c>
      <c r="BK140" s="28" t="str">
        <f t="shared" si="144"/>
        <v/>
      </c>
      <c r="BL140" s="29" t="str">
        <f t="shared" si="8"/>
        <v/>
      </c>
    </row>
    <row r="141">
      <c r="A141" s="12" t="str">
        <f t="shared" si="2"/>
        <v/>
      </c>
      <c r="B141" s="13"/>
      <c r="C141" s="14"/>
      <c r="D141" s="15"/>
      <c r="E141" s="15"/>
      <c r="F141" s="15"/>
      <c r="G141" s="16"/>
      <c r="H141" s="14"/>
      <c r="I141" s="14"/>
      <c r="J141" s="16"/>
      <c r="K141" s="16"/>
      <c r="L141" s="17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>
        <f t="shared" si="3"/>
        <v>0</v>
      </c>
      <c r="BD141" s="18">
        <f t="shared" si="4"/>
        <v>0</v>
      </c>
      <c r="BE141" s="18">
        <f t="shared" si="5"/>
        <v>0</v>
      </c>
      <c r="BF141" s="18">
        <f t="shared" si="6"/>
        <v>0</v>
      </c>
      <c r="BG141" s="15"/>
      <c r="BH141" s="15"/>
      <c r="BI141" s="15"/>
      <c r="BJ141" s="19" t="str">
        <f t="shared" ref="BJ141:BK141" si="145">H141</f>
        <v/>
      </c>
      <c r="BK141" s="19" t="str">
        <f t="shared" si="145"/>
        <v/>
      </c>
      <c r="BL141" s="20" t="str">
        <f t="shared" si="8"/>
        <v/>
      </c>
    </row>
    <row r="142">
      <c r="A142" s="21" t="str">
        <f t="shared" si="2"/>
        <v/>
      </c>
      <c r="B142" s="22"/>
      <c r="C142" s="23"/>
      <c r="D142" s="24"/>
      <c r="E142" s="24"/>
      <c r="F142" s="24"/>
      <c r="G142" s="25"/>
      <c r="H142" s="23"/>
      <c r="I142" s="23"/>
      <c r="J142" s="25"/>
      <c r="K142" s="25"/>
      <c r="L142" s="26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>
        <f t="shared" si="3"/>
        <v>0</v>
      </c>
      <c r="BD142" s="27">
        <f t="shared" si="4"/>
        <v>0</v>
      </c>
      <c r="BE142" s="27">
        <f t="shared" si="5"/>
        <v>0</v>
      </c>
      <c r="BF142" s="27">
        <f t="shared" si="6"/>
        <v>0</v>
      </c>
      <c r="BG142" s="24"/>
      <c r="BH142" s="24"/>
      <c r="BI142" s="24"/>
      <c r="BJ142" s="28" t="str">
        <f t="shared" ref="BJ142:BK142" si="146">H142</f>
        <v/>
      </c>
      <c r="BK142" s="28" t="str">
        <f t="shared" si="146"/>
        <v/>
      </c>
      <c r="BL142" s="29" t="str">
        <f t="shared" si="8"/>
        <v/>
      </c>
    </row>
    <row r="143">
      <c r="A143" s="12" t="str">
        <f t="shared" si="2"/>
        <v/>
      </c>
      <c r="B143" s="13"/>
      <c r="C143" s="14"/>
      <c r="D143" s="15"/>
      <c r="E143" s="15"/>
      <c r="F143" s="15"/>
      <c r="G143" s="16"/>
      <c r="H143" s="14"/>
      <c r="I143" s="14"/>
      <c r="J143" s="16"/>
      <c r="K143" s="14"/>
      <c r="L143" s="17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>
        <f t="shared" si="3"/>
        <v>0</v>
      </c>
      <c r="BD143" s="18">
        <f t="shared" si="4"/>
        <v>0</v>
      </c>
      <c r="BE143" s="18">
        <f t="shared" si="5"/>
        <v>0</v>
      </c>
      <c r="BF143" s="18">
        <f t="shared" si="6"/>
        <v>0</v>
      </c>
      <c r="BG143" s="15"/>
      <c r="BH143" s="15"/>
      <c r="BI143" s="15"/>
      <c r="BJ143" s="19" t="str">
        <f t="shared" ref="BJ143:BK143" si="147">H143</f>
        <v/>
      </c>
      <c r="BK143" s="19" t="str">
        <f t="shared" si="147"/>
        <v/>
      </c>
      <c r="BL143" s="20" t="str">
        <f t="shared" si="8"/>
        <v/>
      </c>
    </row>
    <row r="144">
      <c r="A144" s="21" t="str">
        <f t="shared" si="2"/>
        <v/>
      </c>
      <c r="B144" s="22"/>
      <c r="C144" s="23"/>
      <c r="D144" s="24"/>
      <c r="E144" s="24"/>
      <c r="F144" s="24"/>
      <c r="G144" s="25"/>
      <c r="H144" s="23"/>
      <c r="I144" s="23"/>
      <c r="J144" s="25"/>
      <c r="K144" s="25"/>
      <c r="L144" s="26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>
        <f t="shared" si="3"/>
        <v>0</v>
      </c>
      <c r="BD144" s="27">
        <f t="shared" si="4"/>
        <v>0</v>
      </c>
      <c r="BE144" s="27">
        <f t="shared" si="5"/>
        <v>0</v>
      </c>
      <c r="BF144" s="27">
        <f t="shared" si="6"/>
        <v>0</v>
      </c>
      <c r="BG144" s="24"/>
      <c r="BH144" s="24"/>
      <c r="BI144" s="24"/>
      <c r="BJ144" s="28" t="str">
        <f t="shared" ref="BJ144:BK144" si="148">H144</f>
        <v/>
      </c>
      <c r="BK144" s="28" t="str">
        <f t="shared" si="148"/>
        <v/>
      </c>
      <c r="BL144" s="29" t="str">
        <f t="shared" si="8"/>
        <v/>
      </c>
    </row>
    <row r="145">
      <c r="A145" s="12" t="str">
        <f t="shared" si="2"/>
        <v/>
      </c>
      <c r="B145" s="13"/>
      <c r="C145" s="14"/>
      <c r="D145" s="15"/>
      <c r="E145" s="15"/>
      <c r="F145" s="15"/>
      <c r="G145" s="16"/>
      <c r="H145" s="14"/>
      <c r="I145" s="14"/>
      <c r="J145" s="16"/>
      <c r="K145" s="16"/>
      <c r="L145" s="17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>
        <f t="shared" si="3"/>
        <v>0</v>
      </c>
      <c r="BD145" s="18">
        <f t="shared" si="4"/>
        <v>0</v>
      </c>
      <c r="BE145" s="18">
        <f t="shared" si="5"/>
        <v>0</v>
      </c>
      <c r="BF145" s="18">
        <f t="shared" si="6"/>
        <v>0</v>
      </c>
      <c r="BG145" s="15"/>
      <c r="BH145" s="15"/>
      <c r="BI145" s="15"/>
      <c r="BJ145" s="19" t="str">
        <f t="shared" ref="BJ145:BK145" si="149">H145</f>
        <v/>
      </c>
      <c r="BK145" s="19" t="str">
        <f t="shared" si="149"/>
        <v/>
      </c>
      <c r="BL145" s="20" t="str">
        <f t="shared" si="8"/>
        <v/>
      </c>
    </row>
    <row r="146">
      <c r="A146" s="21" t="str">
        <f t="shared" si="2"/>
        <v/>
      </c>
      <c r="B146" s="22"/>
      <c r="C146" s="23"/>
      <c r="D146" s="24"/>
      <c r="E146" s="24"/>
      <c r="F146" s="24"/>
      <c r="G146" s="25"/>
      <c r="H146" s="23"/>
      <c r="I146" s="23"/>
      <c r="J146" s="25"/>
      <c r="K146" s="25"/>
      <c r="L146" s="26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>
        <f t="shared" si="3"/>
        <v>0</v>
      </c>
      <c r="BD146" s="27">
        <f t="shared" si="4"/>
        <v>0</v>
      </c>
      <c r="BE146" s="27">
        <f t="shared" si="5"/>
        <v>0</v>
      </c>
      <c r="BF146" s="27">
        <f t="shared" si="6"/>
        <v>0</v>
      </c>
      <c r="BG146" s="24"/>
      <c r="BH146" s="24"/>
      <c r="BI146" s="24"/>
      <c r="BJ146" s="28" t="str">
        <f t="shared" ref="BJ146:BK146" si="150">H146</f>
        <v/>
      </c>
      <c r="BK146" s="28" t="str">
        <f t="shared" si="150"/>
        <v/>
      </c>
      <c r="BL146" s="29" t="str">
        <f t="shared" si="8"/>
        <v/>
      </c>
    </row>
    <row r="147">
      <c r="A147" s="12" t="str">
        <f t="shared" si="2"/>
        <v/>
      </c>
      <c r="B147" s="13"/>
      <c r="C147" s="14"/>
      <c r="D147" s="15"/>
      <c r="E147" s="15"/>
      <c r="F147" s="15"/>
      <c r="G147" s="16"/>
      <c r="H147" s="14"/>
      <c r="I147" s="14"/>
      <c r="J147" s="16"/>
      <c r="K147" s="16"/>
      <c r="L147" s="17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>
        <f t="shared" si="3"/>
        <v>0</v>
      </c>
      <c r="BD147" s="18">
        <f t="shared" si="4"/>
        <v>0</v>
      </c>
      <c r="BE147" s="18">
        <f t="shared" si="5"/>
        <v>0</v>
      </c>
      <c r="BF147" s="18">
        <f t="shared" si="6"/>
        <v>0</v>
      </c>
      <c r="BG147" s="15"/>
      <c r="BH147" s="15"/>
      <c r="BI147" s="15"/>
      <c r="BJ147" s="19" t="str">
        <f t="shared" ref="BJ147:BK147" si="151">H147</f>
        <v/>
      </c>
      <c r="BK147" s="19" t="str">
        <f t="shared" si="151"/>
        <v/>
      </c>
      <c r="BL147" s="20" t="str">
        <f t="shared" si="8"/>
        <v/>
      </c>
    </row>
    <row r="148">
      <c r="A148" s="21" t="str">
        <f t="shared" si="2"/>
        <v/>
      </c>
      <c r="B148" s="22"/>
      <c r="C148" s="23"/>
      <c r="D148" s="24"/>
      <c r="E148" s="24"/>
      <c r="F148" s="24"/>
      <c r="G148" s="25"/>
      <c r="H148" s="23"/>
      <c r="I148" s="23"/>
      <c r="J148" s="25"/>
      <c r="K148" s="25"/>
      <c r="L148" s="26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>
        <f t="shared" si="3"/>
        <v>0</v>
      </c>
      <c r="BD148" s="27">
        <f t="shared" si="4"/>
        <v>0</v>
      </c>
      <c r="BE148" s="27">
        <f t="shared" si="5"/>
        <v>0</v>
      </c>
      <c r="BF148" s="27">
        <f t="shared" si="6"/>
        <v>0</v>
      </c>
      <c r="BG148" s="24"/>
      <c r="BH148" s="24"/>
      <c r="BI148" s="24"/>
      <c r="BJ148" s="28" t="str">
        <f t="shared" ref="BJ148:BK148" si="152">H148</f>
        <v/>
      </c>
      <c r="BK148" s="28" t="str">
        <f t="shared" si="152"/>
        <v/>
      </c>
      <c r="BL148" s="29" t="str">
        <f t="shared" si="8"/>
        <v/>
      </c>
    </row>
    <row r="149">
      <c r="A149" s="12" t="str">
        <f t="shared" si="2"/>
        <v/>
      </c>
      <c r="B149" s="13"/>
      <c r="C149" s="14"/>
      <c r="D149" s="15"/>
      <c r="E149" s="15"/>
      <c r="F149" s="15"/>
      <c r="G149" s="16"/>
      <c r="H149" s="14"/>
      <c r="I149" s="14"/>
      <c r="J149" s="16"/>
      <c r="K149" s="16"/>
      <c r="L149" s="17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>
        <f t="shared" si="3"/>
        <v>0</v>
      </c>
      <c r="BD149" s="18">
        <f t="shared" si="4"/>
        <v>0</v>
      </c>
      <c r="BE149" s="18">
        <f t="shared" si="5"/>
        <v>0</v>
      </c>
      <c r="BF149" s="18">
        <f t="shared" si="6"/>
        <v>0</v>
      </c>
      <c r="BG149" s="15"/>
      <c r="BH149" s="15"/>
      <c r="BI149" s="15"/>
      <c r="BJ149" s="19" t="str">
        <f t="shared" ref="BJ149:BK149" si="153">H149</f>
        <v/>
      </c>
      <c r="BK149" s="19" t="str">
        <f t="shared" si="153"/>
        <v/>
      </c>
      <c r="BL149" s="20" t="str">
        <f t="shared" si="8"/>
        <v/>
      </c>
    </row>
    <row r="150">
      <c r="A150" s="21" t="str">
        <f t="shared" si="2"/>
        <v/>
      </c>
      <c r="B150" s="22"/>
      <c r="C150" s="23"/>
      <c r="D150" s="24"/>
      <c r="E150" s="24"/>
      <c r="F150" s="24"/>
      <c r="G150" s="25"/>
      <c r="H150" s="23"/>
      <c r="I150" s="23"/>
      <c r="J150" s="25"/>
      <c r="K150" s="25"/>
      <c r="L150" s="26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>
        <f t="shared" si="3"/>
        <v>0</v>
      </c>
      <c r="BD150" s="27">
        <f t="shared" si="4"/>
        <v>0</v>
      </c>
      <c r="BE150" s="27">
        <f t="shared" si="5"/>
        <v>0</v>
      </c>
      <c r="BF150" s="27">
        <f t="shared" si="6"/>
        <v>0</v>
      </c>
      <c r="BG150" s="24"/>
      <c r="BH150" s="24"/>
      <c r="BI150" s="24"/>
      <c r="BJ150" s="28" t="str">
        <f t="shared" ref="BJ150:BK150" si="154">H150</f>
        <v/>
      </c>
      <c r="BK150" s="28" t="str">
        <f t="shared" si="154"/>
        <v/>
      </c>
      <c r="BL150" s="29" t="str">
        <f t="shared" si="8"/>
        <v/>
      </c>
    </row>
    <row r="151">
      <c r="A151" s="12" t="str">
        <f t="shared" si="2"/>
        <v/>
      </c>
      <c r="B151" s="13"/>
      <c r="C151" s="14"/>
      <c r="D151" s="15"/>
      <c r="E151" s="15"/>
      <c r="F151" s="15"/>
      <c r="G151" s="16"/>
      <c r="H151" s="14"/>
      <c r="I151" s="14"/>
      <c r="J151" s="16"/>
      <c r="K151" s="16"/>
      <c r="L151" s="17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>
        <f t="shared" si="3"/>
        <v>0</v>
      </c>
      <c r="BD151" s="18">
        <f t="shared" si="4"/>
        <v>0</v>
      </c>
      <c r="BE151" s="18">
        <f t="shared" si="5"/>
        <v>0</v>
      </c>
      <c r="BF151" s="18">
        <f t="shared" si="6"/>
        <v>0</v>
      </c>
      <c r="BG151" s="15"/>
      <c r="BH151" s="15"/>
      <c r="BI151" s="15"/>
      <c r="BJ151" s="19" t="str">
        <f t="shared" ref="BJ151:BK151" si="155">H151</f>
        <v/>
      </c>
      <c r="BK151" s="19" t="str">
        <f t="shared" si="155"/>
        <v/>
      </c>
      <c r="BL151" s="20" t="str">
        <f t="shared" si="8"/>
        <v/>
      </c>
    </row>
    <row r="152">
      <c r="A152" s="21" t="str">
        <f t="shared" si="2"/>
        <v/>
      </c>
      <c r="B152" s="22"/>
      <c r="C152" s="23"/>
      <c r="D152" s="24"/>
      <c r="E152" s="24"/>
      <c r="F152" s="24"/>
      <c r="G152" s="25"/>
      <c r="H152" s="23"/>
      <c r="I152" s="23"/>
      <c r="J152" s="25"/>
      <c r="K152" s="25"/>
      <c r="L152" s="26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>
        <f t="shared" si="3"/>
        <v>0</v>
      </c>
      <c r="BD152" s="27">
        <f t="shared" si="4"/>
        <v>0</v>
      </c>
      <c r="BE152" s="27">
        <f t="shared" si="5"/>
        <v>0</v>
      </c>
      <c r="BF152" s="27">
        <f t="shared" si="6"/>
        <v>0</v>
      </c>
      <c r="BG152" s="24"/>
      <c r="BH152" s="24"/>
      <c r="BI152" s="24"/>
      <c r="BJ152" s="28" t="str">
        <f t="shared" ref="BJ152:BK152" si="156">H152</f>
        <v/>
      </c>
      <c r="BK152" s="28" t="str">
        <f t="shared" si="156"/>
        <v/>
      </c>
      <c r="BL152" s="29" t="str">
        <f t="shared" si="8"/>
        <v/>
      </c>
    </row>
    <row r="153">
      <c r="A153" s="12" t="str">
        <f t="shared" si="2"/>
        <v/>
      </c>
      <c r="B153" s="13"/>
      <c r="C153" s="14"/>
      <c r="D153" s="15"/>
      <c r="E153" s="15"/>
      <c r="F153" s="15"/>
      <c r="G153" s="16"/>
      <c r="H153" s="14"/>
      <c r="I153" s="14"/>
      <c r="J153" s="16"/>
      <c r="K153" s="16"/>
      <c r="L153" s="17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>
        <f t="shared" si="3"/>
        <v>0</v>
      </c>
      <c r="BD153" s="18">
        <f t="shared" si="4"/>
        <v>0</v>
      </c>
      <c r="BE153" s="18">
        <f t="shared" si="5"/>
        <v>0</v>
      </c>
      <c r="BF153" s="18">
        <f t="shared" si="6"/>
        <v>0</v>
      </c>
      <c r="BG153" s="15"/>
      <c r="BH153" s="15"/>
      <c r="BI153" s="15"/>
      <c r="BJ153" s="19" t="str">
        <f t="shared" ref="BJ153:BK153" si="157">H153</f>
        <v/>
      </c>
      <c r="BK153" s="19" t="str">
        <f t="shared" si="157"/>
        <v/>
      </c>
      <c r="BL153" s="20" t="str">
        <f t="shared" si="8"/>
        <v/>
      </c>
    </row>
    <row r="154">
      <c r="A154" s="21" t="str">
        <f t="shared" si="2"/>
        <v/>
      </c>
      <c r="B154" s="22"/>
      <c r="C154" s="23"/>
      <c r="D154" s="24"/>
      <c r="E154" s="24"/>
      <c r="F154" s="24"/>
      <c r="G154" s="25"/>
      <c r="H154" s="23"/>
      <c r="I154" s="23"/>
      <c r="J154" s="25"/>
      <c r="K154" s="25"/>
      <c r="L154" s="26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>
        <f t="shared" si="3"/>
        <v>0</v>
      </c>
      <c r="BD154" s="27">
        <f t="shared" si="4"/>
        <v>0</v>
      </c>
      <c r="BE154" s="27">
        <f t="shared" si="5"/>
        <v>0</v>
      </c>
      <c r="BF154" s="27">
        <f t="shared" si="6"/>
        <v>0</v>
      </c>
      <c r="BG154" s="24"/>
      <c r="BH154" s="24"/>
      <c r="BI154" s="24"/>
      <c r="BJ154" s="28" t="str">
        <f t="shared" ref="BJ154:BK154" si="158">H154</f>
        <v/>
      </c>
      <c r="BK154" s="28" t="str">
        <f t="shared" si="158"/>
        <v/>
      </c>
      <c r="BL154" s="29" t="str">
        <f t="shared" si="8"/>
        <v/>
      </c>
    </row>
    <row r="155">
      <c r="A155" s="12" t="str">
        <f t="shared" si="2"/>
        <v/>
      </c>
      <c r="B155" s="13"/>
      <c r="C155" s="14"/>
      <c r="D155" s="15"/>
      <c r="E155" s="15"/>
      <c r="F155" s="15"/>
      <c r="G155" s="16"/>
      <c r="H155" s="14"/>
      <c r="I155" s="14"/>
      <c r="J155" s="16"/>
      <c r="K155" s="16"/>
      <c r="L155" s="17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>
        <f t="shared" si="3"/>
        <v>0</v>
      </c>
      <c r="BD155" s="18">
        <f t="shared" si="4"/>
        <v>0</v>
      </c>
      <c r="BE155" s="18">
        <f t="shared" si="5"/>
        <v>0</v>
      </c>
      <c r="BF155" s="18">
        <f t="shared" si="6"/>
        <v>0</v>
      </c>
      <c r="BG155" s="15"/>
      <c r="BH155" s="15"/>
      <c r="BI155" s="15"/>
      <c r="BJ155" s="19" t="str">
        <f t="shared" ref="BJ155:BK155" si="159">H155</f>
        <v/>
      </c>
      <c r="BK155" s="19" t="str">
        <f t="shared" si="159"/>
        <v/>
      </c>
      <c r="BL155" s="20" t="str">
        <f t="shared" si="8"/>
        <v/>
      </c>
    </row>
    <row r="156">
      <c r="A156" s="21" t="str">
        <f t="shared" si="2"/>
        <v/>
      </c>
      <c r="B156" s="22"/>
      <c r="C156" s="23"/>
      <c r="D156" s="24"/>
      <c r="E156" s="24"/>
      <c r="F156" s="24"/>
      <c r="G156" s="25"/>
      <c r="H156" s="23"/>
      <c r="I156" s="23"/>
      <c r="J156" s="25"/>
      <c r="K156" s="25"/>
      <c r="L156" s="26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>
        <f t="shared" si="3"/>
        <v>0</v>
      </c>
      <c r="BD156" s="27">
        <f t="shared" si="4"/>
        <v>0</v>
      </c>
      <c r="BE156" s="27">
        <f t="shared" si="5"/>
        <v>0</v>
      </c>
      <c r="BF156" s="27">
        <f t="shared" si="6"/>
        <v>0</v>
      </c>
      <c r="BG156" s="24"/>
      <c r="BH156" s="24"/>
      <c r="BI156" s="24"/>
      <c r="BJ156" s="28" t="str">
        <f t="shared" ref="BJ156:BK156" si="160">H156</f>
        <v/>
      </c>
      <c r="BK156" s="28" t="str">
        <f t="shared" si="160"/>
        <v/>
      </c>
      <c r="BL156" s="29" t="str">
        <f t="shared" si="8"/>
        <v/>
      </c>
    </row>
    <row r="157">
      <c r="A157" s="12" t="str">
        <f t="shared" si="2"/>
        <v/>
      </c>
      <c r="B157" s="13"/>
      <c r="C157" s="14"/>
      <c r="D157" s="15"/>
      <c r="E157" s="15"/>
      <c r="F157" s="15"/>
      <c r="G157" s="16"/>
      <c r="H157" s="14"/>
      <c r="I157" s="14"/>
      <c r="J157" s="16"/>
      <c r="K157" s="16"/>
      <c r="L157" s="17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>
        <f t="shared" si="3"/>
        <v>0</v>
      </c>
      <c r="BD157" s="18">
        <f t="shared" si="4"/>
        <v>0</v>
      </c>
      <c r="BE157" s="18">
        <f t="shared" si="5"/>
        <v>0</v>
      </c>
      <c r="BF157" s="18">
        <f t="shared" si="6"/>
        <v>0</v>
      </c>
      <c r="BG157" s="15"/>
      <c r="BH157" s="15"/>
      <c r="BI157" s="15"/>
      <c r="BJ157" s="19" t="str">
        <f t="shared" ref="BJ157:BK157" si="161">H157</f>
        <v/>
      </c>
      <c r="BK157" s="19" t="str">
        <f t="shared" si="161"/>
        <v/>
      </c>
      <c r="BL157" s="20" t="str">
        <f t="shared" si="8"/>
        <v/>
      </c>
    </row>
    <row r="158">
      <c r="A158" s="21" t="str">
        <f t="shared" si="2"/>
        <v/>
      </c>
      <c r="B158" s="22"/>
      <c r="C158" s="23"/>
      <c r="D158" s="24"/>
      <c r="E158" s="24"/>
      <c r="F158" s="24"/>
      <c r="G158" s="25"/>
      <c r="H158" s="23"/>
      <c r="I158" s="23"/>
      <c r="J158" s="25"/>
      <c r="K158" s="23"/>
      <c r="L158" s="26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>
        <f t="shared" si="3"/>
        <v>0</v>
      </c>
      <c r="BD158" s="27">
        <f t="shared" si="4"/>
        <v>0</v>
      </c>
      <c r="BE158" s="27">
        <f t="shared" si="5"/>
        <v>0</v>
      </c>
      <c r="BF158" s="27">
        <f t="shared" si="6"/>
        <v>0</v>
      </c>
      <c r="BG158" s="24"/>
      <c r="BH158" s="24"/>
      <c r="BI158" s="24"/>
      <c r="BJ158" s="28" t="str">
        <f t="shared" ref="BJ158:BK158" si="162">H158</f>
        <v/>
      </c>
      <c r="BK158" s="28" t="str">
        <f t="shared" si="162"/>
        <v/>
      </c>
      <c r="BL158" s="29" t="str">
        <f t="shared" si="8"/>
        <v/>
      </c>
    </row>
    <row r="159">
      <c r="A159" s="12" t="str">
        <f t="shared" si="2"/>
        <v/>
      </c>
      <c r="B159" s="13"/>
      <c r="C159" s="14"/>
      <c r="D159" s="15"/>
      <c r="E159" s="15"/>
      <c r="F159" s="15"/>
      <c r="G159" s="16"/>
      <c r="H159" s="14"/>
      <c r="I159" s="14"/>
      <c r="J159" s="16"/>
      <c r="K159" s="16"/>
      <c r="L159" s="17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>
        <f t="shared" si="3"/>
        <v>0</v>
      </c>
      <c r="BD159" s="18">
        <f t="shared" si="4"/>
        <v>0</v>
      </c>
      <c r="BE159" s="18">
        <f t="shared" si="5"/>
        <v>0</v>
      </c>
      <c r="BF159" s="18">
        <f t="shared" si="6"/>
        <v>0</v>
      </c>
      <c r="BG159" s="15"/>
      <c r="BH159" s="15"/>
      <c r="BI159" s="15"/>
      <c r="BJ159" s="19" t="str">
        <f t="shared" ref="BJ159:BK159" si="163">H159</f>
        <v/>
      </c>
      <c r="BK159" s="19" t="str">
        <f t="shared" si="163"/>
        <v/>
      </c>
      <c r="BL159" s="20" t="str">
        <f t="shared" si="8"/>
        <v/>
      </c>
    </row>
    <row r="160">
      <c r="A160" s="21" t="str">
        <f t="shared" si="2"/>
        <v/>
      </c>
      <c r="B160" s="22"/>
      <c r="C160" s="23"/>
      <c r="D160" s="24"/>
      <c r="E160" s="24"/>
      <c r="F160" s="24"/>
      <c r="G160" s="25"/>
      <c r="H160" s="23"/>
      <c r="I160" s="23"/>
      <c r="J160" s="25"/>
      <c r="K160" s="25"/>
      <c r="L160" s="26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>
        <f t="shared" si="3"/>
        <v>0</v>
      </c>
      <c r="BD160" s="27">
        <f t="shared" si="4"/>
        <v>0</v>
      </c>
      <c r="BE160" s="27">
        <f t="shared" si="5"/>
        <v>0</v>
      </c>
      <c r="BF160" s="27">
        <f t="shared" si="6"/>
        <v>0</v>
      </c>
      <c r="BG160" s="24"/>
      <c r="BH160" s="24"/>
      <c r="BI160" s="24"/>
      <c r="BJ160" s="28" t="str">
        <f t="shared" ref="BJ160:BK160" si="164">H160</f>
        <v/>
      </c>
      <c r="BK160" s="28" t="str">
        <f t="shared" si="164"/>
        <v/>
      </c>
      <c r="BL160" s="29" t="str">
        <f t="shared" si="8"/>
        <v/>
      </c>
    </row>
    <row r="161">
      <c r="A161" s="12" t="str">
        <f t="shared" si="2"/>
        <v/>
      </c>
      <c r="B161" s="13"/>
      <c r="C161" s="14"/>
      <c r="D161" s="15"/>
      <c r="E161" s="15"/>
      <c r="F161" s="15"/>
      <c r="G161" s="16"/>
      <c r="H161" s="14"/>
      <c r="I161" s="14"/>
      <c r="J161" s="16"/>
      <c r="K161" s="16"/>
      <c r="L161" s="17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>
        <f t="shared" si="3"/>
        <v>0</v>
      </c>
      <c r="BD161" s="18">
        <f t="shared" si="4"/>
        <v>0</v>
      </c>
      <c r="BE161" s="18">
        <f t="shared" si="5"/>
        <v>0</v>
      </c>
      <c r="BF161" s="18">
        <f t="shared" si="6"/>
        <v>0</v>
      </c>
      <c r="BG161" s="15"/>
      <c r="BH161" s="15"/>
      <c r="BI161" s="15"/>
      <c r="BJ161" s="19" t="str">
        <f t="shared" ref="BJ161:BK161" si="165">H161</f>
        <v/>
      </c>
      <c r="BK161" s="19" t="str">
        <f t="shared" si="165"/>
        <v/>
      </c>
      <c r="BL161" s="20" t="str">
        <f t="shared" si="8"/>
        <v/>
      </c>
    </row>
    <row r="162">
      <c r="A162" s="21" t="str">
        <f t="shared" si="2"/>
        <v/>
      </c>
      <c r="B162" s="22"/>
      <c r="C162" s="23"/>
      <c r="D162" s="24"/>
      <c r="E162" s="24"/>
      <c r="F162" s="24"/>
      <c r="G162" s="25"/>
      <c r="H162" s="23"/>
      <c r="I162" s="23"/>
      <c r="J162" s="25"/>
      <c r="K162" s="25"/>
      <c r="L162" s="26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>
        <f t="shared" si="3"/>
        <v>0</v>
      </c>
      <c r="BD162" s="27">
        <f t="shared" si="4"/>
        <v>0</v>
      </c>
      <c r="BE162" s="27">
        <f t="shared" si="5"/>
        <v>0</v>
      </c>
      <c r="BF162" s="27">
        <f t="shared" si="6"/>
        <v>0</v>
      </c>
      <c r="BG162" s="24"/>
      <c r="BH162" s="24"/>
      <c r="BI162" s="24"/>
      <c r="BJ162" s="28" t="str">
        <f t="shared" ref="BJ162:BK162" si="166">H162</f>
        <v/>
      </c>
      <c r="BK162" s="28" t="str">
        <f t="shared" si="166"/>
        <v/>
      </c>
      <c r="BL162" s="29" t="str">
        <f t="shared" si="8"/>
        <v/>
      </c>
    </row>
    <row r="163">
      <c r="A163" s="12" t="str">
        <f t="shared" si="2"/>
        <v/>
      </c>
      <c r="B163" s="13"/>
      <c r="C163" s="14"/>
      <c r="D163" s="15"/>
      <c r="E163" s="15"/>
      <c r="F163" s="15"/>
      <c r="G163" s="16"/>
      <c r="H163" s="14"/>
      <c r="I163" s="14"/>
      <c r="J163" s="16"/>
      <c r="K163" s="16"/>
      <c r="L163" s="17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>
        <f t="shared" si="3"/>
        <v>0</v>
      </c>
      <c r="BD163" s="18">
        <f t="shared" si="4"/>
        <v>0</v>
      </c>
      <c r="BE163" s="18">
        <f t="shared" si="5"/>
        <v>0</v>
      </c>
      <c r="BF163" s="18">
        <f t="shared" si="6"/>
        <v>0</v>
      </c>
      <c r="BG163" s="15"/>
      <c r="BH163" s="15"/>
      <c r="BI163" s="15"/>
      <c r="BJ163" s="19" t="str">
        <f t="shared" ref="BJ163:BK163" si="167">H163</f>
        <v/>
      </c>
      <c r="BK163" s="19" t="str">
        <f t="shared" si="167"/>
        <v/>
      </c>
      <c r="BL163" s="20" t="str">
        <f t="shared" si="8"/>
        <v/>
      </c>
    </row>
    <row r="164">
      <c r="A164" s="21" t="str">
        <f t="shared" si="2"/>
        <v/>
      </c>
      <c r="B164" s="22"/>
      <c r="C164" s="23"/>
      <c r="D164" s="24"/>
      <c r="E164" s="24"/>
      <c r="F164" s="24"/>
      <c r="G164" s="25"/>
      <c r="H164" s="23"/>
      <c r="I164" s="23"/>
      <c r="J164" s="25"/>
      <c r="K164" s="23"/>
      <c r="L164" s="26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>
        <f t="shared" si="3"/>
        <v>0</v>
      </c>
      <c r="BD164" s="27">
        <f t="shared" si="4"/>
        <v>0</v>
      </c>
      <c r="BE164" s="27">
        <f t="shared" si="5"/>
        <v>0</v>
      </c>
      <c r="BF164" s="27">
        <f t="shared" si="6"/>
        <v>0</v>
      </c>
      <c r="BG164" s="24"/>
      <c r="BH164" s="24"/>
      <c r="BI164" s="24"/>
      <c r="BJ164" s="28" t="str">
        <f t="shared" ref="BJ164:BK164" si="168">H164</f>
        <v/>
      </c>
      <c r="BK164" s="28" t="str">
        <f t="shared" si="168"/>
        <v/>
      </c>
      <c r="BL164" s="29" t="str">
        <f t="shared" si="8"/>
        <v/>
      </c>
    </row>
    <row r="165">
      <c r="A165" s="12" t="str">
        <f t="shared" si="2"/>
        <v/>
      </c>
      <c r="B165" s="13"/>
      <c r="C165" s="14"/>
      <c r="D165" s="15"/>
      <c r="E165" s="15"/>
      <c r="F165" s="15"/>
      <c r="G165" s="16"/>
      <c r="H165" s="14"/>
      <c r="I165" s="14"/>
      <c r="J165" s="16"/>
      <c r="K165" s="16"/>
      <c r="L165" s="17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>
        <f t="shared" si="3"/>
        <v>0</v>
      </c>
      <c r="BD165" s="18">
        <f t="shared" si="4"/>
        <v>0</v>
      </c>
      <c r="BE165" s="18">
        <f t="shared" si="5"/>
        <v>0</v>
      </c>
      <c r="BF165" s="18">
        <f t="shared" si="6"/>
        <v>0</v>
      </c>
      <c r="BG165" s="15"/>
      <c r="BH165" s="15"/>
      <c r="BI165" s="15"/>
      <c r="BJ165" s="19" t="str">
        <f t="shared" ref="BJ165:BK165" si="169">H165</f>
        <v/>
      </c>
      <c r="BK165" s="19" t="str">
        <f t="shared" si="169"/>
        <v/>
      </c>
      <c r="BL165" s="20" t="str">
        <f t="shared" si="8"/>
        <v/>
      </c>
    </row>
    <row r="166">
      <c r="A166" s="21" t="str">
        <f t="shared" si="2"/>
        <v/>
      </c>
      <c r="B166" s="22"/>
      <c r="C166" s="23"/>
      <c r="D166" s="24"/>
      <c r="E166" s="24"/>
      <c r="F166" s="24"/>
      <c r="G166" s="25"/>
      <c r="H166" s="23"/>
      <c r="I166" s="23"/>
      <c r="J166" s="25"/>
      <c r="K166" s="25"/>
      <c r="L166" s="26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>
        <f t="shared" si="3"/>
        <v>0</v>
      </c>
      <c r="BD166" s="27">
        <f t="shared" si="4"/>
        <v>0</v>
      </c>
      <c r="BE166" s="27">
        <f t="shared" si="5"/>
        <v>0</v>
      </c>
      <c r="BF166" s="27">
        <f t="shared" si="6"/>
        <v>0</v>
      </c>
      <c r="BG166" s="24"/>
      <c r="BH166" s="24"/>
      <c r="BI166" s="24"/>
      <c r="BJ166" s="28" t="str">
        <f t="shared" ref="BJ166:BK166" si="170">H166</f>
        <v/>
      </c>
      <c r="BK166" s="28" t="str">
        <f t="shared" si="170"/>
        <v/>
      </c>
      <c r="BL166" s="29" t="str">
        <f t="shared" si="8"/>
        <v/>
      </c>
    </row>
    <row r="167">
      <c r="A167" s="12" t="str">
        <f t="shared" si="2"/>
        <v/>
      </c>
      <c r="B167" s="13"/>
      <c r="C167" s="14"/>
      <c r="D167" s="15"/>
      <c r="E167" s="15"/>
      <c r="F167" s="15"/>
      <c r="G167" s="16"/>
      <c r="H167" s="14"/>
      <c r="I167" s="14"/>
      <c r="J167" s="16"/>
      <c r="K167" s="14"/>
      <c r="L167" s="17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f t="shared" si="3"/>
        <v>0</v>
      </c>
      <c r="BD167" s="18">
        <f t="shared" si="4"/>
        <v>0</v>
      </c>
      <c r="BE167" s="18">
        <f t="shared" si="5"/>
        <v>0</v>
      </c>
      <c r="BF167" s="18">
        <f t="shared" si="6"/>
        <v>0</v>
      </c>
      <c r="BG167" s="15"/>
      <c r="BH167" s="15"/>
      <c r="BI167" s="15"/>
      <c r="BJ167" s="19" t="str">
        <f t="shared" ref="BJ167:BK167" si="171">H167</f>
        <v/>
      </c>
      <c r="BK167" s="19" t="str">
        <f t="shared" si="171"/>
        <v/>
      </c>
      <c r="BL167" s="20" t="str">
        <f t="shared" si="8"/>
        <v/>
      </c>
    </row>
    <row r="168">
      <c r="A168" s="21" t="str">
        <f t="shared" si="2"/>
        <v/>
      </c>
      <c r="B168" s="22"/>
      <c r="C168" s="23"/>
      <c r="D168" s="24"/>
      <c r="E168" s="24"/>
      <c r="F168" s="24"/>
      <c r="G168" s="25"/>
      <c r="H168" s="23"/>
      <c r="I168" s="23"/>
      <c r="J168" s="25"/>
      <c r="K168" s="25"/>
      <c r="L168" s="26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>
        <f t="shared" si="3"/>
        <v>0</v>
      </c>
      <c r="BD168" s="27">
        <f t="shared" si="4"/>
        <v>0</v>
      </c>
      <c r="BE168" s="27">
        <f t="shared" si="5"/>
        <v>0</v>
      </c>
      <c r="BF168" s="27">
        <f t="shared" si="6"/>
        <v>0</v>
      </c>
      <c r="BG168" s="24"/>
      <c r="BH168" s="24"/>
      <c r="BI168" s="24"/>
      <c r="BJ168" s="28" t="str">
        <f t="shared" ref="BJ168:BK168" si="172">H168</f>
        <v/>
      </c>
      <c r="BK168" s="28" t="str">
        <f t="shared" si="172"/>
        <v/>
      </c>
      <c r="BL168" s="29" t="str">
        <f t="shared" si="8"/>
        <v/>
      </c>
    </row>
    <row r="169">
      <c r="A169" s="12" t="str">
        <f t="shared" si="2"/>
        <v/>
      </c>
      <c r="B169" s="13"/>
      <c r="C169" s="14"/>
      <c r="D169" s="15"/>
      <c r="E169" s="15"/>
      <c r="F169" s="15"/>
      <c r="G169" s="16"/>
      <c r="H169" s="14"/>
      <c r="I169" s="14"/>
      <c r="J169" s="16"/>
      <c r="K169" s="16"/>
      <c r="L169" s="17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>
        <f t="shared" si="3"/>
        <v>0</v>
      </c>
      <c r="BD169" s="18">
        <f t="shared" si="4"/>
        <v>0</v>
      </c>
      <c r="BE169" s="18">
        <f t="shared" si="5"/>
        <v>0</v>
      </c>
      <c r="BF169" s="18">
        <f t="shared" si="6"/>
        <v>0</v>
      </c>
      <c r="BG169" s="15"/>
      <c r="BH169" s="15"/>
      <c r="BI169" s="15"/>
      <c r="BJ169" s="19" t="str">
        <f t="shared" ref="BJ169:BK169" si="173">H169</f>
        <v/>
      </c>
      <c r="BK169" s="19" t="str">
        <f t="shared" si="173"/>
        <v/>
      </c>
      <c r="BL169" s="20" t="str">
        <f t="shared" si="8"/>
        <v/>
      </c>
    </row>
    <row r="170">
      <c r="A170" s="21" t="str">
        <f t="shared" si="2"/>
        <v/>
      </c>
      <c r="B170" s="22"/>
      <c r="C170" s="23"/>
      <c r="D170" s="24"/>
      <c r="E170" s="24"/>
      <c r="F170" s="24"/>
      <c r="G170" s="25"/>
      <c r="H170" s="23"/>
      <c r="I170" s="23"/>
      <c r="J170" s="25"/>
      <c r="K170" s="25"/>
      <c r="L170" s="26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>
        <f t="shared" si="3"/>
        <v>0</v>
      </c>
      <c r="BD170" s="27">
        <f t="shared" si="4"/>
        <v>0</v>
      </c>
      <c r="BE170" s="27">
        <f t="shared" si="5"/>
        <v>0</v>
      </c>
      <c r="BF170" s="27">
        <f t="shared" si="6"/>
        <v>0</v>
      </c>
      <c r="BG170" s="24"/>
      <c r="BH170" s="24"/>
      <c r="BI170" s="24"/>
      <c r="BJ170" s="28" t="str">
        <f t="shared" ref="BJ170:BK170" si="174">H170</f>
        <v/>
      </c>
      <c r="BK170" s="28" t="str">
        <f t="shared" si="174"/>
        <v/>
      </c>
      <c r="BL170" s="29" t="str">
        <f t="shared" si="8"/>
        <v/>
      </c>
    </row>
    <row r="171">
      <c r="A171" s="12" t="str">
        <f t="shared" si="2"/>
        <v/>
      </c>
      <c r="B171" s="13"/>
      <c r="C171" s="14"/>
      <c r="D171" s="15"/>
      <c r="E171" s="15"/>
      <c r="F171" s="15"/>
      <c r="G171" s="16"/>
      <c r="H171" s="14"/>
      <c r="I171" s="14"/>
      <c r="J171" s="16"/>
      <c r="K171" s="16"/>
      <c r="L171" s="17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>
        <f t="shared" si="3"/>
        <v>0</v>
      </c>
      <c r="BD171" s="18">
        <f t="shared" si="4"/>
        <v>0</v>
      </c>
      <c r="BE171" s="18">
        <f t="shared" si="5"/>
        <v>0</v>
      </c>
      <c r="BF171" s="18">
        <f t="shared" si="6"/>
        <v>0</v>
      </c>
      <c r="BG171" s="15"/>
      <c r="BH171" s="15"/>
      <c r="BI171" s="15"/>
      <c r="BJ171" s="19" t="str">
        <f t="shared" ref="BJ171:BK171" si="175">H171</f>
        <v/>
      </c>
      <c r="BK171" s="19" t="str">
        <f t="shared" si="175"/>
        <v/>
      </c>
      <c r="BL171" s="20" t="str">
        <f t="shared" si="8"/>
        <v/>
      </c>
    </row>
    <row r="172">
      <c r="A172" s="21" t="str">
        <f t="shared" si="2"/>
        <v/>
      </c>
      <c r="B172" s="22"/>
      <c r="C172" s="23"/>
      <c r="D172" s="24"/>
      <c r="E172" s="24"/>
      <c r="F172" s="24"/>
      <c r="G172" s="25"/>
      <c r="H172" s="23"/>
      <c r="I172" s="23"/>
      <c r="J172" s="25"/>
      <c r="K172" s="25"/>
      <c r="L172" s="26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>
        <f t="shared" si="3"/>
        <v>0</v>
      </c>
      <c r="BD172" s="27">
        <f t="shared" si="4"/>
        <v>0</v>
      </c>
      <c r="BE172" s="27">
        <f t="shared" si="5"/>
        <v>0</v>
      </c>
      <c r="BF172" s="27">
        <f t="shared" si="6"/>
        <v>0</v>
      </c>
      <c r="BG172" s="24"/>
      <c r="BH172" s="24"/>
      <c r="BI172" s="24"/>
      <c r="BJ172" s="28" t="str">
        <f t="shared" ref="BJ172:BK172" si="176">H172</f>
        <v/>
      </c>
      <c r="BK172" s="28" t="str">
        <f t="shared" si="176"/>
        <v/>
      </c>
      <c r="BL172" s="29" t="str">
        <f t="shared" si="8"/>
        <v/>
      </c>
    </row>
    <row r="173">
      <c r="A173" s="12" t="str">
        <f t="shared" si="2"/>
        <v/>
      </c>
      <c r="B173" s="13"/>
      <c r="C173" s="14"/>
      <c r="D173" s="15"/>
      <c r="E173" s="15"/>
      <c r="F173" s="15"/>
      <c r="G173" s="16"/>
      <c r="H173" s="14"/>
      <c r="I173" s="14"/>
      <c r="J173" s="16"/>
      <c r="K173" s="14"/>
      <c r="L173" s="17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>
        <f t="shared" si="3"/>
        <v>0</v>
      </c>
      <c r="BD173" s="18">
        <f t="shared" si="4"/>
        <v>0</v>
      </c>
      <c r="BE173" s="18">
        <f t="shared" si="5"/>
        <v>0</v>
      </c>
      <c r="BF173" s="18">
        <f t="shared" si="6"/>
        <v>0</v>
      </c>
      <c r="BG173" s="15"/>
      <c r="BH173" s="15"/>
      <c r="BI173" s="15"/>
      <c r="BJ173" s="19" t="str">
        <f t="shared" ref="BJ173:BK173" si="177">H173</f>
        <v/>
      </c>
      <c r="BK173" s="19" t="str">
        <f t="shared" si="177"/>
        <v/>
      </c>
      <c r="BL173" s="20" t="str">
        <f t="shared" si="8"/>
        <v/>
      </c>
    </row>
    <row r="174">
      <c r="A174" s="21" t="str">
        <f t="shared" si="2"/>
        <v/>
      </c>
      <c r="B174" s="22"/>
      <c r="C174" s="23"/>
      <c r="D174" s="24"/>
      <c r="E174" s="24"/>
      <c r="F174" s="24"/>
      <c r="G174" s="25"/>
      <c r="H174" s="23"/>
      <c r="I174" s="23"/>
      <c r="J174" s="25"/>
      <c r="K174" s="25"/>
      <c r="L174" s="26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>
        <f t="shared" si="3"/>
        <v>0</v>
      </c>
      <c r="BD174" s="27">
        <f t="shared" si="4"/>
        <v>0</v>
      </c>
      <c r="BE174" s="27">
        <f t="shared" si="5"/>
        <v>0</v>
      </c>
      <c r="BF174" s="27">
        <f t="shared" si="6"/>
        <v>0</v>
      </c>
      <c r="BG174" s="24"/>
      <c r="BH174" s="24"/>
      <c r="BI174" s="24"/>
      <c r="BJ174" s="28" t="str">
        <f t="shared" ref="BJ174:BK174" si="178">H174</f>
        <v/>
      </c>
      <c r="BK174" s="28" t="str">
        <f t="shared" si="178"/>
        <v/>
      </c>
      <c r="BL174" s="29" t="str">
        <f t="shared" si="8"/>
        <v/>
      </c>
    </row>
    <row r="175">
      <c r="A175" s="12" t="str">
        <f t="shared" si="2"/>
        <v/>
      </c>
      <c r="B175" s="13"/>
      <c r="C175" s="14"/>
      <c r="D175" s="15"/>
      <c r="E175" s="15"/>
      <c r="F175" s="15"/>
      <c r="G175" s="16"/>
      <c r="H175" s="14"/>
      <c r="I175" s="12"/>
      <c r="J175" s="16"/>
      <c r="K175" s="16"/>
      <c r="L175" s="17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>
        <f t="shared" si="3"/>
        <v>0</v>
      </c>
      <c r="BD175" s="18">
        <f t="shared" si="4"/>
        <v>0</v>
      </c>
      <c r="BE175" s="18">
        <f t="shared" si="5"/>
        <v>0</v>
      </c>
      <c r="BF175" s="18">
        <f t="shared" si="6"/>
        <v>0</v>
      </c>
      <c r="BG175" s="15"/>
      <c r="BH175" s="15"/>
      <c r="BI175" s="15"/>
      <c r="BJ175" s="19" t="str">
        <f t="shared" ref="BJ175:BK175" si="179">H175</f>
        <v/>
      </c>
      <c r="BK175" s="19" t="str">
        <f t="shared" si="179"/>
        <v/>
      </c>
      <c r="BL175" s="20" t="str">
        <f t="shared" si="8"/>
        <v/>
      </c>
    </row>
    <row r="176">
      <c r="A176" s="21" t="str">
        <f t="shared" si="2"/>
        <v/>
      </c>
      <c r="B176" s="22"/>
      <c r="C176" s="23"/>
      <c r="D176" s="24"/>
      <c r="E176" s="24"/>
      <c r="F176" s="24"/>
      <c r="G176" s="25"/>
      <c r="H176" s="23"/>
      <c r="I176" s="23"/>
      <c r="J176" s="25"/>
      <c r="K176" s="25"/>
      <c r="L176" s="26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>
        <f t="shared" si="3"/>
        <v>0</v>
      </c>
      <c r="BD176" s="27">
        <f t="shared" si="4"/>
        <v>0</v>
      </c>
      <c r="BE176" s="27">
        <f t="shared" si="5"/>
        <v>0</v>
      </c>
      <c r="BF176" s="27">
        <f t="shared" si="6"/>
        <v>0</v>
      </c>
      <c r="BG176" s="24"/>
      <c r="BH176" s="24"/>
      <c r="BI176" s="24"/>
      <c r="BJ176" s="28" t="str">
        <f t="shared" ref="BJ176:BK176" si="180">H176</f>
        <v/>
      </c>
      <c r="BK176" s="28" t="str">
        <f t="shared" si="180"/>
        <v/>
      </c>
      <c r="BL176" s="29" t="str">
        <f t="shared" si="8"/>
        <v/>
      </c>
    </row>
    <row r="177">
      <c r="A177" s="12" t="str">
        <f t="shared" si="2"/>
        <v/>
      </c>
      <c r="B177" s="13"/>
      <c r="C177" s="14"/>
      <c r="D177" s="15"/>
      <c r="E177" s="15"/>
      <c r="F177" s="15"/>
      <c r="G177" s="16"/>
      <c r="H177" s="14"/>
      <c r="I177" s="14"/>
      <c r="J177" s="16"/>
      <c r="K177" s="16"/>
      <c r="L177" s="17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>
        <f t="shared" si="3"/>
        <v>0</v>
      </c>
      <c r="BD177" s="18">
        <f t="shared" si="4"/>
        <v>0</v>
      </c>
      <c r="BE177" s="18">
        <f t="shared" si="5"/>
        <v>0</v>
      </c>
      <c r="BF177" s="18">
        <f t="shared" si="6"/>
        <v>0</v>
      </c>
      <c r="BG177" s="15"/>
      <c r="BH177" s="15"/>
      <c r="BI177" s="15"/>
      <c r="BJ177" s="19" t="str">
        <f t="shared" ref="BJ177:BK177" si="181">H177</f>
        <v/>
      </c>
      <c r="BK177" s="19" t="str">
        <f t="shared" si="181"/>
        <v/>
      </c>
      <c r="BL177" s="20" t="str">
        <f t="shared" si="8"/>
        <v/>
      </c>
    </row>
    <row r="178">
      <c r="A178" s="21" t="str">
        <f t="shared" si="2"/>
        <v/>
      </c>
      <c r="B178" s="22"/>
      <c r="C178" s="23"/>
      <c r="D178" s="24"/>
      <c r="E178" s="24"/>
      <c r="F178" s="24"/>
      <c r="G178" s="25"/>
      <c r="H178" s="23"/>
      <c r="I178" s="23"/>
      <c r="J178" s="25"/>
      <c r="K178" s="25"/>
      <c r="L178" s="26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>
        <f t="shared" si="3"/>
        <v>0</v>
      </c>
      <c r="BD178" s="27">
        <f t="shared" si="4"/>
        <v>0</v>
      </c>
      <c r="BE178" s="27">
        <f t="shared" si="5"/>
        <v>0</v>
      </c>
      <c r="BF178" s="27">
        <f t="shared" si="6"/>
        <v>0</v>
      </c>
      <c r="BG178" s="24"/>
      <c r="BH178" s="24"/>
      <c r="BI178" s="24"/>
      <c r="BJ178" s="28" t="str">
        <f t="shared" ref="BJ178:BK178" si="182">H178</f>
        <v/>
      </c>
      <c r="BK178" s="28" t="str">
        <f t="shared" si="182"/>
        <v/>
      </c>
      <c r="BL178" s="29" t="str">
        <f t="shared" si="8"/>
        <v/>
      </c>
    </row>
    <row r="179">
      <c r="A179" s="12" t="str">
        <f t="shared" si="2"/>
        <v/>
      </c>
      <c r="B179" s="13"/>
      <c r="C179" s="14"/>
      <c r="D179" s="15"/>
      <c r="E179" s="15"/>
      <c r="F179" s="15"/>
      <c r="G179" s="16"/>
      <c r="H179" s="14"/>
      <c r="I179" s="14"/>
      <c r="J179" s="16"/>
      <c r="K179" s="14"/>
      <c r="L179" s="17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>
        <f t="shared" si="3"/>
        <v>0</v>
      </c>
      <c r="BD179" s="18">
        <f t="shared" si="4"/>
        <v>0</v>
      </c>
      <c r="BE179" s="18">
        <f t="shared" si="5"/>
        <v>0</v>
      </c>
      <c r="BF179" s="18">
        <f t="shared" si="6"/>
        <v>0</v>
      </c>
      <c r="BG179" s="15"/>
      <c r="BH179" s="15"/>
      <c r="BI179" s="15"/>
      <c r="BJ179" s="19" t="str">
        <f t="shared" ref="BJ179:BK179" si="183">H179</f>
        <v/>
      </c>
      <c r="BK179" s="19" t="str">
        <f t="shared" si="183"/>
        <v/>
      </c>
      <c r="BL179" s="20" t="str">
        <f t="shared" si="8"/>
        <v/>
      </c>
    </row>
    <row r="180">
      <c r="A180" s="21" t="str">
        <f t="shared" si="2"/>
        <v/>
      </c>
      <c r="B180" s="22"/>
      <c r="C180" s="23"/>
      <c r="D180" s="24"/>
      <c r="E180" s="24"/>
      <c r="F180" s="24"/>
      <c r="G180" s="25"/>
      <c r="H180" s="23"/>
      <c r="I180" s="23"/>
      <c r="J180" s="25"/>
      <c r="K180" s="25"/>
      <c r="L180" s="26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>
        <f t="shared" si="3"/>
        <v>0</v>
      </c>
      <c r="BD180" s="27">
        <f t="shared" si="4"/>
        <v>0</v>
      </c>
      <c r="BE180" s="27">
        <f t="shared" si="5"/>
        <v>0</v>
      </c>
      <c r="BF180" s="27">
        <f t="shared" si="6"/>
        <v>0</v>
      </c>
      <c r="BG180" s="24"/>
      <c r="BH180" s="24"/>
      <c r="BI180" s="24"/>
      <c r="BJ180" s="28" t="str">
        <f t="shared" ref="BJ180:BK180" si="184">H180</f>
        <v/>
      </c>
      <c r="BK180" s="28" t="str">
        <f t="shared" si="184"/>
        <v/>
      </c>
      <c r="BL180" s="29" t="str">
        <f t="shared" si="8"/>
        <v/>
      </c>
    </row>
    <row r="181">
      <c r="A181" s="12" t="str">
        <f t="shared" si="2"/>
        <v/>
      </c>
      <c r="B181" s="13"/>
      <c r="C181" s="14"/>
      <c r="D181" s="15"/>
      <c r="E181" s="15"/>
      <c r="F181" s="15"/>
      <c r="G181" s="16"/>
      <c r="H181" s="14"/>
      <c r="I181" s="14"/>
      <c r="J181" s="16"/>
      <c r="K181" s="16"/>
      <c r="L181" s="17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>
        <f t="shared" si="3"/>
        <v>0</v>
      </c>
      <c r="BD181" s="18">
        <f t="shared" si="4"/>
        <v>0</v>
      </c>
      <c r="BE181" s="18">
        <f t="shared" si="5"/>
        <v>0</v>
      </c>
      <c r="BF181" s="18">
        <f t="shared" si="6"/>
        <v>0</v>
      </c>
      <c r="BG181" s="15"/>
      <c r="BH181" s="15"/>
      <c r="BI181" s="15"/>
      <c r="BJ181" s="19" t="str">
        <f t="shared" ref="BJ181:BK181" si="185">H181</f>
        <v/>
      </c>
      <c r="BK181" s="19" t="str">
        <f t="shared" si="185"/>
        <v/>
      </c>
      <c r="BL181" s="20" t="str">
        <f t="shared" si="8"/>
        <v/>
      </c>
    </row>
    <row r="182">
      <c r="A182" s="21" t="str">
        <f t="shared" si="2"/>
        <v/>
      </c>
      <c r="B182" s="22"/>
      <c r="C182" s="23"/>
      <c r="D182" s="24"/>
      <c r="E182" s="24"/>
      <c r="F182" s="24"/>
      <c r="G182" s="25"/>
      <c r="H182" s="23"/>
      <c r="I182" s="23"/>
      <c r="J182" s="25"/>
      <c r="K182" s="25"/>
      <c r="L182" s="26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>
        <f t="shared" si="3"/>
        <v>0</v>
      </c>
      <c r="BD182" s="27">
        <f t="shared" si="4"/>
        <v>0</v>
      </c>
      <c r="BE182" s="27">
        <f t="shared" si="5"/>
        <v>0</v>
      </c>
      <c r="BF182" s="27">
        <f t="shared" si="6"/>
        <v>0</v>
      </c>
      <c r="BG182" s="24"/>
      <c r="BH182" s="24"/>
      <c r="BI182" s="24"/>
      <c r="BJ182" s="28" t="str">
        <f t="shared" ref="BJ182:BK182" si="186">H182</f>
        <v/>
      </c>
      <c r="BK182" s="28" t="str">
        <f t="shared" si="186"/>
        <v/>
      </c>
      <c r="BL182" s="29" t="str">
        <f t="shared" si="8"/>
        <v/>
      </c>
    </row>
    <row r="183">
      <c r="A183" s="12" t="str">
        <f t="shared" si="2"/>
        <v/>
      </c>
      <c r="B183" s="13"/>
      <c r="C183" s="14"/>
      <c r="D183" s="15"/>
      <c r="E183" s="15"/>
      <c r="F183" s="15"/>
      <c r="G183" s="16"/>
      <c r="H183" s="14"/>
      <c r="I183" s="14"/>
      <c r="J183" s="16"/>
      <c r="K183" s="16"/>
      <c r="L183" s="17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>
        <f t="shared" si="3"/>
        <v>0</v>
      </c>
      <c r="BD183" s="18">
        <f t="shared" si="4"/>
        <v>0</v>
      </c>
      <c r="BE183" s="18">
        <f t="shared" si="5"/>
        <v>0</v>
      </c>
      <c r="BF183" s="18">
        <f t="shared" si="6"/>
        <v>0</v>
      </c>
      <c r="BG183" s="15"/>
      <c r="BH183" s="15"/>
      <c r="BI183" s="15"/>
      <c r="BJ183" s="19" t="str">
        <f t="shared" ref="BJ183:BK183" si="187">H183</f>
        <v/>
      </c>
      <c r="BK183" s="19" t="str">
        <f t="shared" si="187"/>
        <v/>
      </c>
      <c r="BL183" s="20" t="str">
        <f t="shared" si="8"/>
        <v/>
      </c>
    </row>
    <row r="184">
      <c r="A184" s="21" t="str">
        <f t="shared" si="2"/>
        <v/>
      </c>
      <c r="B184" s="22"/>
      <c r="C184" s="23"/>
      <c r="D184" s="24"/>
      <c r="E184" s="24"/>
      <c r="F184" s="24"/>
      <c r="G184" s="25"/>
      <c r="H184" s="23"/>
      <c r="I184" s="23"/>
      <c r="J184" s="25"/>
      <c r="K184" s="25"/>
      <c r="L184" s="26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>
        <f t="shared" si="3"/>
        <v>0</v>
      </c>
      <c r="BD184" s="27">
        <f t="shared" si="4"/>
        <v>0</v>
      </c>
      <c r="BE184" s="27">
        <f t="shared" si="5"/>
        <v>0</v>
      </c>
      <c r="BF184" s="27">
        <f t="shared" si="6"/>
        <v>0</v>
      </c>
      <c r="BG184" s="24"/>
      <c r="BH184" s="24"/>
      <c r="BI184" s="24"/>
      <c r="BJ184" s="28" t="str">
        <f t="shared" ref="BJ184:BK184" si="188">H184</f>
        <v/>
      </c>
      <c r="BK184" s="28" t="str">
        <f t="shared" si="188"/>
        <v/>
      </c>
      <c r="BL184" s="29" t="str">
        <f t="shared" si="8"/>
        <v/>
      </c>
    </row>
    <row r="185">
      <c r="A185" s="12" t="str">
        <f t="shared" si="2"/>
        <v/>
      </c>
      <c r="B185" s="13"/>
      <c r="C185" s="14"/>
      <c r="D185" s="15"/>
      <c r="E185" s="15"/>
      <c r="F185" s="15"/>
      <c r="G185" s="16"/>
      <c r="H185" s="14"/>
      <c r="I185" s="14"/>
      <c r="J185" s="16"/>
      <c r="K185" s="16"/>
      <c r="L185" s="17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>
        <f t="shared" si="3"/>
        <v>0</v>
      </c>
      <c r="BD185" s="18">
        <f t="shared" si="4"/>
        <v>0</v>
      </c>
      <c r="BE185" s="18">
        <f t="shared" si="5"/>
        <v>0</v>
      </c>
      <c r="BF185" s="18">
        <f t="shared" si="6"/>
        <v>0</v>
      </c>
      <c r="BG185" s="15"/>
      <c r="BH185" s="15"/>
      <c r="BI185" s="15"/>
      <c r="BJ185" s="19" t="str">
        <f t="shared" ref="BJ185:BK185" si="189">H185</f>
        <v/>
      </c>
      <c r="BK185" s="19" t="str">
        <f t="shared" si="189"/>
        <v/>
      </c>
      <c r="BL185" s="20" t="str">
        <f t="shared" si="8"/>
        <v/>
      </c>
    </row>
    <row r="186">
      <c r="A186" s="21" t="str">
        <f t="shared" si="2"/>
        <v/>
      </c>
      <c r="B186" s="22"/>
      <c r="C186" s="23"/>
      <c r="D186" s="24"/>
      <c r="E186" s="24"/>
      <c r="F186" s="24"/>
      <c r="G186" s="25"/>
      <c r="H186" s="23"/>
      <c r="I186" s="23"/>
      <c r="J186" s="25"/>
      <c r="K186" s="25"/>
      <c r="L186" s="26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>
        <f t="shared" si="3"/>
        <v>0</v>
      </c>
      <c r="BD186" s="27">
        <f t="shared" si="4"/>
        <v>0</v>
      </c>
      <c r="BE186" s="27">
        <f t="shared" si="5"/>
        <v>0</v>
      </c>
      <c r="BF186" s="27">
        <f t="shared" si="6"/>
        <v>0</v>
      </c>
      <c r="BG186" s="24"/>
      <c r="BH186" s="24"/>
      <c r="BI186" s="24"/>
      <c r="BJ186" s="28" t="str">
        <f t="shared" ref="BJ186:BK186" si="190">H186</f>
        <v/>
      </c>
      <c r="BK186" s="28" t="str">
        <f t="shared" si="190"/>
        <v/>
      </c>
      <c r="BL186" s="29" t="str">
        <f t="shared" si="8"/>
        <v/>
      </c>
    </row>
    <row r="187">
      <c r="A187" s="12" t="str">
        <f t="shared" si="2"/>
        <v/>
      </c>
      <c r="B187" s="13"/>
      <c r="C187" s="14"/>
      <c r="D187" s="13"/>
      <c r="E187" s="13"/>
      <c r="F187" s="13"/>
      <c r="G187" s="16"/>
      <c r="H187" s="14"/>
      <c r="I187" s="14"/>
      <c r="J187" s="16"/>
      <c r="K187" s="16"/>
      <c r="L187" s="17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>
        <f t="shared" si="3"/>
        <v>0</v>
      </c>
      <c r="BD187" s="18">
        <f t="shared" si="4"/>
        <v>0</v>
      </c>
      <c r="BE187" s="18">
        <f t="shared" si="5"/>
        <v>0</v>
      </c>
      <c r="BF187" s="18">
        <f t="shared" si="6"/>
        <v>0</v>
      </c>
      <c r="BG187" s="15"/>
      <c r="BH187" s="15"/>
      <c r="BI187" s="15"/>
      <c r="BJ187" s="19" t="str">
        <f t="shared" ref="BJ187:BK187" si="191">H187</f>
        <v/>
      </c>
      <c r="BK187" s="19" t="str">
        <f t="shared" si="191"/>
        <v/>
      </c>
      <c r="BL187" s="20" t="str">
        <f t="shared" si="8"/>
        <v/>
      </c>
    </row>
    <row r="188">
      <c r="A188" s="21" t="str">
        <f t="shared" si="2"/>
        <v/>
      </c>
      <c r="B188" s="22"/>
      <c r="C188" s="23"/>
      <c r="D188" s="24"/>
      <c r="E188" s="24"/>
      <c r="F188" s="24"/>
      <c r="G188" s="25"/>
      <c r="H188" s="23"/>
      <c r="I188" s="23"/>
      <c r="J188" s="25"/>
      <c r="K188" s="23"/>
      <c r="L188" s="26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>
        <f t="shared" si="3"/>
        <v>0</v>
      </c>
      <c r="BD188" s="27">
        <f t="shared" si="4"/>
        <v>0</v>
      </c>
      <c r="BE188" s="27">
        <f t="shared" si="5"/>
        <v>0</v>
      </c>
      <c r="BF188" s="27">
        <f t="shared" si="6"/>
        <v>0</v>
      </c>
      <c r="BG188" s="24"/>
      <c r="BH188" s="24"/>
      <c r="BI188" s="24"/>
      <c r="BJ188" s="28" t="str">
        <f t="shared" ref="BJ188:BK188" si="192">H188</f>
        <v/>
      </c>
      <c r="BK188" s="28" t="str">
        <f t="shared" si="192"/>
        <v/>
      </c>
      <c r="BL188" s="29" t="str">
        <f t="shared" si="8"/>
        <v/>
      </c>
    </row>
    <row r="189">
      <c r="A189" s="12" t="str">
        <f t="shared" si="2"/>
        <v/>
      </c>
      <c r="B189" s="13"/>
      <c r="C189" s="14"/>
      <c r="D189" s="15"/>
      <c r="E189" s="15"/>
      <c r="F189" s="15"/>
      <c r="G189" s="16"/>
      <c r="H189" s="14"/>
      <c r="I189" s="14"/>
      <c r="J189" s="16"/>
      <c r="K189" s="16"/>
      <c r="L189" s="17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>
        <f t="shared" si="3"/>
        <v>0</v>
      </c>
      <c r="BD189" s="18">
        <f t="shared" si="4"/>
        <v>0</v>
      </c>
      <c r="BE189" s="18">
        <f t="shared" si="5"/>
        <v>0</v>
      </c>
      <c r="BF189" s="18">
        <f t="shared" si="6"/>
        <v>0</v>
      </c>
      <c r="BG189" s="15"/>
      <c r="BH189" s="15"/>
      <c r="BI189" s="15"/>
      <c r="BJ189" s="19" t="str">
        <f t="shared" ref="BJ189:BK189" si="193">H189</f>
        <v/>
      </c>
      <c r="BK189" s="19" t="str">
        <f t="shared" si="193"/>
        <v/>
      </c>
      <c r="BL189" s="20" t="str">
        <f t="shared" si="8"/>
        <v/>
      </c>
    </row>
    <row r="190">
      <c r="A190" s="21" t="str">
        <f t="shared" si="2"/>
        <v/>
      </c>
      <c r="B190" s="22"/>
      <c r="C190" s="23"/>
      <c r="D190" s="24"/>
      <c r="E190" s="24"/>
      <c r="F190" s="24"/>
      <c r="G190" s="25"/>
      <c r="H190" s="23"/>
      <c r="I190" s="23"/>
      <c r="J190" s="25"/>
      <c r="K190" s="25"/>
      <c r="L190" s="26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>
        <f t="shared" si="3"/>
        <v>0</v>
      </c>
      <c r="BD190" s="27">
        <f t="shared" si="4"/>
        <v>0</v>
      </c>
      <c r="BE190" s="27">
        <f t="shared" si="5"/>
        <v>0</v>
      </c>
      <c r="BF190" s="27">
        <f t="shared" si="6"/>
        <v>0</v>
      </c>
      <c r="BG190" s="24"/>
      <c r="BH190" s="24"/>
      <c r="BI190" s="24"/>
      <c r="BJ190" s="28" t="str">
        <f t="shared" ref="BJ190:BK190" si="194">H190</f>
        <v/>
      </c>
      <c r="BK190" s="28" t="str">
        <f t="shared" si="194"/>
        <v/>
      </c>
      <c r="BL190" s="29" t="str">
        <f t="shared" si="8"/>
        <v/>
      </c>
    </row>
    <row r="191">
      <c r="A191" s="12" t="str">
        <f t="shared" si="2"/>
        <v/>
      </c>
      <c r="B191" s="13"/>
      <c r="C191" s="14"/>
      <c r="D191" s="15"/>
      <c r="E191" s="15"/>
      <c r="F191" s="15"/>
      <c r="G191" s="16"/>
      <c r="H191" s="14"/>
      <c r="I191" s="14"/>
      <c r="J191" s="16"/>
      <c r="K191" s="16"/>
      <c r="L191" s="17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>
        <f t="shared" si="3"/>
        <v>0</v>
      </c>
      <c r="BD191" s="18">
        <f t="shared" si="4"/>
        <v>0</v>
      </c>
      <c r="BE191" s="18">
        <f t="shared" si="5"/>
        <v>0</v>
      </c>
      <c r="BF191" s="18">
        <f t="shared" si="6"/>
        <v>0</v>
      </c>
      <c r="BG191" s="15"/>
      <c r="BH191" s="15"/>
      <c r="BI191" s="15"/>
      <c r="BJ191" s="19" t="str">
        <f t="shared" ref="BJ191:BK191" si="195">H191</f>
        <v/>
      </c>
      <c r="BK191" s="19" t="str">
        <f t="shared" si="195"/>
        <v/>
      </c>
      <c r="BL191" s="20" t="str">
        <f t="shared" si="8"/>
        <v/>
      </c>
    </row>
    <row r="192">
      <c r="A192" s="21" t="str">
        <f t="shared" si="2"/>
        <v/>
      </c>
      <c r="B192" s="22"/>
      <c r="C192" s="23"/>
      <c r="D192" s="24"/>
      <c r="E192" s="24"/>
      <c r="F192" s="24"/>
      <c r="G192" s="25"/>
      <c r="H192" s="23"/>
      <c r="I192" s="23"/>
      <c r="J192" s="25"/>
      <c r="K192" s="25"/>
      <c r="L192" s="26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>
        <f t="shared" si="3"/>
        <v>0</v>
      </c>
      <c r="BD192" s="27">
        <f t="shared" si="4"/>
        <v>0</v>
      </c>
      <c r="BE192" s="27">
        <f t="shared" si="5"/>
        <v>0</v>
      </c>
      <c r="BF192" s="27">
        <f t="shared" si="6"/>
        <v>0</v>
      </c>
      <c r="BG192" s="24"/>
      <c r="BH192" s="24"/>
      <c r="BI192" s="24"/>
      <c r="BJ192" s="28" t="str">
        <f t="shared" ref="BJ192:BK192" si="196">H192</f>
        <v/>
      </c>
      <c r="BK192" s="28" t="str">
        <f t="shared" si="196"/>
        <v/>
      </c>
      <c r="BL192" s="29" t="str">
        <f t="shared" si="8"/>
        <v/>
      </c>
    </row>
    <row r="193">
      <c r="A193" s="12" t="str">
        <f t="shared" si="2"/>
        <v/>
      </c>
      <c r="B193" s="13"/>
      <c r="C193" s="14"/>
      <c r="D193" s="15"/>
      <c r="E193" s="15"/>
      <c r="F193" s="15"/>
      <c r="G193" s="16"/>
      <c r="H193" s="14"/>
      <c r="I193" s="14"/>
      <c r="J193" s="16"/>
      <c r="K193" s="16"/>
      <c r="L193" s="17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>
        <f t="shared" si="3"/>
        <v>0</v>
      </c>
      <c r="BD193" s="18">
        <f t="shared" si="4"/>
        <v>0</v>
      </c>
      <c r="BE193" s="18">
        <f t="shared" si="5"/>
        <v>0</v>
      </c>
      <c r="BF193" s="18">
        <f t="shared" si="6"/>
        <v>0</v>
      </c>
      <c r="BG193" s="15"/>
      <c r="BH193" s="15"/>
      <c r="BI193" s="15"/>
      <c r="BJ193" s="19" t="str">
        <f t="shared" ref="BJ193:BK193" si="197">H193</f>
        <v/>
      </c>
      <c r="BK193" s="19" t="str">
        <f t="shared" si="197"/>
        <v/>
      </c>
      <c r="BL193" s="20" t="str">
        <f t="shared" si="8"/>
        <v/>
      </c>
    </row>
    <row r="194">
      <c r="A194" s="21" t="str">
        <f t="shared" si="2"/>
        <v/>
      </c>
      <c r="B194" s="22"/>
      <c r="C194" s="23"/>
      <c r="D194" s="24"/>
      <c r="E194" s="24"/>
      <c r="F194" s="24"/>
      <c r="G194" s="21"/>
      <c r="H194" s="23"/>
      <c r="I194" s="21"/>
      <c r="J194" s="25"/>
      <c r="K194" s="23"/>
      <c r="L194" s="26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>
        <f t="shared" si="3"/>
        <v>0</v>
      </c>
      <c r="BD194" s="27">
        <f t="shared" si="4"/>
        <v>0</v>
      </c>
      <c r="BE194" s="27">
        <f t="shared" si="5"/>
        <v>0</v>
      </c>
      <c r="BF194" s="27">
        <f t="shared" si="6"/>
        <v>0</v>
      </c>
      <c r="BG194" s="24"/>
      <c r="BH194" s="24"/>
      <c r="BI194" s="24"/>
      <c r="BJ194" s="28" t="str">
        <f t="shared" ref="BJ194:BK194" si="198">H194</f>
        <v/>
      </c>
      <c r="BK194" s="28" t="str">
        <f t="shared" si="198"/>
        <v/>
      </c>
      <c r="BL194" s="29" t="str">
        <f t="shared" si="8"/>
        <v/>
      </c>
    </row>
    <row r="195">
      <c r="A195" s="12" t="str">
        <f t="shared" si="2"/>
        <v/>
      </c>
      <c r="B195" s="13"/>
      <c r="C195" s="14"/>
      <c r="D195" s="15"/>
      <c r="E195" s="15"/>
      <c r="F195" s="15"/>
      <c r="G195" s="16"/>
      <c r="H195" s="14"/>
      <c r="I195" s="14"/>
      <c r="J195" s="16"/>
      <c r="K195" s="16"/>
      <c r="L195" s="17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>
        <f t="shared" si="3"/>
        <v>0</v>
      </c>
      <c r="BD195" s="18">
        <f t="shared" si="4"/>
        <v>0</v>
      </c>
      <c r="BE195" s="18">
        <f t="shared" si="5"/>
        <v>0</v>
      </c>
      <c r="BF195" s="18">
        <f t="shared" si="6"/>
        <v>0</v>
      </c>
      <c r="BG195" s="15"/>
      <c r="BH195" s="15"/>
      <c r="BI195" s="15"/>
      <c r="BJ195" s="19" t="str">
        <f t="shared" ref="BJ195:BK195" si="199">H195</f>
        <v/>
      </c>
      <c r="BK195" s="19" t="str">
        <f t="shared" si="199"/>
        <v/>
      </c>
      <c r="BL195" s="20" t="str">
        <f t="shared" si="8"/>
        <v/>
      </c>
    </row>
    <row r="196">
      <c r="A196" s="21" t="str">
        <f t="shared" si="2"/>
        <v/>
      </c>
      <c r="B196" s="22"/>
      <c r="C196" s="23"/>
      <c r="D196" s="24"/>
      <c r="E196" s="24"/>
      <c r="F196" s="24"/>
      <c r="G196" s="25"/>
      <c r="H196" s="23"/>
      <c r="I196" s="23"/>
      <c r="J196" s="25"/>
      <c r="K196" s="25"/>
      <c r="L196" s="26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>
        <f t="shared" si="3"/>
        <v>0</v>
      </c>
      <c r="BD196" s="27">
        <f t="shared" si="4"/>
        <v>0</v>
      </c>
      <c r="BE196" s="27">
        <f t="shared" si="5"/>
        <v>0</v>
      </c>
      <c r="BF196" s="27">
        <f t="shared" si="6"/>
        <v>0</v>
      </c>
      <c r="BG196" s="24"/>
      <c r="BH196" s="24"/>
      <c r="BI196" s="24"/>
      <c r="BJ196" s="28" t="str">
        <f t="shared" ref="BJ196:BK196" si="200">H196</f>
        <v/>
      </c>
      <c r="BK196" s="28" t="str">
        <f t="shared" si="200"/>
        <v/>
      </c>
      <c r="BL196" s="29" t="str">
        <f t="shared" si="8"/>
        <v/>
      </c>
    </row>
    <row r="197">
      <c r="A197" s="12" t="str">
        <f t="shared" si="2"/>
        <v/>
      </c>
      <c r="B197" s="13"/>
      <c r="C197" s="14"/>
      <c r="D197" s="15"/>
      <c r="E197" s="15"/>
      <c r="F197" s="15"/>
      <c r="G197" s="16"/>
      <c r="H197" s="14"/>
      <c r="I197" s="14"/>
      <c r="J197" s="16"/>
      <c r="K197" s="16"/>
      <c r="L197" s="17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>
        <f t="shared" si="3"/>
        <v>0</v>
      </c>
      <c r="BD197" s="18">
        <f t="shared" si="4"/>
        <v>0</v>
      </c>
      <c r="BE197" s="18">
        <f t="shared" si="5"/>
        <v>0</v>
      </c>
      <c r="BF197" s="18">
        <f t="shared" si="6"/>
        <v>0</v>
      </c>
      <c r="BG197" s="15"/>
      <c r="BH197" s="15"/>
      <c r="BI197" s="15"/>
      <c r="BJ197" s="19" t="str">
        <f t="shared" ref="BJ197:BK197" si="201">H197</f>
        <v/>
      </c>
      <c r="BK197" s="19" t="str">
        <f t="shared" si="201"/>
        <v/>
      </c>
      <c r="BL197" s="20" t="str">
        <f t="shared" si="8"/>
        <v/>
      </c>
    </row>
    <row r="198">
      <c r="A198" s="21" t="str">
        <f t="shared" si="2"/>
        <v/>
      </c>
      <c r="B198" s="22"/>
      <c r="C198" s="23"/>
      <c r="D198" s="24"/>
      <c r="E198" s="24"/>
      <c r="F198" s="24"/>
      <c r="G198" s="25"/>
      <c r="H198" s="23"/>
      <c r="I198" s="23"/>
      <c r="J198" s="25"/>
      <c r="K198" s="25"/>
      <c r="L198" s="26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>
        <f t="shared" si="3"/>
        <v>0</v>
      </c>
      <c r="BD198" s="27">
        <f t="shared" si="4"/>
        <v>0</v>
      </c>
      <c r="BE198" s="27">
        <f t="shared" si="5"/>
        <v>0</v>
      </c>
      <c r="BF198" s="27">
        <f t="shared" si="6"/>
        <v>0</v>
      </c>
      <c r="BG198" s="24"/>
      <c r="BH198" s="24"/>
      <c r="BI198" s="24"/>
      <c r="BJ198" s="28" t="str">
        <f t="shared" ref="BJ198:BK198" si="202">H198</f>
        <v/>
      </c>
      <c r="BK198" s="28" t="str">
        <f t="shared" si="202"/>
        <v/>
      </c>
      <c r="BL198" s="29" t="str">
        <f t="shared" si="8"/>
        <v/>
      </c>
    </row>
    <row r="199">
      <c r="A199" s="12" t="str">
        <f t="shared" si="2"/>
        <v/>
      </c>
      <c r="B199" s="13"/>
      <c r="C199" s="14"/>
      <c r="D199" s="15"/>
      <c r="E199" s="15"/>
      <c r="F199" s="15"/>
      <c r="G199" s="16"/>
      <c r="H199" s="14"/>
      <c r="I199" s="14"/>
      <c r="J199" s="16"/>
      <c r="K199" s="16"/>
      <c r="L199" s="17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>
        <f t="shared" si="3"/>
        <v>0</v>
      </c>
      <c r="BD199" s="18">
        <f t="shared" si="4"/>
        <v>0</v>
      </c>
      <c r="BE199" s="18">
        <f t="shared" si="5"/>
        <v>0</v>
      </c>
      <c r="BF199" s="18">
        <f t="shared" si="6"/>
        <v>0</v>
      </c>
      <c r="BG199" s="15"/>
      <c r="BH199" s="15"/>
      <c r="BI199" s="15"/>
      <c r="BJ199" s="19" t="str">
        <f t="shared" ref="BJ199:BK199" si="203">H199</f>
        <v/>
      </c>
      <c r="BK199" s="19" t="str">
        <f t="shared" si="203"/>
        <v/>
      </c>
      <c r="BL199" s="20" t="str">
        <f t="shared" si="8"/>
        <v/>
      </c>
    </row>
    <row r="200">
      <c r="A200" s="21" t="str">
        <f t="shared" si="2"/>
        <v/>
      </c>
      <c r="B200" s="22"/>
      <c r="C200" s="23"/>
      <c r="D200" s="24"/>
      <c r="E200" s="24"/>
      <c r="F200" s="24"/>
      <c r="G200" s="25"/>
      <c r="H200" s="23"/>
      <c r="I200" s="23"/>
      <c r="J200" s="25"/>
      <c r="K200" s="25"/>
      <c r="L200" s="26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>
        <f t="shared" si="3"/>
        <v>0</v>
      </c>
      <c r="BD200" s="27">
        <f t="shared" si="4"/>
        <v>0</v>
      </c>
      <c r="BE200" s="27">
        <f t="shared" si="5"/>
        <v>0</v>
      </c>
      <c r="BF200" s="27">
        <f t="shared" si="6"/>
        <v>0</v>
      </c>
      <c r="BG200" s="24"/>
      <c r="BH200" s="24"/>
      <c r="BI200" s="24"/>
      <c r="BJ200" s="28" t="str">
        <f t="shared" ref="BJ200:BK200" si="204">H200</f>
        <v/>
      </c>
      <c r="BK200" s="28" t="str">
        <f t="shared" si="204"/>
        <v/>
      </c>
      <c r="BL200" s="29" t="str">
        <f t="shared" si="8"/>
        <v/>
      </c>
    </row>
    <row r="201">
      <c r="A201" s="12" t="str">
        <f t="shared" si="2"/>
        <v/>
      </c>
      <c r="B201" s="13"/>
      <c r="C201" s="14"/>
      <c r="D201" s="15"/>
      <c r="E201" s="15"/>
      <c r="F201" s="15"/>
      <c r="G201" s="16"/>
      <c r="H201" s="14"/>
      <c r="I201" s="14"/>
      <c r="J201" s="16"/>
      <c r="K201" s="16"/>
      <c r="L201" s="17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>
        <f t="shared" si="3"/>
        <v>0</v>
      </c>
      <c r="BD201" s="18">
        <f t="shared" si="4"/>
        <v>0</v>
      </c>
      <c r="BE201" s="18">
        <f t="shared" si="5"/>
        <v>0</v>
      </c>
      <c r="BF201" s="18">
        <f t="shared" si="6"/>
        <v>0</v>
      </c>
      <c r="BG201" s="15"/>
      <c r="BH201" s="15"/>
      <c r="BI201" s="15"/>
      <c r="BJ201" s="19" t="str">
        <f t="shared" ref="BJ201:BK201" si="205">H201</f>
        <v/>
      </c>
      <c r="BK201" s="19" t="str">
        <f t="shared" si="205"/>
        <v/>
      </c>
      <c r="BL201" s="20" t="str">
        <f t="shared" si="8"/>
        <v/>
      </c>
    </row>
    <row r="202">
      <c r="A202" s="21" t="str">
        <f t="shared" si="2"/>
        <v/>
      </c>
      <c r="B202" s="22"/>
      <c r="C202" s="23"/>
      <c r="D202" s="24"/>
      <c r="E202" s="24"/>
      <c r="F202" s="24"/>
      <c r="G202" s="25"/>
      <c r="H202" s="23"/>
      <c r="I202" s="23"/>
      <c r="J202" s="25"/>
      <c r="K202" s="25"/>
      <c r="L202" s="26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>
        <f t="shared" si="3"/>
        <v>0</v>
      </c>
      <c r="BD202" s="27">
        <f t="shared" si="4"/>
        <v>0</v>
      </c>
      <c r="BE202" s="27">
        <f t="shared" si="5"/>
        <v>0</v>
      </c>
      <c r="BF202" s="27">
        <f t="shared" si="6"/>
        <v>0</v>
      </c>
      <c r="BG202" s="24"/>
      <c r="BH202" s="24"/>
      <c r="BI202" s="24"/>
      <c r="BJ202" s="28" t="str">
        <f t="shared" ref="BJ202:BK202" si="206">H202</f>
        <v/>
      </c>
      <c r="BK202" s="28" t="str">
        <f t="shared" si="206"/>
        <v/>
      </c>
      <c r="BL202" s="29" t="str">
        <f t="shared" si="8"/>
        <v/>
      </c>
    </row>
    <row r="203">
      <c r="A203" s="12" t="str">
        <f t="shared" si="2"/>
        <v/>
      </c>
      <c r="B203" s="13"/>
      <c r="C203" s="14"/>
      <c r="D203" s="15"/>
      <c r="E203" s="15"/>
      <c r="F203" s="15"/>
      <c r="G203" s="16"/>
      <c r="H203" s="14"/>
      <c r="I203" s="14"/>
      <c r="J203" s="16"/>
      <c r="K203" s="16"/>
      <c r="L203" s="17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>
        <f t="shared" si="3"/>
        <v>0</v>
      </c>
      <c r="BD203" s="18">
        <f t="shared" si="4"/>
        <v>0</v>
      </c>
      <c r="BE203" s="18">
        <f t="shared" si="5"/>
        <v>0</v>
      </c>
      <c r="BF203" s="18">
        <f t="shared" si="6"/>
        <v>0</v>
      </c>
      <c r="BG203" s="15"/>
      <c r="BH203" s="15"/>
      <c r="BI203" s="15"/>
      <c r="BJ203" s="19" t="str">
        <f t="shared" ref="BJ203:BK203" si="207">H203</f>
        <v/>
      </c>
      <c r="BK203" s="19" t="str">
        <f t="shared" si="207"/>
        <v/>
      </c>
      <c r="BL203" s="20" t="str">
        <f t="shared" si="8"/>
        <v/>
      </c>
    </row>
    <row r="204">
      <c r="A204" s="21" t="str">
        <f t="shared" si="2"/>
        <v/>
      </c>
      <c r="B204" s="22"/>
      <c r="C204" s="23"/>
      <c r="D204" s="24"/>
      <c r="E204" s="24"/>
      <c r="F204" s="24"/>
      <c r="G204" s="25"/>
      <c r="H204" s="23"/>
      <c r="I204" s="23"/>
      <c r="J204" s="25"/>
      <c r="K204" s="25"/>
      <c r="L204" s="26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>
        <f t="shared" si="3"/>
        <v>0</v>
      </c>
      <c r="BD204" s="27">
        <f t="shared" si="4"/>
        <v>0</v>
      </c>
      <c r="BE204" s="27">
        <f t="shared" si="5"/>
        <v>0</v>
      </c>
      <c r="BF204" s="27">
        <f t="shared" si="6"/>
        <v>0</v>
      </c>
      <c r="BG204" s="24"/>
      <c r="BH204" s="24"/>
      <c r="BI204" s="24"/>
      <c r="BJ204" s="28" t="str">
        <f t="shared" ref="BJ204:BK204" si="208">H204</f>
        <v/>
      </c>
      <c r="BK204" s="28" t="str">
        <f t="shared" si="208"/>
        <v/>
      </c>
      <c r="BL204" s="29" t="str">
        <f t="shared" si="8"/>
        <v/>
      </c>
    </row>
    <row r="205">
      <c r="A205" s="12" t="str">
        <f t="shared" si="2"/>
        <v/>
      </c>
      <c r="B205" s="13"/>
      <c r="C205" s="14"/>
      <c r="D205" s="15"/>
      <c r="E205" s="15"/>
      <c r="F205" s="15"/>
      <c r="G205" s="16"/>
      <c r="H205" s="14"/>
      <c r="I205" s="14"/>
      <c r="J205" s="16"/>
      <c r="K205" s="16"/>
      <c r="L205" s="17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>
        <f t="shared" si="3"/>
        <v>0</v>
      </c>
      <c r="BD205" s="18">
        <f t="shared" si="4"/>
        <v>0</v>
      </c>
      <c r="BE205" s="18">
        <f t="shared" si="5"/>
        <v>0</v>
      </c>
      <c r="BF205" s="18">
        <f t="shared" si="6"/>
        <v>0</v>
      </c>
      <c r="BG205" s="15"/>
      <c r="BH205" s="15"/>
      <c r="BI205" s="15"/>
      <c r="BJ205" s="19" t="str">
        <f t="shared" ref="BJ205:BK205" si="209">H205</f>
        <v/>
      </c>
      <c r="BK205" s="19" t="str">
        <f t="shared" si="209"/>
        <v/>
      </c>
      <c r="BL205" s="20" t="str">
        <f t="shared" si="8"/>
        <v/>
      </c>
    </row>
    <row r="206">
      <c r="A206" s="21" t="str">
        <f t="shared" si="2"/>
        <v/>
      </c>
      <c r="B206" s="22"/>
      <c r="C206" s="23"/>
      <c r="D206" s="24"/>
      <c r="E206" s="24"/>
      <c r="F206" s="24"/>
      <c r="G206" s="25"/>
      <c r="H206" s="23"/>
      <c r="I206" s="23"/>
      <c r="J206" s="25"/>
      <c r="K206" s="25"/>
      <c r="L206" s="26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>
        <f t="shared" si="3"/>
        <v>0</v>
      </c>
      <c r="BD206" s="27">
        <f t="shared" si="4"/>
        <v>0</v>
      </c>
      <c r="BE206" s="27">
        <f t="shared" si="5"/>
        <v>0</v>
      </c>
      <c r="BF206" s="27">
        <f t="shared" si="6"/>
        <v>0</v>
      </c>
      <c r="BG206" s="24"/>
      <c r="BH206" s="24"/>
      <c r="BI206" s="24"/>
      <c r="BJ206" s="28" t="str">
        <f t="shared" ref="BJ206:BK206" si="210">H206</f>
        <v/>
      </c>
      <c r="BK206" s="28" t="str">
        <f t="shared" si="210"/>
        <v/>
      </c>
      <c r="BL206" s="29" t="str">
        <f t="shared" si="8"/>
        <v/>
      </c>
    </row>
    <row r="207">
      <c r="A207" s="12" t="str">
        <f t="shared" si="2"/>
        <v/>
      </c>
      <c r="B207" s="13"/>
      <c r="C207" s="14"/>
      <c r="D207" s="15"/>
      <c r="E207" s="15"/>
      <c r="F207" s="15"/>
      <c r="G207" s="16"/>
      <c r="H207" s="14"/>
      <c r="I207" s="14"/>
      <c r="J207" s="16"/>
      <c r="K207" s="16"/>
      <c r="L207" s="17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>
        <f t="shared" si="3"/>
        <v>0</v>
      </c>
      <c r="BD207" s="18">
        <f t="shared" si="4"/>
        <v>0</v>
      </c>
      <c r="BE207" s="18">
        <f t="shared" si="5"/>
        <v>0</v>
      </c>
      <c r="BF207" s="18">
        <f t="shared" si="6"/>
        <v>0</v>
      </c>
      <c r="BG207" s="15"/>
      <c r="BH207" s="15"/>
      <c r="BI207" s="15"/>
      <c r="BJ207" s="19" t="str">
        <f t="shared" ref="BJ207:BK207" si="211">H207</f>
        <v/>
      </c>
      <c r="BK207" s="19" t="str">
        <f t="shared" si="211"/>
        <v/>
      </c>
      <c r="BL207" s="20" t="str">
        <f t="shared" si="8"/>
        <v/>
      </c>
    </row>
    <row r="208">
      <c r="A208" s="21" t="str">
        <f t="shared" si="2"/>
        <v/>
      </c>
      <c r="B208" s="22"/>
      <c r="C208" s="23"/>
      <c r="D208" s="24"/>
      <c r="E208" s="24"/>
      <c r="F208" s="24"/>
      <c r="G208" s="25"/>
      <c r="H208" s="23"/>
      <c r="I208" s="23"/>
      <c r="J208" s="25"/>
      <c r="K208" s="25"/>
      <c r="L208" s="26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>
        <f t="shared" si="3"/>
        <v>0</v>
      </c>
      <c r="BD208" s="27">
        <f t="shared" si="4"/>
        <v>0</v>
      </c>
      <c r="BE208" s="27">
        <f t="shared" si="5"/>
        <v>0</v>
      </c>
      <c r="BF208" s="27">
        <f t="shared" si="6"/>
        <v>0</v>
      </c>
      <c r="BG208" s="24"/>
      <c r="BH208" s="24"/>
      <c r="BI208" s="24"/>
      <c r="BJ208" s="28" t="str">
        <f t="shared" ref="BJ208:BK208" si="212">H208</f>
        <v/>
      </c>
      <c r="BK208" s="28" t="str">
        <f t="shared" si="212"/>
        <v/>
      </c>
      <c r="BL208" s="29" t="str">
        <f t="shared" si="8"/>
        <v/>
      </c>
    </row>
    <row r="209">
      <c r="A209" s="12" t="str">
        <f t="shared" si="2"/>
        <v/>
      </c>
      <c r="B209" s="13"/>
      <c r="C209" s="14"/>
      <c r="D209" s="15"/>
      <c r="E209" s="15"/>
      <c r="F209" s="15"/>
      <c r="G209" s="16"/>
      <c r="H209" s="14"/>
      <c r="I209" s="14"/>
      <c r="J209" s="16"/>
      <c r="K209" s="16"/>
      <c r="L209" s="17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>
        <f t="shared" si="3"/>
        <v>0</v>
      </c>
      <c r="BD209" s="18">
        <f t="shared" si="4"/>
        <v>0</v>
      </c>
      <c r="BE209" s="18">
        <f t="shared" si="5"/>
        <v>0</v>
      </c>
      <c r="BF209" s="18">
        <f t="shared" si="6"/>
        <v>0</v>
      </c>
      <c r="BG209" s="15"/>
      <c r="BH209" s="15"/>
      <c r="BI209" s="15"/>
      <c r="BJ209" s="19" t="str">
        <f t="shared" ref="BJ209:BK209" si="213">H209</f>
        <v/>
      </c>
      <c r="BK209" s="19" t="str">
        <f t="shared" si="213"/>
        <v/>
      </c>
      <c r="BL209" s="20" t="str">
        <f t="shared" si="8"/>
        <v/>
      </c>
    </row>
    <row r="210">
      <c r="A210" s="21" t="str">
        <f t="shared" si="2"/>
        <v/>
      </c>
      <c r="B210" s="22"/>
      <c r="C210" s="23"/>
      <c r="D210" s="24"/>
      <c r="E210" s="24"/>
      <c r="F210" s="24"/>
      <c r="G210" s="25"/>
      <c r="H210" s="23"/>
      <c r="I210" s="23"/>
      <c r="J210" s="25"/>
      <c r="K210" s="25"/>
      <c r="L210" s="26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>
        <f t="shared" si="3"/>
        <v>0</v>
      </c>
      <c r="BD210" s="27">
        <f t="shared" si="4"/>
        <v>0</v>
      </c>
      <c r="BE210" s="27">
        <f t="shared" si="5"/>
        <v>0</v>
      </c>
      <c r="BF210" s="27">
        <f t="shared" si="6"/>
        <v>0</v>
      </c>
      <c r="BG210" s="24"/>
      <c r="BH210" s="24"/>
      <c r="BI210" s="24"/>
      <c r="BJ210" s="28" t="str">
        <f t="shared" ref="BJ210:BK210" si="214">H210</f>
        <v/>
      </c>
      <c r="BK210" s="28" t="str">
        <f t="shared" si="214"/>
        <v/>
      </c>
      <c r="BL210" s="29" t="str">
        <f t="shared" si="8"/>
        <v/>
      </c>
    </row>
    <row r="211">
      <c r="A211" s="12" t="str">
        <f t="shared" si="2"/>
        <v/>
      </c>
      <c r="B211" s="13"/>
      <c r="C211" s="14"/>
      <c r="D211" s="15"/>
      <c r="E211" s="15"/>
      <c r="F211" s="15"/>
      <c r="G211" s="16"/>
      <c r="H211" s="14"/>
      <c r="I211" s="14"/>
      <c r="J211" s="16"/>
      <c r="K211" s="16"/>
      <c r="L211" s="17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>
        <f t="shared" si="3"/>
        <v>0</v>
      </c>
      <c r="BD211" s="18">
        <f t="shared" si="4"/>
        <v>0</v>
      </c>
      <c r="BE211" s="18">
        <f t="shared" si="5"/>
        <v>0</v>
      </c>
      <c r="BF211" s="18">
        <f t="shared" si="6"/>
        <v>0</v>
      </c>
      <c r="BG211" s="15"/>
      <c r="BH211" s="15"/>
      <c r="BI211" s="15"/>
      <c r="BJ211" s="19" t="str">
        <f t="shared" ref="BJ211:BK211" si="215">H211</f>
        <v/>
      </c>
      <c r="BK211" s="19" t="str">
        <f t="shared" si="215"/>
        <v/>
      </c>
      <c r="BL211" s="20" t="str">
        <f t="shared" si="8"/>
        <v/>
      </c>
    </row>
    <row r="212">
      <c r="A212" s="21" t="str">
        <f t="shared" si="2"/>
        <v/>
      </c>
      <c r="B212" s="22"/>
      <c r="C212" s="23"/>
      <c r="D212" s="24"/>
      <c r="E212" s="24"/>
      <c r="F212" s="24"/>
      <c r="G212" s="25"/>
      <c r="H212" s="23"/>
      <c r="I212" s="23"/>
      <c r="J212" s="25"/>
      <c r="K212" s="25"/>
      <c r="L212" s="26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>
        <f t="shared" si="3"/>
        <v>0</v>
      </c>
      <c r="BD212" s="27">
        <f t="shared" si="4"/>
        <v>0</v>
      </c>
      <c r="BE212" s="27">
        <f t="shared" si="5"/>
        <v>0</v>
      </c>
      <c r="BF212" s="27">
        <f t="shared" si="6"/>
        <v>0</v>
      </c>
      <c r="BG212" s="24"/>
      <c r="BH212" s="24"/>
      <c r="BI212" s="24"/>
      <c r="BJ212" s="28" t="str">
        <f t="shared" ref="BJ212:BK212" si="216">H212</f>
        <v/>
      </c>
      <c r="BK212" s="28" t="str">
        <f t="shared" si="216"/>
        <v/>
      </c>
      <c r="BL212" s="29" t="str">
        <f t="shared" si="8"/>
        <v/>
      </c>
    </row>
    <row r="213">
      <c r="A213" s="12" t="str">
        <f t="shared" si="2"/>
        <v/>
      </c>
      <c r="B213" s="13"/>
      <c r="C213" s="14"/>
      <c r="D213" s="15"/>
      <c r="E213" s="15"/>
      <c r="F213" s="15"/>
      <c r="G213" s="16"/>
      <c r="H213" s="14"/>
      <c r="I213" s="14"/>
      <c r="J213" s="16"/>
      <c r="K213" s="14"/>
      <c r="L213" s="17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>
        <f t="shared" si="3"/>
        <v>0</v>
      </c>
      <c r="BD213" s="18">
        <f t="shared" si="4"/>
        <v>0</v>
      </c>
      <c r="BE213" s="18">
        <f t="shared" si="5"/>
        <v>0</v>
      </c>
      <c r="BF213" s="18">
        <f t="shared" si="6"/>
        <v>0</v>
      </c>
      <c r="BG213" s="15"/>
      <c r="BH213" s="15"/>
      <c r="BI213" s="15"/>
      <c r="BJ213" s="19" t="str">
        <f t="shared" ref="BJ213:BK213" si="217">H213</f>
        <v/>
      </c>
      <c r="BK213" s="19" t="str">
        <f t="shared" si="217"/>
        <v/>
      </c>
      <c r="BL213" s="20" t="str">
        <f t="shared" si="8"/>
        <v/>
      </c>
    </row>
    <row r="214">
      <c r="A214" s="21" t="str">
        <f t="shared" si="2"/>
        <v/>
      </c>
      <c r="B214" s="22"/>
      <c r="C214" s="23"/>
      <c r="D214" s="22"/>
      <c r="E214" s="22"/>
      <c r="F214" s="22"/>
      <c r="G214" s="25"/>
      <c r="H214" s="23"/>
      <c r="I214" s="23"/>
      <c r="J214" s="25"/>
      <c r="K214" s="25"/>
      <c r="L214" s="26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>
        <f t="shared" si="3"/>
        <v>0</v>
      </c>
      <c r="BD214" s="27">
        <f t="shared" si="4"/>
        <v>0</v>
      </c>
      <c r="BE214" s="27">
        <f t="shared" si="5"/>
        <v>0</v>
      </c>
      <c r="BF214" s="27">
        <f t="shared" si="6"/>
        <v>0</v>
      </c>
      <c r="BG214" s="24"/>
      <c r="BH214" s="24"/>
      <c r="BI214" s="24"/>
      <c r="BJ214" s="28" t="str">
        <f t="shared" ref="BJ214:BK214" si="218">H214</f>
        <v/>
      </c>
      <c r="BK214" s="28" t="str">
        <f t="shared" si="218"/>
        <v/>
      </c>
      <c r="BL214" s="29" t="str">
        <f t="shared" si="8"/>
        <v/>
      </c>
    </row>
    <row r="215">
      <c r="A215" s="12" t="str">
        <f t="shared" si="2"/>
        <v/>
      </c>
      <c r="B215" s="13"/>
      <c r="C215" s="14"/>
      <c r="D215" s="15"/>
      <c r="E215" s="15"/>
      <c r="F215" s="15"/>
      <c r="G215" s="16"/>
      <c r="H215" s="14"/>
      <c r="I215" s="14"/>
      <c r="J215" s="16"/>
      <c r="K215" s="16"/>
      <c r="L215" s="17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>
        <f t="shared" si="3"/>
        <v>0</v>
      </c>
      <c r="BD215" s="18">
        <f t="shared" si="4"/>
        <v>0</v>
      </c>
      <c r="BE215" s="18">
        <f t="shared" si="5"/>
        <v>0</v>
      </c>
      <c r="BF215" s="18">
        <f t="shared" si="6"/>
        <v>0</v>
      </c>
      <c r="BG215" s="15"/>
      <c r="BH215" s="15"/>
      <c r="BI215" s="15"/>
      <c r="BJ215" s="19" t="str">
        <f t="shared" ref="BJ215:BK215" si="219">H215</f>
        <v/>
      </c>
      <c r="BK215" s="19" t="str">
        <f t="shared" si="219"/>
        <v/>
      </c>
      <c r="BL215" s="20" t="str">
        <f t="shared" si="8"/>
        <v/>
      </c>
    </row>
    <row r="216">
      <c r="A216" s="21" t="str">
        <f t="shared" si="2"/>
        <v/>
      </c>
      <c r="B216" s="22"/>
      <c r="C216" s="23"/>
      <c r="D216" s="24"/>
      <c r="E216" s="24"/>
      <c r="F216" s="24"/>
      <c r="G216" s="25"/>
      <c r="H216" s="23"/>
      <c r="I216" s="23"/>
      <c r="J216" s="25"/>
      <c r="K216" s="25"/>
      <c r="L216" s="26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>
        <f t="shared" si="3"/>
        <v>0</v>
      </c>
      <c r="BD216" s="27">
        <f t="shared" si="4"/>
        <v>0</v>
      </c>
      <c r="BE216" s="27">
        <f t="shared" si="5"/>
        <v>0</v>
      </c>
      <c r="BF216" s="27">
        <f t="shared" si="6"/>
        <v>0</v>
      </c>
      <c r="BG216" s="24"/>
      <c r="BH216" s="24"/>
      <c r="BI216" s="24"/>
      <c r="BJ216" s="28" t="str">
        <f t="shared" ref="BJ216:BK216" si="220">H216</f>
        <v/>
      </c>
      <c r="BK216" s="28" t="str">
        <f t="shared" si="220"/>
        <v/>
      </c>
      <c r="BL216" s="29" t="str">
        <f t="shared" si="8"/>
        <v/>
      </c>
    </row>
    <row r="217">
      <c r="A217" s="12" t="str">
        <f t="shared" si="2"/>
        <v/>
      </c>
      <c r="B217" s="13"/>
      <c r="C217" s="14"/>
      <c r="D217" s="15"/>
      <c r="E217" s="15"/>
      <c r="F217" s="15"/>
      <c r="G217" s="16"/>
      <c r="H217" s="14"/>
      <c r="I217" s="14"/>
      <c r="J217" s="16"/>
      <c r="K217" s="16"/>
      <c r="L217" s="17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>
        <f t="shared" si="3"/>
        <v>0</v>
      </c>
      <c r="BD217" s="18">
        <f t="shared" si="4"/>
        <v>0</v>
      </c>
      <c r="BE217" s="18">
        <f t="shared" si="5"/>
        <v>0</v>
      </c>
      <c r="BF217" s="18">
        <f t="shared" si="6"/>
        <v>0</v>
      </c>
      <c r="BG217" s="15"/>
      <c r="BH217" s="15"/>
      <c r="BI217" s="15"/>
      <c r="BJ217" s="19" t="str">
        <f t="shared" ref="BJ217:BK217" si="221">H217</f>
        <v/>
      </c>
      <c r="BK217" s="19" t="str">
        <f t="shared" si="221"/>
        <v/>
      </c>
      <c r="BL217" s="20" t="str">
        <f t="shared" si="8"/>
        <v/>
      </c>
    </row>
    <row r="218">
      <c r="A218" s="21" t="str">
        <f t="shared" si="2"/>
        <v/>
      </c>
      <c r="B218" s="22"/>
      <c r="C218" s="23"/>
      <c r="D218" s="24"/>
      <c r="E218" s="24"/>
      <c r="F218" s="24"/>
      <c r="G218" s="25"/>
      <c r="H218" s="23"/>
      <c r="I218" s="23"/>
      <c r="J218" s="25"/>
      <c r="K218" s="25"/>
      <c r="L218" s="26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>
        <f t="shared" si="3"/>
        <v>0</v>
      </c>
      <c r="BD218" s="27">
        <f t="shared" si="4"/>
        <v>0</v>
      </c>
      <c r="BE218" s="27">
        <f t="shared" si="5"/>
        <v>0</v>
      </c>
      <c r="BF218" s="27">
        <f t="shared" si="6"/>
        <v>0</v>
      </c>
      <c r="BG218" s="24"/>
      <c r="BH218" s="24"/>
      <c r="BI218" s="24"/>
      <c r="BJ218" s="28" t="str">
        <f t="shared" ref="BJ218:BK218" si="222">H218</f>
        <v/>
      </c>
      <c r="BK218" s="28" t="str">
        <f t="shared" si="222"/>
        <v/>
      </c>
      <c r="BL218" s="29" t="str">
        <f t="shared" si="8"/>
        <v/>
      </c>
    </row>
    <row r="219">
      <c r="A219" s="12" t="str">
        <f t="shared" si="2"/>
        <v/>
      </c>
      <c r="B219" s="13"/>
      <c r="C219" s="14"/>
      <c r="D219" s="15"/>
      <c r="E219" s="15"/>
      <c r="F219" s="15"/>
      <c r="G219" s="16"/>
      <c r="H219" s="14"/>
      <c r="I219" s="14"/>
      <c r="J219" s="16"/>
      <c r="K219" s="16"/>
      <c r="L219" s="17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>
        <f t="shared" si="3"/>
        <v>0</v>
      </c>
      <c r="BD219" s="18">
        <f t="shared" si="4"/>
        <v>0</v>
      </c>
      <c r="BE219" s="18">
        <f t="shared" si="5"/>
        <v>0</v>
      </c>
      <c r="BF219" s="18">
        <f t="shared" si="6"/>
        <v>0</v>
      </c>
      <c r="BG219" s="15"/>
      <c r="BH219" s="15"/>
      <c r="BI219" s="15"/>
      <c r="BJ219" s="19" t="str">
        <f t="shared" ref="BJ219:BK219" si="223">H219</f>
        <v/>
      </c>
      <c r="BK219" s="19" t="str">
        <f t="shared" si="223"/>
        <v/>
      </c>
      <c r="BL219" s="20" t="str">
        <f t="shared" si="8"/>
        <v/>
      </c>
    </row>
    <row r="220">
      <c r="A220" s="21" t="str">
        <f t="shared" si="2"/>
        <v/>
      </c>
      <c r="B220" s="22"/>
      <c r="C220" s="23"/>
      <c r="D220" s="24"/>
      <c r="E220" s="24"/>
      <c r="F220" s="24"/>
      <c r="G220" s="25"/>
      <c r="H220" s="23"/>
      <c r="I220" s="23"/>
      <c r="J220" s="25"/>
      <c r="K220" s="25"/>
      <c r="L220" s="26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>
        <f t="shared" si="3"/>
        <v>0</v>
      </c>
      <c r="BD220" s="27">
        <f t="shared" si="4"/>
        <v>0</v>
      </c>
      <c r="BE220" s="27">
        <f t="shared" si="5"/>
        <v>0</v>
      </c>
      <c r="BF220" s="27">
        <f t="shared" si="6"/>
        <v>0</v>
      </c>
      <c r="BG220" s="24"/>
      <c r="BH220" s="24"/>
      <c r="BI220" s="24"/>
      <c r="BJ220" s="28" t="str">
        <f t="shared" ref="BJ220:BK220" si="224">H220</f>
        <v/>
      </c>
      <c r="BK220" s="28" t="str">
        <f t="shared" si="224"/>
        <v/>
      </c>
      <c r="BL220" s="29" t="str">
        <f t="shared" si="8"/>
        <v/>
      </c>
    </row>
    <row r="221">
      <c r="A221" s="12" t="str">
        <f t="shared" si="2"/>
        <v/>
      </c>
      <c r="B221" s="13"/>
      <c r="C221" s="14"/>
      <c r="D221" s="15"/>
      <c r="E221" s="15"/>
      <c r="F221" s="15"/>
      <c r="G221" s="16"/>
      <c r="H221" s="14"/>
      <c r="I221" s="14"/>
      <c r="J221" s="16"/>
      <c r="K221" s="16"/>
      <c r="L221" s="17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>
        <f t="shared" si="3"/>
        <v>0</v>
      </c>
      <c r="BD221" s="18">
        <f t="shared" si="4"/>
        <v>0</v>
      </c>
      <c r="BE221" s="18">
        <f t="shared" si="5"/>
        <v>0</v>
      </c>
      <c r="BF221" s="18">
        <f t="shared" si="6"/>
        <v>0</v>
      </c>
      <c r="BG221" s="15"/>
      <c r="BH221" s="15"/>
      <c r="BI221" s="15"/>
      <c r="BJ221" s="19" t="str">
        <f t="shared" ref="BJ221:BK221" si="225">H221</f>
        <v/>
      </c>
      <c r="BK221" s="19" t="str">
        <f t="shared" si="225"/>
        <v/>
      </c>
      <c r="BL221" s="20" t="str">
        <f t="shared" si="8"/>
        <v/>
      </c>
    </row>
    <row r="222">
      <c r="A222" s="21" t="str">
        <f t="shared" si="2"/>
        <v/>
      </c>
      <c r="B222" s="22"/>
      <c r="C222" s="23"/>
      <c r="D222" s="24"/>
      <c r="E222" s="24"/>
      <c r="F222" s="24"/>
      <c r="G222" s="25"/>
      <c r="H222" s="23"/>
      <c r="I222" s="23"/>
      <c r="J222" s="25"/>
      <c r="K222" s="25"/>
      <c r="L222" s="26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>
        <f t="shared" si="3"/>
        <v>0</v>
      </c>
      <c r="BD222" s="27">
        <f t="shared" si="4"/>
        <v>0</v>
      </c>
      <c r="BE222" s="27">
        <f t="shared" si="5"/>
        <v>0</v>
      </c>
      <c r="BF222" s="27">
        <f t="shared" si="6"/>
        <v>0</v>
      </c>
      <c r="BG222" s="24"/>
      <c r="BH222" s="24"/>
      <c r="BI222" s="24"/>
      <c r="BJ222" s="28" t="str">
        <f t="shared" ref="BJ222:BK222" si="226">H222</f>
        <v/>
      </c>
      <c r="BK222" s="28" t="str">
        <f t="shared" si="226"/>
        <v/>
      </c>
      <c r="BL222" s="29" t="str">
        <f t="shared" si="8"/>
        <v/>
      </c>
    </row>
    <row r="223">
      <c r="A223" s="12" t="str">
        <f t="shared" si="2"/>
        <v/>
      </c>
      <c r="B223" s="13"/>
      <c r="C223" s="14"/>
      <c r="D223" s="15"/>
      <c r="E223" s="15"/>
      <c r="F223" s="15"/>
      <c r="G223" s="16"/>
      <c r="H223" s="14"/>
      <c r="I223" s="14"/>
      <c r="J223" s="16"/>
      <c r="K223" s="16"/>
      <c r="L223" s="17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>
        <f t="shared" si="3"/>
        <v>0</v>
      </c>
      <c r="BD223" s="18">
        <f t="shared" si="4"/>
        <v>0</v>
      </c>
      <c r="BE223" s="18">
        <f t="shared" si="5"/>
        <v>0</v>
      </c>
      <c r="BF223" s="18">
        <f t="shared" si="6"/>
        <v>0</v>
      </c>
      <c r="BG223" s="15"/>
      <c r="BH223" s="15"/>
      <c r="BI223" s="15"/>
      <c r="BJ223" s="19" t="str">
        <f t="shared" ref="BJ223:BK223" si="227">H223</f>
        <v/>
      </c>
      <c r="BK223" s="19" t="str">
        <f t="shared" si="227"/>
        <v/>
      </c>
      <c r="BL223" s="20" t="str">
        <f t="shared" si="8"/>
        <v/>
      </c>
    </row>
    <row r="224">
      <c r="A224" s="21" t="str">
        <f t="shared" si="2"/>
        <v/>
      </c>
      <c r="B224" s="22"/>
      <c r="C224" s="23"/>
      <c r="D224" s="24"/>
      <c r="E224" s="24"/>
      <c r="F224" s="24"/>
      <c r="G224" s="25"/>
      <c r="H224" s="23"/>
      <c r="I224" s="23"/>
      <c r="J224" s="25"/>
      <c r="K224" s="25"/>
      <c r="L224" s="26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>
        <f t="shared" si="3"/>
        <v>0</v>
      </c>
      <c r="BD224" s="27">
        <f t="shared" si="4"/>
        <v>0</v>
      </c>
      <c r="BE224" s="27">
        <f t="shared" si="5"/>
        <v>0</v>
      </c>
      <c r="BF224" s="27">
        <f t="shared" si="6"/>
        <v>0</v>
      </c>
      <c r="BG224" s="24"/>
      <c r="BH224" s="24"/>
      <c r="BI224" s="24"/>
      <c r="BJ224" s="28" t="str">
        <f t="shared" ref="BJ224:BK224" si="228">H224</f>
        <v/>
      </c>
      <c r="BK224" s="28" t="str">
        <f t="shared" si="228"/>
        <v/>
      </c>
      <c r="BL224" s="29" t="str">
        <f t="shared" si="8"/>
        <v/>
      </c>
    </row>
    <row r="225">
      <c r="A225" s="12" t="str">
        <f t="shared" si="2"/>
        <v/>
      </c>
      <c r="B225" s="13"/>
      <c r="C225" s="14"/>
      <c r="D225" s="15"/>
      <c r="E225" s="15"/>
      <c r="F225" s="15"/>
      <c r="G225" s="16"/>
      <c r="H225" s="14"/>
      <c r="I225" s="14"/>
      <c r="J225" s="16"/>
      <c r="K225" s="16"/>
      <c r="L225" s="17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>
        <f t="shared" si="3"/>
        <v>0</v>
      </c>
      <c r="BD225" s="18">
        <f t="shared" si="4"/>
        <v>0</v>
      </c>
      <c r="BE225" s="18">
        <f t="shared" si="5"/>
        <v>0</v>
      </c>
      <c r="BF225" s="18">
        <f t="shared" si="6"/>
        <v>0</v>
      </c>
      <c r="BG225" s="15"/>
      <c r="BH225" s="15"/>
      <c r="BI225" s="15"/>
      <c r="BJ225" s="19" t="str">
        <f t="shared" ref="BJ225:BK225" si="229">H225</f>
        <v/>
      </c>
      <c r="BK225" s="19" t="str">
        <f t="shared" si="229"/>
        <v/>
      </c>
      <c r="BL225" s="20" t="str">
        <f t="shared" si="8"/>
        <v/>
      </c>
    </row>
    <row r="226">
      <c r="A226" s="21" t="str">
        <f t="shared" si="2"/>
        <v/>
      </c>
      <c r="B226" s="22"/>
      <c r="C226" s="23"/>
      <c r="D226" s="24"/>
      <c r="E226" s="24"/>
      <c r="F226" s="24"/>
      <c r="G226" s="25"/>
      <c r="H226" s="23"/>
      <c r="I226" s="23"/>
      <c r="J226" s="25"/>
      <c r="K226" s="23"/>
      <c r="L226" s="26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>
        <f t="shared" si="3"/>
        <v>0</v>
      </c>
      <c r="BD226" s="27">
        <f t="shared" si="4"/>
        <v>0</v>
      </c>
      <c r="BE226" s="27">
        <f t="shared" si="5"/>
        <v>0</v>
      </c>
      <c r="BF226" s="27">
        <f t="shared" si="6"/>
        <v>0</v>
      </c>
      <c r="BG226" s="24"/>
      <c r="BH226" s="24"/>
      <c r="BI226" s="24"/>
      <c r="BJ226" s="28" t="str">
        <f t="shared" ref="BJ226:BK226" si="230">H226</f>
        <v/>
      </c>
      <c r="BK226" s="28" t="str">
        <f t="shared" si="230"/>
        <v/>
      </c>
      <c r="BL226" s="29" t="str">
        <f t="shared" si="8"/>
        <v/>
      </c>
    </row>
    <row r="227">
      <c r="A227" s="12" t="str">
        <f t="shared" si="2"/>
        <v/>
      </c>
      <c r="B227" s="13"/>
      <c r="C227" s="14"/>
      <c r="D227" s="15"/>
      <c r="E227" s="15"/>
      <c r="F227" s="15"/>
      <c r="G227" s="16"/>
      <c r="H227" s="14"/>
      <c r="I227" s="14"/>
      <c r="J227" s="16"/>
      <c r="K227" s="16"/>
      <c r="L227" s="17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>
        <f t="shared" si="3"/>
        <v>0</v>
      </c>
      <c r="BD227" s="18">
        <f t="shared" si="4"/>
        <v>0</v>
      </c>
      <c r="BE227" s="18">
        <f t="shared" si="5"/>
        <v>0</v>
      </c>
      <c r="BF227" s="18">
        <f t="shared" si="6"/>
        <v>0</v>
      </c>
      <c r="BG227" s="15"/>
      <c r="BH227" s="15"/>
      <c r="BI227" s="15"/>
      <c r="BJ227" s="19" t="str">
        <f t="shared" ref="BJ227:BK227" si="231">H227</f>
        <v/>
      </c>
      <c r="BK227" s="19" t="str">
        <f t="shared" si="231"/>
        <v/>
      </c>
      <c r="BL227" s="20" t="str">
        <f t="shared" si="8"/>
        <v/>
      </c>
    </row>
    <row r="228">
      <c r="A228" s="21" t="str">
        <f t="shared" si="2"/>
        <v/>
      </c>
      <c r="B228" s="22"/>
      <c r="C228" s="23"/>
      <c r="D228" s="24"/>
      <c r="E228" s="24"/>
      <c r="F228" s="24"/>
      <c r="G228" s="25"/>
      <c r="H228" s="23"/>
      <c r="I228" s="23"/>
      <c r="J228" s="25"/>
      <c r="K228" s="23"/>
      <c r="L228" s="26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>
        <f t="shared" si="3"/>
        <v>0</v>
      </c>
      <c r="BD228" s="27">
        <f t="shared" si="4"/>
        <v>0</v>
      </c>
      <c r="BE228" s="27">
        <f t="shared" si="5"/>
        <v>0</v>
      </c>
      <c r="BF228" s="27">
        <f t="shared" si="6"/>
        <v>0</v>
      </c>
      <c r="BG228" s="24"/>
      <c r="BH228" s="24"/>
      <c r="BI228" s="24"/>
      <c r="BJ228" s="28" t="str">
        <f t="shared" ref="BJ228:BK228" si="232">H228</f>
        <v/>
      </c>
      <c r="BK228" s="28" t="str">
        <f t="shared" si="232"/>
        <v/>
      </c>
      <c r="BL228" s="29" t="str">
        <f t="shared" si="8"/>
        <v/>
      </c>
    </row>
    <row r="229">
      <c r="A229" s="12" t="str">
        <f t="shared" si="2"/>
        <v/>
      </c>
      <c r="B229" s="13"/>
      <c r="C229" s="14"/>
      <c r="D229" s="15"/>
      <c r="E229" s="15"/>
      <c r="F229" s="15"/>
      <c r="G229" s="16"/>
      <c r="H229" s="14"/>
      <c r="I229" s="14"/>
      <c r="J229" s="16"/>
      <c r="K229" s="16"/>
      <c r="L229" s="17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>
        <f t="shared" si="3"/>
        <v>0</v>
      </c>
      <c r="BD229" s="18">
        <f t="shared" si="4"/>
        <v>0</v>
      </c>
      <c r="BE229" s="18">
        <f t="shared" si="5"/>
        <v>0</v>
      </c>
      <c r="BF229" s="18">
        <f t="shared" si="6"/>
        <v>0</v>
      </c>
      <c r="BG229" s="15"/>
      <c r="BH229" s="15"/>
      <c r="BI229" s="15"/>
      <c r="BJ229" s="19" t="str">
        <f t="shared" ref="BJ229:BK229" si="233">H229</f>
        <v/>
      </c>
      <c r="BK229" s="19" t="str">
        <f t="shared" si="233"/>
        <v/>
      </c>
      <c r="BL229" s="20" t="str">
        <f t="shared" si="8"/>
        <v/>
      </c>
    </row>
    <row r="230">
      <c r="A230" s="21" t="str">
        <f t="shared" si="2"/>
        <v/>
      </c>
      <c r="B230" s="22"/>
      <c r="C230" s="23"/>
      <c r="D230" s="24"/>
      <c r="E230" s="24"/>
      <c r="F230" s="24"/>
      <c r="G230" s="25"/>
      <c r="H230" s="23"/>
      <c r="I230" s="23"/>
      <c r="J230" s="25"/>
      <c r="K230" s="25"/>
      <c r="L230" s="26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>
        <f t="shared" si="3"/>
        <v>0</v>
      </c>
      <c r="BD230" s="27">
        <f t="shared" si="4"/>
        <v>0</v>
      </c>
      <c r="BE230" s="27">
        <f t="shared" si="5"/>
        <v>0</v>
      </c>
      <c r="BF230" s="27">
        <f t="shared" si="6"/>
        <v>0</v>
      </c>
      <c r="BG230" s="24"/>
      <c r="BH230" s="24"/>
      <c r="BI230" s="24"/>
      <c r="BJ230" s="28" t="str">
        <f t="shared" ref="BJ230:BK230" si="234">H230</f>
        <v/>
      </c>
      <c r="BK230" s="28" t="str">
        <f t="shared" si="234"/>
        <v/>
      </c>
      <c r="BL230" s="29" t="str">
        <f t="shared" si="8"/>
        <v/>
      </c>
    </row>
    <row r="231">
      <c r="A231" s="12" t="str">
        <f t="shared" si="2"/>
        <v/>
      </c>
      <c r="B231" s="13"/>
      <c r="C231" s="14"/>
      <c r="D231" s="15"/>
      <c r="E231" s="15"/>
      <c r="F231" s="15"/>
      <c r="G231" s="16"/>
      <c r="H231" s="14"/>
      <c r="I231" s="14"/>
      <c r="J231" s="16"/>
      <c r="K231" s="16"/>
      <c r="L231" s="17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>
        <f t="shared" si="3"/>
        <v>0</v>
      </c>
      <c r="BD231" s="18">
        <f t="shared" si="4"/>
        <v>0</v>
      </c>
      <c r="BE231" s="18">
        <f t="shared" si="5"/>
        <v>0</v>
      </c>
      <c r="BF231" s="18">
        <f t="shared" si="6"/>
        <v>0</v>
      </c>
      <c r="BG231" s="15"/>
      <c r="BH231" s="15"/>
      <c r="BI231" s="15"/>
      <c r="BJ231" s="19" t="str">
        <f t="shared" ref="BJ231:BK231" si="235">H231</f>
        <v/>
      </c>
      <c r="BK231" s="19" t="str">
        <f t="shared" si="235"/>
        <v/>
      </c>
      <c r="BL231" s="20" t="str">
        <f t="shared" si="8"/>
        <v/>
      </c>
    </row>
    <row r="232">
      <c r="A232" s="21" t="str">
        <f t="shared" si="2"/>
        <v/>
      </c>
      <c r="B232" s="22"/>
      <c r="C232" s="23"/>
      <c r="D232" s="24"/>
      <c r="E232" s="24"/>
      <c r="F232" s="24"/>
      <c r="G232" s="25"/>
      <c r="H232" s="23"/>
      <c r="I232" s="23"/>
      <c r="J232" s="25"/>
      <c r="K232" s="25"/>
      <c r="L232" s="26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>
        <f t="shared" si="3"/>
        <v>0</v>
      </c>
      <c r="BD232" s="27">
        <f t="shared" si="4"/>
        <v>0</v>
      </c>
      <c r="BE232" s="27">
        <f t="shared" si="5"/>
        <v>0</v>
      </c>
      <c r="BF232" s="27">
        <f t="shared" si="6"/>
        <v>0</v>
      </c>
      <c r="BG232" s="24"/>
      <c r="BH232" s="24"/>
      <c r="BI232" s="24"/>
      <c r="BJ232" s="28" t="str">
        <f t="shared" ref="BJ232:BK232" si="236">H232</f>
        <v/>
      </c>
      <c r="BK232" s="28" t="str">
        <f t="shared" si="236"/>
        <v/>
      </c>
      <c r="BL232" s="29" t="str">
        <f t="shared" si="8"/>
        <v/>
      </c>
    </row>
    <row r="233">
      <c r="A233" s="12" t="str">
        <f t="shared" si="2"/>
        <v/>
      </c>
      <c r="B233" s="13"/>
      <c r="C233" s="14"/>
      <c r="D233" s="15"/>
      <c r="E233" s="15"/>
      <c r="F233" s="15"/>
      <c r="G233" s="16"/>
      <c r="H233" s="14"/>
      <c r="I233" s="14"/>
      <c r="J233" s="16"/>
      <c r="K233" s="16"/>
      <c r="L233" s="17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>
        <f t="shared" si="3"/>
        <v>0</v>
      </c>
      <c r="BD233" s="18">
        <f t="shared" si="4"/>
        <v>0</v>
      </c>
      <c r="BE233" s="18">
        <f t="shared" si="5"/>
        <v>0</v>
      </c>
      <c r="BF233" s="18">
        <f t="shared" si="6"/>
        <v>0</v>
      </c>
      <c r="BG233" s="15"/>
      <c r="BH233" s="15"/>
      <c r="BI233" s="15"/>
      <c r="BJ233" s="19" t="str">
        <f t="shared" ref="BJ233:BK233" si="237">H233</f>
        <v/>
      </c>
      <c r="BK233" s="19" t="str">
        <f t="shared" si="237"/>
        <v/>
      </c>
      <c r="BL233" s="20" t="str">
        <f t="shared" si="8"/>
        <v/>
      </c>
    </row>
    <row r="234">
      <c r="A234" s="21" t="str">
        <f t="shared" si="2"/>
        <v/>
      </c>
      <c r="B234" s="22"/>
      <c r="C234" s="23"/>
      <c r="D234" s="24"/>
      <c r="E234" s="24"/>
      <c r="F234" s="24"/>
      <c r="G234" s="25"/>
      <c r="H234" s="23"/>
      <c r="I234" s="23"/>
      <c r="J234" s="25"/>
      <c r="K234" s="25"/>
      <c r="L234" s="26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>
        <f t="shared" si="3"/>
        <v>0</v>
      </c>
      <c r="BD234" s="27">
        <f t="shared" si="4"/>
        <v>0</v>
      </c>
      <c r="BE234" s="27">
        <f t="shared" si="5"/>
        <v>0</v>
      </c>
      <c r="BF234" s="27">
        <f t="shared" si="6"/>
        <v>0</v>
      </c>
      <c r="BG234" s="24"/>
      <c r="BH234" s="24"/>
      <c r="BI234" s="24"/>
      <c r="BJ234" s="28" t="str">
        <f t="shared" ref="BJ234:BK234" si="238">H234</f>
        <v/>
      </c>
      <c r="BK234" s="28" t="str">
        <f t="shared" si="238"/>
        <v/>
      </c>
      <c r="BL234" s="29" t="str">
        <f t="shared" si="8"/>
        <v/>
      </c>
    </row>
    <row r="235">
      <c r="A235" s="12" t="str">
        <f t="shared" si="2"/>
        <v/>
      </c>
      <c r="B235" s="13"/>
      <c r="C235" s="14"/>
      <c r="D235" s="15"/>
      <c r="E235" s="15"/>
      <c r="F235" s="15"/>
      <c r="G235" s="16"/>
      <c r="H235" s="14"/>
      <c r="I235" s="14"/>
      <c r="J235" s="16"/>
      <c r="K235" s="14"/>
      <c r="L235" s="17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>
        <f t="shared" si="3"/>
        <v>0</v>
      </c>
      <c r="BD235" s="18">
        <f t="shared" si="4"/>
        <v>0</v>
      </c>
      <c r="BE235" s="18">
        <f t="shared" si="5"/>
        <v>0</v>
      </c>
      <c r="BF235" s="18">
        <f t="shared" si="6"/>
        <v>0</v>
      </c>
      <c r="BG235" s="15"/>
      <c r="BH235" s="15"/>
      <c r="BI235" s="15"/>
      <c r="BJ235" s="19" t="str">
        <f t="shared" ref="BJ235:BK235" si="239">H235</f>
        <v/>
      </c>
      <c r="BK235" s="19" t="str">
        <f t="shared" si="239"/>
        <v/>
      </c>
      <c r="BL235" s="20" t="str">
        <f t="shared" si="8"/>
        <v/>
      </c>
    </row>
    <row r="236">
      <c r="A236" s="21" t="str">
        <f t="shared" si="2"/>
        <v/>
      </c>
      <c r="B236" s="22"/>
      <c r="C236" s="23"/>
      <c r="D236" s="24"/>
      <c r="E236" s="24"/>
      <c r="F236" s="24"/>
      <c r="G236" s="25"/>
      <c r="H236" s="23"/>
      <c r="I236" s="23"/>
      <c r="J236" s="25"/>
      <c r="K236" s="25"/>
      <c r="L236" s="26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>
        <f t="shared" si="3"/>
        <v>0</v>
      </c>
      <c r="BD236" s="27">
        <f t="shared" si="4"/>
        <v>0</v>
      </c>
      <c r="BE236" s="27">
        <f t="shared" si="5"/>
        <v>0</v>
      </c>
      <c r="BF236" s="27">
        <f t="shared" si="6"/>
        <v>0</v>
      </c>
      <c r="BG236" s="24"/>
      <c r="BH236" s="24"/>
      <c r="BI236" s="24"/>
      <c r="BJ236" s="28" t="str">
        <f t="shared" ref="BJ236:BK236" si="240">H236</f>
        <v/>
      </c>
      <c r="BK236" s="28" t="str">
        <f t="shared" si="240"/>
        <v/>
      </c>
      <c r="BL236" s="29" t="str">
        <f t="shared" si="8"/>
        <v/>
      </c>
    </row>
    <row r="237">
      <c r="A237" s="12" t="str">
        <f t="shared" si="2"/>
        <v/>
      </c>
      <c r="B237" s="13"/>
      <c r="C237" s="14"/>
      <c r="D237" s="15"/>
      <c r="E237" s="15"/>
      <c r="F237" s="15"/>
      <c r="G237" s="16"/>
      <c r="H237" s="14"/>
      <c r="I237" s="14"/>
      <c r="J237" s="16"/>
      <c r="K237" s="16"/>
      <c r="L237" s="17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>
        <f t="shared" si="3"/>
        <v>0</v>
      </c>
      <c r="BD237" s="18">
        <f t="shared" si="4"/>
        <v>0</v>
      </c>
      <c r="BE237" s="18">
        <f t="shared" si="5"/>
        <v>0</v>
      </c>
      <c r="BF237" s="18">
        <f t="shared" si="6"/>
        <v>0</v>
      </c>
      <c r="BG237" s="15"/>
      <c r="BH237" s="15"/>
      <c r="BI237" s="15"/>
      <c r="BJ237" s="19" t="str">
        <f t="shared" ref="BJ237:BK237" si="241">H237</f>
        <v/>
      </c>
      <c r="BK237" s="19" t="str">
        <f t="shared" si="241"/>
        <v/>
      </c>
      <c r="BL237" s="20" t="str">
        <f t="shared" si="8"/>
        <v/>
      </c>
    </row>
    <row r="238">
      <c r="A238" s="21" t="str">
        <f t="shared" si="2"/>
        <v/>
      </c>
      <c r="B238" s="22"/>
      <c r="C238" s="23"/>
      <c r="D238" s="24"/>
      <c r="E238" s="24"/>
      <c r="F238" s="24"/>
      <c r="G238" s="25"/>
      <c r="H238" s="23"/>
      <c r="I238" s="23"/>
      <c r="J238" s="25"/>
      <c r="K238" s="25"/>
      <c r="L238" s="26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>
        <f t="shared" si="3"/>
        <v>0</v>
      </c>
      <c r="BD238" s="27">
        <f t="shared" si="4"/>
        <v>0</v>
      </c>
      <c r="BE238" s="27">
        <f t="shared" si="5"/>
        <v>0</v>
      </c>
      <c r="BF238" s="27">
        <f t="shared" si="6"/>
        <v>0</v>
      </c>
      <c r="BG238" s="24"/>
      <c r="BH238" s="24"/>
      <c r="BI238" s="24"/>
      <c r="BJ238" s="28" t="str">
        <f t="shared" ref="BJ238:BK238" si="242">H238</f>
        <v/>
      </c>
      <c r="BK238" s="28" t="str">
        <f t="shared" si="242"/>
        <v/>
      </c>
      <c r="BL238" s="29" t="str">
        <f t="shared" si="8"/>
        <v/>
      </c>
    </row>
    <row r="239">
      <c r="A239" s="12" t="str">
        <f t="shared" si="2"/>
        <v/>
      </c>
      <c r="B239" s="13"/>
      <c r="C239" s="14"/>
      <c r="D239" s="15"/>
      <c r="E239" s="15"/>
      <c r="F239" s="15"/>
      <c r="G239" s="16"/>
      <c r="H239" s="14"/>
      <c r="I239" s="14"/>
      <c r="J239" s="16"/>
      <c r="K239" s="16"/>
      <c r="L239" s="17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>
        <f t="shared" si="3"/>
        <v>0</v>
      </c>
      <c r="BD239" s="18">
        <f t="shared" si="4"/>
        <v>0</v>
      </c>
      <c r="BE239" s="18">
        <f t="shared" si="5"/>
        <v>0</v>
      </c>
      <c r="BF239" s="18">
        <f t="shared" si="6"/>
        <v>0</v>
      </c>
      <c r="BG239" s="15"/>
      <c r="BH239" s="15"/>
      <c r="BI239" s="15"/>
      <c r="BJ239" s="19" t="str">
        <f t="shared" ref="BJ239:BK239" si="243">H239</f>
        <v/>
      </c>
      <c r="BK239" s="19" t="str">
        <f t="shared" si="243"/>
        <v/>
      </c>
      <c r="BL239" s="20" t="str">
        <f t="shared" si="8"/>
        <v/>
      </c>
    </row>
    <row r="240">
      <c r="A240" s="21" t="str">
        <f t="shared" si="2"/>
        <v/>
      </c>
      <c r="B240" s="22"/>
      <c r="C240" s="23"/>
      <c r="D240" s="24"/>
      <c r="E240" s="24"/>
      <c r="F240" s="24"/>
      <c r="G240" s="25"/>
      <c r="H240" s="23"/>
      <c r="I240" s="23"/>
      <c r="J240" s="25"/>
      <c r="K240" s="25"/>
      <c r="L240" s="26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>
        <f t="shared" si="3"/>
        <v>0</v>
      </c>
      <c r="BD240" s="27">
        <f t="shared" si="4"/>
        <v>0</v>
      </c>
      <c r="BE240" s="27">
        <f t="shared" si="5"/>
        <v>0</v>
      </c>
      <c r="BF240" s="27">
        <f t="shared" si="6"/>
        <v>0</v>
      </c>
      <c r="BG240" s="24"/>
      <c r="BH240" s="24"/>
      <c r="BI240" s="24"/>
      <c r="BJ240" s="28" t="str">
        <f t="shared" ref="BJ240:BK240" si="244">H240</f>
        <v/>
      </c>
      <c r="BK240" s="28" t="str">
        <f t="shared" si="244"/>
        <v/>
      </c>
      <c r="BL240" s="29" t="str">
        <f t="shared" si="8"/>
        <v/>
      </c>
    </row>
    <row r="241">
      <c r="A241" s="12" t="str">
        <f t="shared" si="2"/>
        <v/>
      </c>
      <c r="B241" s="13"/>
      <c r="C241" s="14"/>
      <c r="D241" s="15"/>
      <c r="E241" s="15"/>
      <c r="F241" s="15"/>
      <c r="G241" s="16"/>
      <c r="H241" s="14"/>
      <c r="I241" s="14"/>
      <c r="J241" s="16"/>
      <c r="K241" s="16"/>
      <c r="L241" s="17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>
        <f t="shared" si="3"/>
        <v>0</v>
      </c>
      <c r="BD241" s="18">
        <f t="shared" si="4"/>
        <v>0</v>
      </c>
      <c r="BE241" s="18">
        <f t="shared" si="5"/>
        <v>0</v>
      </c>
      <c r="BF241" s="18">
        <f t="shared" si="6"/>
        <v>0</v>
      </c>
      <c r="BG241" s="15"/>
      <c r="BH241" s="15"/>
      <c r="BI241" s="15"/>
      <c r="BJ241" s="19" t="str">
        <f t="shared" ref="BJ241:BK241" si="245">H241</f>
        <v/>
      </c>
      <c r="BK241" s="19" t="str">
        <f t="shared" si="245"/>
        <v/>
      </c>
      <c r="BL241" s="20" t="str">
        <f t="shared" si="8"/>
        <v/>
      </c>
    </row>
    <row r="242">
      <c r="A242" s="21" t="str">
        <f t="shared" si="2"/>
        <v/>
      </c>
      <c r="B242" s="22"/>
      <c r="C242" s="23"/>
      <c r="D242" s="24"/>
      <c r="E242" s="24"/>
      <c r="F242" s="24"/>
      <c r="G242" s="25"/>
      <c r="H242" s="23"/>
      <c r="I242" s="23"/>
      <c r="J242" s="25"/>
      <c r="K242" s="25"/>
      <c r="L242" s="26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>
        <f t="shared" si="3"/>
        <v>0</v>
      </c>
      <c r="BD242" s="27">
        <f t="shared" si="4"/>
        <v>0</v>
      </c>
      <c r="BE242" s="27">
        <f t="shared" si="5"/>
        <v>0</v>
      </c>
      <c r="BF242" s="27">
        <f t="shared" si="6"/>
        <v>0</v>
      </c>
      <c r="BG242" s="24"/>
      <c r="BH242" s="24"/>
      <c r="BI242" s="24"/>
      <c r="BJ242" s="28" t="str">
        <f t="shared" ref="BJ242:BK242" si="246">H242</f>
        <v/>
      </c>
      <c r="BK242" s="28" t="str">
        <f t="shared" si="246"/>
        <v/>
      </c>
      <c r="BL242" s="29" t="str">
        <f t="shared" si="8"/>
        <v/>
      </c>
    </row>
    <row r="243">
      <c r="A243" s="12" t="str">
        <f t="shared" si="2"/>
        <v/>
      </c>
      <c r="B243" s="13"/>
      <c r="C243" s="14"/>
      <c r="D243" s="15"/>
      <c r="E243" s="15"/>
      <c r="F243" s="15"/>
      <c r="G243" s="16"/>
      <c r="H243" s="14"/>
      <c r="I243" s="14"/>
      <c r="J243" s="16"/>
      <c r="K243" s="14"/>
      <c r="L243" s="17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>
        <f t="shared" si="3"/>
        <v>0</v>
      </c>
      <c r="BD243" s="18">
        <f t="shared" si="4"/>
        <v>0</v>
      </c>
      <c r="BE243" s="18">
        <f t="shared" si="5"/>
        <v>0</v>
      </c>
      <c r="BF243" s="18">
        <f t="shared" si="6"/>
        <v>0</v>
      </c>
      <c r="BG243" s="15"/>
      <c r="BH243" s="15"/>
      <c r="BI243" s="15"/>
      <c r="BJ243" s="19" t="str">
        <f t="shared" ref="BJ243:BK243" si="247">H243</f>
        <v/>
      </c>
      <c r="BK243" s="19" t="str">
        <f t="shared" si="247"/>
        <v/>
      </c>
      <c r="BL243" s="20" t="str">
        <f t="shared" si="8"/>
        <v/>
      </c>
    </row>
    <row r="244">
      <c r="A244" s="21" t="str">
        <f t="shared" si="2"/>
        <v/>
      </c>
      <c r="B244" s="22"/>
      <c r="C244" s="23"/>
      <c r="D244" s="24"/>
      <c r="E244" s="24"/>
      <c r="F244" s="24"/>
      <c r="G244" s="25"/>
      <c r="H244" s="23"/>
      <c r="I244" s="23"/>
      <c r="J244" s="25"/>
      <c r="K244" s="25"/>
      <c r="L244" s="26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>
        <f t="shared" si="3"/>
        <v>0</v>
      </c>
      <c r="BD244" s="27">
        <f t="shared" si="4"/>
        <v>0</v>
      </c>
      <c r="BE244" s="27">
        <f t="shared" si="5"/>
        <v>0</v>
      </c>
      <c r="BF244" s="27">
        <f t="shared" si="6"/>
        <v>0</v>
      </c>
      <c r="BG244" s="24"/>
      <c r="BH244" s="24"/>
      <c r="BI244" s="24"/>
      <c r="BJ244" s="28" t="str">
        <f t="shared" ref="BJ244:BK244" si="248">H244</f>
        <v/>
      </c>
      <c r="BK244" s="28" t="str">
        <f t="shared" si="248"/>
        <v/>
      </c>
      <c r="BL244" s="29" t="str">
        <f t="shared" si="8"/>
        <v/>
      </c>
    </row>
    <row r="245">
      <c r="A245" s="12" t="str">
        <f t="shared" si="2"/>
        <v/>
      </c>
      <c r="B245" s="13"/>
      <c r="C245" s="14"/>
      <c r="D245" s="15"/>
      <c r="E245" s="15"/>
      <c r="F245" s="15"/>
      <c r="G245" s="16"/>
      <c r="H245" s="14"/>
      <c r="I245" s="14"/>
      <c r="J245" s="16"/>
      <c r="K245" s="16"/>
      <c r="L245" s="17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>
        <f t="shared" si="3"/>
        <v>0</v>
      </c>
      <c r="BD245" s="18">
        <f t="shared" si="4"/>
        <v>0</v>
      </c>
      <c r="BE245" s="18">
        <f t="shared" si="5"/>
        <v>0</v>
      </c>
      <c r="BF245" s="18">
        <f t="shared" si="6"/>
        <v>0</v>
      </c>
      <c r="BG245" s="15"/>
      <c r="BH245" s="15"/>
      <c r="BI245" s="15"/>
      <c r="BJ245" s="19" t="str">
        <f t="shared" ref="BJ245:BK245" si="249">H245</f>
        <v/>
      </c>
      <c r="BK245" s="19" t="str">
        <f t="shared" si="249"/>
        <v/>
      </c>
      <c r="BL245" s="20" t="str">
        <f t="shared" si="8"/>
        <v/>
      </c>
    </row>
    <row r="246">
      <c r="A246" s="21" t="str">
        <f t="shared" si="2"/>
        <v/>
      </c>
      <c r="B246" s="22"/>
      <c r="C246" s="23"/>
      <c r="D246" s="24"/>
      <c r="E246" s="24"/>
      <c r="F246" s="24"/>
      <c r="G246" s="25"/>
      <c r="H246" s="23"/>
      <c r="I246" s="23"/>
      <c r="J246" s="25"/>
      <c r="K246" s="25"/>
      <c r="L246" s="26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>
        <f t="shared" si="3"/>
        <v>0</v>
      </c>
      <c r="BD246" s="27">
        <f t="shared" si="4"/>
        <v>0</v>
      </c>
      <c r="BE246" s="27">
        <f t="shared" si="5"/>
        <v>0</v>
      </c>
      <c r="BF246" s="27">
        <f t="shared" si="6"/>
        <v>0</v>
      </c>
      <c r="BG246" s="24"/>
      <c r="BH246" s="24"/>
      <c r="BI246" s="24"/>
      <c r="BJ246" s="28" t="str">
        <f t="shared" ref="BJ246:BK246" si="250">H246</f>
        <v/>
      </c>
      <c r="BK246" s="28" t="str">
        <f t="shared" si="250"/>
        <v/>
      </c>
      <c r="BL246" s="29" t="str">
        <f t="shared" si="8"/>
        <v/>
      </c>
    </row>
    <row r="247">
      <c r="A247" s="12" t="str">
        <f t="shared" si="2"/>
        <v/>
      </c>
      <c r="B247" s="13"/>
      <c r="C247" s="14"/>
      <c r="D247" s="15"/>
      <c r="E247" s="15"/>
      <c r="F247" s="15"/>
      <c r="G247" s="16"/>
      <c r="H247" s="14"/>
      <c r="I247" s="14"/>
      <c r="J247" s="16"/>
      <c r="K247" s="16"/>
      <c r="L247" s="17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>
        <f t="shared" si="3"/>
        <v>0</v>
      </c>
      <c r="BD247" s="18">
        <f t="shared" si="4"/>
        <v>0</v>
      </c>
      <c r="BE247" s="18">
        <f t="shared" si="5"/>
        <v>0</v>
      </c>
      <c r="BF247" s="18">
        <f t="shared" si="6"/>
        <v>0</v>
      </c>
      <c r="BG247" s="15"/>
      <c r="BH247" s="15"/>
      <c r="BI247" s="15"/>
      <c r="BJ247" s="19" t="str">
        <f t="shared" ref="BJ247:BK247" si="251">H247</f>
        <v/>
      </c>
      <c r="BK247" s="19" t="str">
        <f t="shared" si="251"/>
        <v/>
      </c>
      <c r="BL247" s="20" t="str">
        <f t="shared" si="8"/>
        <v/>
      </c>
    </row>
    <row r="248">
      <c r="A248" s="21" t="str">
        <f t="shared" si="2"/>
        <v/>
      </c>
      <c r="B248" s="22"/>
      <c r="C248" s="23"/>
      <c r="D248" s="24"/>
      <c r="E248" s="24"/>
      <c r="F248" s="24"/>
      <c r="G248" s="25"/>
      <c r="H248" s="23"/>
      <c r="I248" s="23"/>
      <c r="J248" s="25"/>
      <c r="K248" s="25"/>
      <c r="L248" s="26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>
        <f t="shared" si="3"/>
        <v>0</v>
      </c>
      <c r="BD248" s="27">
        <f t="shared" si="4"/>
        <v>0</v>
      </c>
      <c r="BE248" s="27">
        <f t="shared" si="5"/>
        <v>0</v>
      </c>
      <c r="BF248" s="27">
        <f t="shared" si="6"/>
        <v>0</v>
      </c>
      <c r="BG248" s="24"/>
      <c r="BH248" s="24"/>
      <c r="BI248" s="24"/>
      <c r="BJ248" s="28" t="str">
        <f t="shared" ref="BJ248:BK248" si="252">H248</f>
        <v/>
      </c>
      <c r="BK248" s="28" t="str">
        <f t="shared" si="252"/>
        <v/>
      </c>
      <c r="BL248" s="29" t="str">
        <f t="shared" si="8"/>
        <v/>
      </c>
    </row>
    <row r="249">
      <c r="A249" s="12" t="str">
        <f t="shared" si="2"/>
        <v/>
      </c>
      <c r="B249" s="13"/>
      <c r="C249" s="14"/>
      <c r="D249" s="15"/>
      <c r="E249" s="15"/>
      <c r="F249" s="15"/>
      <c r="G249" s="16"/>
      <c r="H249" s="14"/>
      <c r="I249" s="14"/>
      <c r="J249" s="16"/>
      <c r="K249" s="16"/>
      <c r="L249" s="17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>
        <f t="shared" si="3"/>
        <v>0</v>
      </c>
      <c r="BD249" s="18">
        <f t="shared" si="4"/>
        <v>0</v>
      </c>
      <c r="BE249" s="18">
        <f t="shared" si="5"/>
        <v>0</v>
      </c>
      <c r="BF249" s="18">
        <f t="shared" si="6"/>
        <v>0</v>
      </c>
      <c r="BG249" s="15"/>
      <c r="BH249" s="15"/>
      <c r="BI249" s="15"/>
      <c r="BJ249" s="19" t="str">
        <f t="shared" ref="BJ249:BK249" si="253">H249</f>
        <v/>
      </c>
      <c r="BK249" s="19" t="str">
        <f t="shared" si="253"/>
        <v/>
      </c>
      <c r="BL249" s="20" t="str">
        <f t="shared" si="8"/>
        <v/>
      </c>
    </row>
    <row r="250">
      <c r="A250" s="21" t="str">
        <f t="shared" si="2"/>
        <v/>
      </c>
      <c r="B250" s="22"/>
      <c r="C250" s="23"/>
      <c r="D250" s="24"/>
      <c r="E250" s="24"/>
      <c r="F250" s="24"/>
      <c r="G250" s="25"/>
      <c r="H250" s="23"/>
      <c r="I250" s="23"/>
      <c r="J250" s="25"/>
      <c r="K250" s="25"/>
      <c r="L250" s="26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>
        <f t="shared" si="3"/>
        <v>0</v>
      </c>
      <c r="BD250" s="27">
        <f t="shared" si="4"/>
        <v>0</v>
      </c>
      <c r="BE250" s="27">
        <f t="shared" si="5"/>
        <v>0</v>
      </c>
      <c r="BF250" s="27">
        <f t="shared" si="6"/>
        <v>0</v>
      </c>
      <c r="BG250" s="24"/>
      <c r="BH250" s="24"/>
      <c r="BI250" s="24"/>
      <c r="BJ250" s="28" t="str">
        <f t="shared" ref="BJ250:BK250" si="254">H250</f>
        <v/>
      </c>
      <c r="BK250" s="28" t="str">
        <f t="shared" si="254"/>
        <v/>
      </c>
      <c r="BL250" s="29" t="str">
        <f t="shared" si="8"/>
        <v/>
      </c>
    </row>
    <row r="251">
      <c r="A251" s="12" t="str">
        <f t="shared" si="2"/>
        <v/>
      </c>
      <c r="B251" s="13"/>
      <c r="C251" s="14"/>
      <c r="D251" s="15"/>
      <c r="E251" s="15"/>
      <c r="F251" s="15"/>
      <c r="G251" s="16"/>
      <c r="H251" s="14"/>
      <c r="I251" s="14"/>
      <c r="J251" s="16"/>
      <c r="K251" s="16"/>
      <c r="L251" s="17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>
        <f t="shared" si="3"/>
        <v>0</v>
      </c>
      <c r="BD251" s="18">
        <f t="shared" si="4"/>
        <v>0</v>
      </c>
      <c r="BE251" s="18">
        <f t="shared" si="5"/>
        <v>0</v>
      </c>
      <c r="BF251" s="18">
        <f t="shared" si="6"/>
        <v>0</v>
      </c>
      <c r="BG251" s="15"/>
      <c r="BH251" s="15"/>
      <c r="BI251" s="15"/>
      <c r="BJ251" s="19" t="str">
        <f t="shared" ref="BJ251:BK251" si="255">H251</f>
        <v/>
      </c>
      <c r="BK251" s="19" t="str">
        <f t="shared" si="255"/>
        <v/>
      </c>
      <c r="BL251" s="20" t="str">
        <f t="shared" si="8"/>
        <v/>
      </c>
    </row>
    <row r="252">
      <c r="A252" s="21" t="str">
        <f t="shared" si="2"/>
        <v/>
      </c>
      <c r="B252" s="22"/>
      <c r="C252" s="23"/>
      <c r="D252" s="24"/>
      <c r="E252" s="24"/>
      <c r="F252" s="24"/>
      <c r="G252" s="25"/>
      <c r="H252" s="23"/>
      <c r="I252" s="23"/>
      <c r="J252" s="25"/>
      <c r="K252" s="23"/>
      <c r="L252" s="26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>
        <f t="shared" si="3"/>
        <v>0</v>
      </c>
      <c r="BD252" s="27">
        <f t="shared" si="4"/>
        <v>0</v>
      </c>
      <c r="BE252" s="27">
        <f t="shared" si="5"/>
        <v>0</v>
      </c>
      <c r="BF252" s="27">
        <f t="shared" si="6"/>
        <v>0</v>
      </c>
      <c r="BG252" s="24"/>
      <c r="BH252" s="24"/>
      <c r="BI252" s="24"/>
      <c r="BJ252" s="28" t="str">
        <f t="shared" ref="BJ252:BK252" si="256">H252</f>
        <v/>
      </c>
      <c r="BK252" s="28" t="str">
        <f t="shared" si="256"/>
        <v/>
      </c>
      <c r="BL252" s="29" t="str">
        <f t="shared" si="8"/>
        <v/>
      </c>
    </row>
    <row r="253">
      <c r="A253" s="12" t="str">
        <f t="shared" si="2"/>
        <v/>
      </c>
      <c r="B253" s="13"/>
      <c r="C253" s="14"/>
      <c r="D253" s="15"/>
      <c r="E253" s="15"/>
      <c r="F253" s="15"/>
      <c r="G253" s="16"/>
      <c r="H253" s="14"/>
      <c r="I253" s="14"/>
      <c r="J253" s="16"/>
      <c r="K253" s="16"/>
      <c r="L253" s="17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>
        <f t="shared" si="3"/>
        <v>0</v>
      </c>
      <c r="BD253" s="18">
        <f t="shared" si="4"/>
        <v>0</v>
      </c>
      <c r="BE253" s="18">
        <f t="shared" si="5"/>
        <v>0</v>
      </c>
      <c r="BF253" s="18">
        <f t="shared" si="6"/>
        <v>0</v>
      </c>
      <c r="BG253" s="15"/>
      <c r="BH253" s="15"/>
      <c r="BI253" s="15"/>
      <c r="BJ253" s="19" t="str">
        <f t="shared" ref="BJ253:BK253" si="257">H253</f>
        <v/>
      </c>
      <c r="BK253" s="19" t="str">
        <f t="shared" si="257"/>
        <v/>
      </c>
      <c r="BL253" s="20" t="str">
        <f t="shared" si="8"/>
        <v/>
      </c>
    </row>
    <row r="254">
      <c r="A254" s="21" t="str">
        <f t="shared" si="2"/>
        <v/>
      </c>
      <c r="B254" s="22"/>
      <c r="C254" s="23"/>
      <c r="D254" s="24"/>
      <c r="E254" s="24"/>
      <c r="F254" s="24"/>
      <c r="G254" s="25"/>
      <c r="H254" s="23"/>
      <c r="I254" s="23"/>
      <c r="J254" s="25"/>
      <c r="K254" s="25"/>
      <c r="L254" s="26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>
        <f t="shared" si="3"/>
        <v>0</v>
      </c>
      <c r="BD254" s="27">
        <f t="shared" si="4"/>
        <v>0</v>
      </c>
      <c r="BE254" s="27">
        <f t="shared" si="5"/>
        <v>0</v>
      </c>
      <c r="BF254" s="27">
        <f t="shared" si="6"/>
        <v>0</v>
      </c>
      <c r="BG254" s="24"/>
      <c r="BH254" s="24"/>
      <c r="BI254" s="24"/>
      <c r="BJ254" s="28" t="str">
        <f t="shared" ref="BJ254:BK254" si="258">H254</f>
        <v/>
      </c>
      <c r="BK254" s="28" t="str">
        <f t="shared" si="258"/>
        <v/>
      </c>
      <c r="BL254" s="29" t="str">
        <f t="shared" si="8"/>
        <v/>
      </c>
    </row>
    <row r="255">
      <c r="A255" s="12" t="str">
        <f t="shared" si="2"/>
        <v/>
      </c>
      <c r="B255" s="13"/>
      <c r="C255" s="14"/>
      <c r="D255" s="15"/>
      <c r="E255" s="15"/>
      <c r="F255" s="15"/>
      <c r="G255" s="16"/>
      <c r="H255" s="14"/>
      <c r="I255" s="14"/>
      <c r="J255" s="16"/>
      <c r="K255" s="16"/>
      <c r="L255" s="17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>
        <f t="shared" si="3"/>
        <v>0</v>
      </c>
      <c r="BD255" s="18">
        <f t="shared" si="4"/>
        <v>0</v>
      </c>
      <c r="BE255" s="18">
        <f t="shared" si="5"/>
        <v>0</v>
      </c>
      <c r="BF255" s="18">
        <f t="shared" si="6"/>
        <v>0</v>
      </c>
      <c r="BG255" s="15"/>
      <c r="BH255" s="15"/>
      <c r="BI255" s="15"/>
      <c r="BJ255" s="19" t="str">
        <f t="shared" ref="BJ255:BK255" si="259">H255</f>
        <v/>
      </c>
      <c r="BK255" s="19" t="str">
        <f t="shared" si="259"/>
        <v/>
      </c>
      <c r="BL255" s="20" t="str">
        <f t="shared" si="8"/>
        <v/>
      </c>
    </row>
    <row r="256">
      <c r="A256" s="21" t="str">
        <f t="shared" si="2"/>
        <v/>
      </c>
      <c r="B256" s="22"/>
      <c r="C256" s="23"/>
      <c r="D256" s="24"/>
      <c r="E256" s="24"/>
      <c r="F256" s="24"/>
      <c r="G256" s="25"/>
      <c r="H256" s="23"/>
      <c r="I256" s="23"/>
      <c r="J256" s="25"/>
      <c r="K256" s="25"/>
      <c r="L256" s="26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>
        <f t="shared" si="3"/>
        <v>0</v>
      </c>
      <c r="BD256" s="27">
        <f t="shared" si="4"/>
        <v>0</v>
      </c>
      <c r="BE256" s="27">
        <f t="shared" si="5"/>
        <v>0</v>
      </c>
      <c r="BF256" s="27">
        <f t="shared" si="6"/>
        <v>0</v>
      </c>
      <c r="BG256" s="24"/>
      <c r="BH256" s="24"/>
      <c r="BI256" s="24"/>
      <c r="BJ256" s="28" t="str">
        <f t="shared" ref="BJ256:BK256" si="260">H256</f>
        <v/>
      </c>
      <c r="BK256" s="28" t="str">
        <f t="shared" si="260"/>
        <v/>
      </c>
      <c r="BL256" s="29" t="str">
        <f t="shared" si="8"/>
        <v/>
      </c>
    </row>
    <row r="257">
      <c r="A257" s="12" t="str">
        <f t="shared" si="2"/>
        <v/>
      </c>
      <c r="B257" s="13"/>
      <c r="C257" s="14"/>
      <c r="D257" s="15"/>
      <c r="E257" s="15"/>
      <c r="F257" s="15"/>
      <c r="G257" s="16"/>
      <c r="H257" s="14"/>
      <c r="I257" s="14"/>
      <c r="J257" s="16"/>
      <c r="K257" s="16"/>
      <c r="L257" s="17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>
        <f t="shared" si="3"/>
        <v>0</v>
      </c>
      <c r="BD257" s="18">
        <f t="shared" si="4"/>
        <v>0</v>
      </c>
      <c r="BE257" s="18">
        <f t="shared" si="5"/>
        <v>0</v>
      </c>
      <c r="BF257" s="18">
        <f t="shared" si="6"/>
        <v>0</v>
      </c>
      <c r="BG257" s="15"/>
      <c r="BH257" s="15"/>
      <c r="BI257" s="15"/>
      <c r="BJ257" s="19" t="str">
        <f t="shared" ref="BJ257:BK257" si="261">H257</f>
        <v/>
      </c>
      <c r="BK257" s="19" t="str">
        <f t="shared" si="261"/>
        <v/>
      </c>
      <c r="BL257" s="20" t="str">
        <f t="shared" si="8"/>
        <v/>
      </c>
    </row>
    <row r="258">
      <c r="A258" s="21" t="str">
        <f t="shared" si="2"/>
        <v/>
      </c>
      <c r="B258" s="22"/>
      <c r="C258" s="23"/>
      <c r="D258" s="24"/>
      <c r="E258" s="24"/>
      <c r="F258" s="24"/>
      <c r="G258" s="25"/>
      <c r="H258" s="23"/>
      <c r="I258" s="23"/>
      <c r="J258" s="25"/>
      <c r="K258" s="25"/>
      <c r="L258" s="26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>
        <f t="shared" si="3"/>
        <v>0</v>
      </c>
      <c r="BD258" s="27">
        <f t="shared" si="4"/>
        <v>0</v>
      </c>
      <c r="BE258" s="27">
        <f t="shared" si="5"/>
        <v>0</v>
      </c>
      <c r="BF258" s="27">
        <f t="shared" si="6"/>
        <v>0</v>
      </c>
      <c r="BG258" s="24"/>
      <c r="BH258" s="24"/>
      <c r="BI258" s="24"/>
      <c r="BJ258" s="28" t="str">
        <f t="shared" ref="BJ258:BK258" si="262">H258</f>
        <v/>
      </c>
      <c r="BK258" s="28" t="str">
        <f t="shared" si="262"/>
        <v/>
      </c>
      <c r="BL258" s="29" t="str">
        <f t="shared" si="8"/>
        <v/>
      </c>
    </row>
    <row r="259">
      <c r="A259" s="12" t="str">
        <f t="shared" si="2"/>
        <v/>
      </c>
      <c r="B259" s="13"/>
      <c r="C259" s="14"/>
      <c r="D259" s="15"/>
      <c r="E259" s="15"/>
      <c r="F259" s="15"/>
      <c r="G259" s="16"/>
      <c r="H259" s="14"/>
      <c r="I259" s="14"/>
      <c r="J259" s="16"/>
      <c r="K259" s="16"/>
      <c r="L259" s="17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>
        <f t="shared" si="3"/>
        <v>0</v>
      </c>
      <c r="BD259" s="18">
        <f t="shared" si="4"/>
        <v>0</v>
      </c>
      <c r="BE259" s="18">
        <f t="shared" si="5"/>
        <v>0</v>
      </c>
      <c r="BF259" s="18">
        <f t="shared" si="6"/>
        <v>0</v>
      </c>
      <c r="BG259" s="15"/>
      <c r="BH259" s="15"/>
      <c r="BI259" s="15"/>
      <c r="BJ259" s="19" t="str">
        <f t="shared" ref="BJ259:BK259" si="263">H259</f>
        <v/>
      </c>
      <c r="BK259" s="19" t="str">
        <f t="shared" si="263"/>
        <v/>
      </c>
      <c r="BL259" s="20" t="str">
        <f t="shared" si="8"/>
        <v/>
      </c>
    </row>
    <row r="260">
      <c r="A260" s="21" t="str">
        <f t="shared" si="2"/>
        <v/>
      </c>
      <c r="B260" s="22"/>
      <c r="C260" s="23"/>
      <c r="D260" s="24"/>
      <c r="E260" s="24"/>
      <c r="F260" s="24"/>
      <c r="G260" s="25"/>
      <c r="H260" s="23"/>
      <c r="I260" s="23"/>
      <c r="J260" s="25"/>
      <c r="K260" s="25"/>
      <c r="L260" s="26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>
        <f t="shared" si="3"/>
        <v>0</v>
      </c>
      <c r="BD260" s="27">
        <f t="shared" si="4"/>
        <v>0</v>
      </c>
      <c r="BE260" s="27">
        <f t="shared" si="5"/>
        <v>0</v>
      </c>
      <c r="BF260" s="27">
        <f t="shared" si="6"/>
        <v>0</v>
      </c>
      <c r="BG260" s="24"/>
      <c r="BH260" s="24"/>
      <c r="BI260" s="24"/>
      <c r="BJ260" s="28" t="str">
        <f t="shared" ref="BJ260:BK260" si="264">H260</f>
        <v/>
      </c>
      <c r="BK260" s="28" t="str">
        <f t="shared" si="264"/>
        <v/>
      </c>
      <c r="BL260" s="29" t="str">
        <f t="shared" si="8"/>
        <v/>
      </c>
    </row>
    <row r="261">
      <c r="A261" s="12" t="str">
        <f t="shared" si="2"/>
        <v/>
      </c>
      <c r="B261" s="13"/>
      <c r="C261" s="14"/>
      <c r="D261" s="15"/>
      <c r="E261" s="15"/>
      <c r="F261" s="15"/>
      <c r="G261" s="16"/>
      <c r="H261" s="14"/>
      <c r="I261" s="14"/>
      <c r="J261" s="16"/>
      <c r="K261" s="14"/>
      <c r="L261" s="17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>
        <f t="shared" si="3"/>
        <v>0</v>
      </c>
      <c r="BD261" s="18">
        <f t="shared" si="4"/>
        <v>0</v>
      </c>
      <c r="BE261" s="18">
        <f t="shared" si="5"/>
        <v>0</v>
      </c>
      <c r="BF261" s="18">
        <f t="shared" si="6"/>
        <v>0</v>
      </c>
      <c r="BG261" s="15"/>
      <c r="BH261" s="15"/>
      <c r="BI261" s="15"/>
      <c r="BJ261" s="19" t="str">
        <f t="shared" ref="BJ261:BK261" si="265">H261</f>
        <v/>
      </c>
      <c r="BK261" s="19" t="str">
        <f t="shared" si="265"/>
        <v/>
      </c>
      <c r="BL261" s="20" t="str">
        <f t="shared" si="8"/>
        <v/>
      </c>
    </row>
    <row r="262">
      <c r="A262" s="21" t="str">
        <f t="shared" si="2"/>
        <v/>
      </c>
      <c r="B262" s="22"/>
      <c r="C262" s="23"/>
      <c r="D262" s="24"/>
      <c r="E262" s="24"/>
      <c r="F262" s="24"/>
      <c r="G262" s="25"/>
      <c r="H262" s="23"/>
      <c r="I262" s="23"/>
      <c r="J262" s="25"/>
      <c r="K262" s="25"/>
      <c r="L262" s="26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>
        <f t="shared" si="3"/>
        <v>0</v>
      </c>
      <c r="BD262" s="27">
        <f t="shared" si="4"/>
        <v>0</v>
      </c>
      <c r="BE262" s="27">
        <f t="shared" si="5"/>
        <v>0</v>
      </c>
      <c r="BF262" s="27">
        <f t="shared" si="6"/>
        <v>0</v>
      </c>
      <c r="BG262" s="24"/>
      <c r="BH262" s="24"/>
      <c r="BI262" s="24"/>
      <c r="BJ262" s="28" t="str">
        <f t="shared" ref="BJ262:BK262" si="266">H262</f>
        <v/>
      </c>
      <c r="BK262" s="28" t="str">
        <f t="shared" si="266"/>
        <v/>
      </c>
      <c r="BL262" s="29" t="str">
        <f t="shared" si="8"/>
        <v/>
      </c>
    </row>
    <row r="263">
      <c r="A263" s="12" t="str">
        <f t="shared" si="2"/>
        <v/>
      </c>
      <c r="B263" s="13"/>
      <c r="C263" s="14"/>
      <c r="D263" s="15"/>
      <c r="E263" s="15"/>
      <c r="F263" s="15"/>
      <c r="G263" s="16"/>
      <c r="H263" s="14"/>
      <c r="I263" s="14"/>
      <c r="J263" s="16"/>
      <c r="K263" s="14"/>
      <c r="L263" s="17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>
        <f t="shared" si="3"/>
        <v>0</v>
      </c>
      <c r="BD263" s="18">
        <f t="shared" si="4"/>
        <v>0</v>
      </c>
      <c r="BE263" s="18">
        <f t="shared" si="5"/>
        <v>0</v>
      </c>
      <c r="BF263" s="18">
        <f t="shared" si="6"/>
        <v>0</v>
      </c>
      <c r="BG263" s="15"/>
      <c r="BH263" s="15"/>
      <c r="BI263" s="15"/>
      <c r="BJ263" s="19" t="str">
        <f t="shared" ref="BJ263:BK263" si="267">H263</f>
        <v/>
      </c>
      <c r="BK263" s="19" t="str">
        <f t="shared" si="267"/>
        <v/>
      </c>
      <c r="BL263" s="20" t="str">
        <f t="shared" si="8"/>
        <v/>
      </c>
    </row>
    <row r="264">
      <c r="A264" s="21" t="str">
        <f t="shared" si="2"/>
        <v/>
      </c>
      <c r="B264" s="22"/>
      <c r="C264" s="23"/>
      <c r="D264" s="24"/>
      <c r="E264" s="24"/>
      <c r="F264" s="24"/>
      <c r="G264" s="25"/>
      <c r="H264" s="23"/>
      <c r="I264" s="23"/>
      <c r="J264" s="25"/>
      <c r="K264" s="25"/>
      <c r="L264" s="26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>
        <f t="shared" si="3"/>
        <v>0</v>
      </c>
      <c r="BD264" s="27">
        <f t="shared" si="4"/>
        <v>0</v>
      </c>
      <c r="BE264" s="27">
        <f t="shared" si="5"/>
        <v>0</v>
      </c>
      <c r="BF264" s="27">
        <f t="shared" si="6"/>
        <v>0</v>
      </c>
      <c r="BG264" s="24"/>
      <c r="BH264" s="24"/>
      <c r="BI264" s="24"/>
      <c r="BJ264" s="28" t="str">
        <f t="shared" ref="BJ264:BK264" si="268">H264</f>
        <v/>
      </c>
      <c r="BK264" s="28" t="str">
        <f t="shared" si="268"/>
        <v/>
      </c>
      <c r="BL264" s="29" t="str">
        <f t="shared" si="8"/>
        <v/>
      </c>
    </row>
    <row r="265">
      <c r="A265" s="12" t="str">
        <f t="shared" si="2"/>
        <v/>
      </c>
      <c r="B265" s="13"/>
      <c r="C265" s="14"/>
      <c r="D265" s="15"/>
      <c r="E265" s="15"/>
      <c r="F265" s="15"/>
      <c r="G265" s="16"/>
      <c r="H265" s="14"/>
      <c r="I265" s="14"/>
      <c r="J265" s="16"/>
      <c r="K265" s="14"/>
      <c r="L265" s="17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>
        <f t="shared" si="3"/>
        <v>0</v>
      </c>
      <c r="BD265" s="18">
        <f t="shared" si="4"/>
        <v>0</v>
      </c>
      <c r="BE265" s="18">
        <f t="shared" si="5"/>
        <v>0</v>
      </c>
      <c r="BF265" s="18">
        <f t="shared" si="6"/>
        <v>0</v>
      </c>
      <c r="BG265" s="15"/>
      <c r="BH265" s="15"/>
      <c r="BI265" s="15"/>
      <c r="BJ265" s="19" t="str">
        <f t="shared" ref="BJ265:BK265" si="269">H265</f>
        <v/>
      </c>
      <c r="BK265" s="19" t="str">
        <f t="shared" si="269"/>
        <v/>
      </c>
      <c r="BL265" s="20" t="str">
        <f t="shared" si="8"/>
        <v/>
      </c>
    </row>
    <row r="266">
      <c r="A266" s="21" t="str">
        <f t="shared" si="2"/>
        <v/>
      </c>
      <c r="B266" s="22"/>
      <c r="C266" s="23"/>
      <c r="D266" s="24"/>
      <c r="E266" s="24"/>
      <c r="F266" s="24"/>
      <c r="G266" s="25"/>
      <c r="H266" s="23"/>
      <c r="I266" s="23"/>
      <c r="J266" s="25"/>
      <c r="K266" s="25"/>
      <c r="L266" s="26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>
        <f t="shared" si="3"/>
        <v>0</v>
      </c>
      <c r="BD266" s="27">
        <f t="shared" si="4"/>
        <v>0</v>
      </c>
      <c r="BE266" s="27">
        <f t="shared" si="5"/>
        <v>0</v>
      </c>
      <c r="BF266" s="27">
        <f t="shared" si="6"/>
        <v>0</v>
      </c>
      <c r="BG266" s="24"/>
      <c r="BH266" s="24"/>
      <c r="BI266" s="24"/>
      <c r="BJ266" s="28" t="str">
        <f t="shared" ref="BJ266:BK266" si="270">H266</f>
        <v/>
      </c>
      <c r="BK266" s="28" t="str">
        <f t="shared" si="270"/>
        <v/>
      </c>
      <c r="BL266" s="29" t="str">
        <f t="shared" si="8"/>
        <v/>
      </c>
    </row>
    <row r="267">
      <c r="A267" s="12" t="str">
        <f t="shared" si="2"/>
        <v/>
      </c>
      <c r="B267" s="13"/>
      <c r="C267" s="14"/>
      <c r="D267" s="15"/>
      <c r="E267" s="15"/>
      <c r="F267" s="15"/>
      <c r="G267" s="16"/>
      <c r="H267" s="14"/>
      <c r="I267" s="14"/>
      <c r="J267" s="16"/>
      <c r="K267" s="16"/>
      <c r="L267" s="17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>
        <f t="shared" si="3"/>
        <v>0</v>
      </c>
      <c r="BD267" s="18">
        <f t="shared" si="4"/>
        <v>0</v>
      </c>
      <c r="BE267" s="18">
        <f t="shared" si="5"/>
        <v>0</v>
      </c>
      <c r="BF267" s="18">
        <f t="shared" si="6"/>
        <v>0</v>
      </c>
      <c r="BG267" s="15"/>
      <c r="BH267" s="15"/>
      <c r="BI267" s="15"/>
      <c r="BJ267" s="19" t="str">
        <f t="shared" ref="BJ267:BK267" si="271">H267</f>
        <v/>
      </c>
      <c r="BK267" s="19" t="str">
        <f t="shared" si="271"/>
        <v/>
      </c>
      <c r="BL267" s="20" t="str">
        <f t="shared" si="8"/>
        <v/>
      </c>
    </row>
    <row r="268">
      <c r="A268" s="21" t="str">
        <f t="shared" si="2"/>
        <v/>
      </c>
      <c r="B268" s="22"/>
      <c r="C268" s="23"/>
      <c r="D268" s="24"/>
      <c r="E268" s="24"/>
      <c r="F268" s="24"/>
      <c r="G268" s="25"/>
      <c r="H268" s="23"/>
      <c r="I268" s="23"/>
      <c r="J268" s="25"/>
      <c r="K268" s="25"/>
      <c r="L268" s="26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>
        <f t="shared" si="3"/>
        <v>0</v>
      </c>
      <c r="BD268" s="27">
        <f t="shared" si="4"/>
        <v>0</v>
      </c>
      <c r="BE268" s="27">
        <f t="shared" si="5"/>
        <v>0</v>
      </c>
      <c r="BF268" s="27">
        <f t="shared" si="6"/>
        <v>0</v>
      </c>
      <c r="BG268" s="24"/>
      <c r="BH268" s="24"/>
      <c r="BI268" s="24"/>
      <c r="BJ268" s="28" t="str">
        <f t="shared" ref="BJ268:BK268" si="272">H268</f>
        <v/>
      </c>
      <c r="BK268" s="28" t="str">
        <f t="shared" si="272"/>
        <v/>
      </c>
      <c r="BL268" s="29" t="str">
        <f t="shared" si="8"/>
        <v/>
      </c>
    </row>
    <row r="269">
      <c r="A269" s="12" t="str">
        <f t="shared" si="2"/>
        <v/>
      </c>
      <c r="B269" s="13"/>
      <c r="C269" s="14"/>
      <c r="D269" s="15"/>
      <c r="E269" s="15"/>
      <c r="F269" s="15"/>
      <c r="G269" s="16"/>
      <c r="H269" s="14"/>
      <c r="I269" s="14"/>
      <c r="J269" s="16"/>
      <c r="K269" s="16"/>
      <c r="L269" s="17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>
        <f t="shared" si="3"/>
        <v>0</v>
      </c>
      <c r="BD269" s="18">
        <f t="shared" si="4"/>
        <v>0</v>
      </c>
      <c r="BE269" s="18">
        <f t="shared" si="5"/>
        <v>0</v>
      </c>
      <c r="BF269" s="18">
        <f t="shared" si="6"/>
        <v>0</v>
      </c>
      <c r="BG269" s="15"/>
      <c r="BH269" s="15"/>
      <c r="BI269" s="15"/>
      <c r="BJ269" s="19" t="str">
        <f t="shared" ref="BJ269:BK269" si="273">H269</f>
        <v/>
      </c>
      <c r="BK269" s="19" t="str">
        <f t="shared" si="273"/>
        <v/>
      </c>
      <c r="BL269" s="20" t="str">
        <f t="shared" si="8"/>
        <v/>
      </c>
    </row>
    <row r="270">
      <c r="A270" s="21" t="str">
        <f t="shared" si="2"/>
        <v/>
      </c>
      <c r="B270" s="22"/>
      <c r="C270" s="23"/>
      <c r="D270" s="24"/>
      <c r="E270" s="24"/>
      <c r="F270" s="24"/>
      <c r="G270" s="25"/>
      <c r="H270" s="23"/>
      <c r="I270" s="23"/>
      <c r="J270" s="25"/>
      <c r="K270" s="25"/>
      <c r="L270" s="26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>
        <f t="shared" si="3"/>
        <v>0</v>
      </c>
      <c r="BD270" s="27">
        <f t="shared" si="4"/>
        <v>0</v>
      </c>
      <c r="BE270" s="27">
        <f t="shared" si="5"/>
        <v>0</v>
      </c>
      <c r="BF270" s="27">
        <f t="shared" si="6"/>
        <v>0</v>
      </c>
      <c r="BG270" s="24"/>
      <c r="BH270" s="24"/>
      <c r="BI270" s="24"/>
      <c r="BJ270" s="28" t="str">
        <f t="shared" ref="BJ270:BK270" si="274">H270</f>
        <v/>
      </c>
      <c r="BK270" s="28" t="str">
        <f t="shared" si="274"/>
        <v/>
      </c>
      <c r="BL270" s="29" t="str">
        <f t="shared" si="8"/>
        <v/>
      </c>
    </row>
    <row r="271">
      <c r="A271" s="12" t="str">
        <f t="shared" si="2"/>
        <v/>
      </c>
      <c r="B271" s="13"/>
      <c r="C271" s="14"/>
      <c r="D271" s="15"/>
      <c r="E271" s="15"/>
      <c r="F271" s="15"/>
      <c r="G271" s="16"/>
      <c r="H271" s="14"/>
      <c r="I271" s="14"/>
      <c r="J271" s="16"/>
      <c r="K271" s="16"/>
      <c r="L271" s="17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f t="shared" si="3"/>
        <v>0</v>
      </c>
      <c r="BD271" s="18">
        <f t="shared" si="4"/>
        <v>0</v>
      </c>
      <c r="BE271" s="18">
        <f t="shared" si="5"/>
        <v>0</v>
      </c>
      <c r="BF271" s="18">
        <f t="shared" si="6"/>
        <v>0</v>
      </c>
      <c r="BG271" s="15"/>
      <c r="BH271" s="15"/>
      <c r="BI271" s="15"/>
      <c r="BJ271" s="19" t="str">
        <f t="shared" ref="BJ271:BK271" si="275">H271</f>
        <v/>
      </c>
      <c r="BK271" s="19" t="str">
        <f t="shared" si="275"/>
        <v/>
      </c>
      <c r="BL271" s="20" t="str">
        <f t="shared" si="8"/>
        <v/>
      </c>
    </row>
    <row r="272">
      <c r="A272" s="21" t="str">
        <f t="shared" si="2"/>
        <v/>
      </c>
      <c r="B272" s="22"/>
      <c r="C272" s="23"/>
      <c r="D272" s="24"/>
      <c r="E272" s="24"/>
      <c r="F272" s="24"/>
      <c r="G272" s="25"/>
      <c r="H272" s="23"/>
      <c r="I272" s="23"/>
      <c r="J272" s="25"/>
      <c r="K272" s="23"/>
      <c r="L272" s="26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>
        <f t="shared" si="3"/>
        <v>0</v>
      </c>
      <c r="BD272" s="27">
        <f t="shared" si="4"/>
        <v>0</v>
      </c>
      <c r="BE272" s="27">
        <f t="shared" si="5"/>
        <v>0</v>
      </c>
      <c r="BF272" s="27">
        <f t="shared" si="6"/>
        <v>0</v>
      </c>
      <c r="BG272" s="24"/>
      <c r="BH272" s="24"/>
      <c r="BI272" s="24"/>
      <c r="BJ272" s="28" t="str">
        <f t="shared" ref="BJ272:BK272" si="276">H272</f>
        <v/>
      </c>
      <c r="BK272" s="28" t="str">
        <f t="shared" si="276"/>
        <v/>
      </c>
      <c r="BL272" s="29" t="str">
        <f t="shared" si="8"/>
        <v/>
      </c>
    </row>
    <row r="273">
      <c r="A273" s="12" t="str">
        <f t="shared" si="2"/>
        <v/>
      </c>
      <c r="B273" s="13"/>
      <c r="C273" s="14"/>
      <c r="D273" s="15"/>
      <c r="E273" s="15"/>
      <c r="F273" s="15"/>
      <c r="G273" s="16"/>
      <c r="H273" s="14"/>
      <c r="I273" s="14"/>
      <c r="J273" s="16"/>
      <c r="K273" s="16"/>
      <c r="L273" s="17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>
        <f t="shared" si="3"/>
        <v>0</v>
      </c>
      <c r="BD273" s="18">
        <f t="shared" si="4"/>
        <v>0</v>
      </c>
      <c r="BE273" s="18">
        <f t="shared" si="5"/>
        <v>0</v>
      </c>
      <c r="BF273" s="18">
        <f t="shared" si="6"/>
        <v>0</v>
      </c>
      <c r="BG273" s="15"/>
      <c r="BH273" s="15"/>
      <c r="BI273" s="15"/>
      <c r="BJ273" s="19" t="str">
        <f t="shared" ref="BJ273:BK273" si="277">H273</f>
        <v/>
      </c>
      <c r="BK273" s="19" t="str">
        <f t="shared" si="277"/>
        <v/>
      </c>
      <c r="BL273" s="20" t="str">
        <f t="shared" si="8"/>
        <v/>
      </c>
    </row>
    <row r="274">
      <c r="A274" s="21" t="str">
        <f t="shared" si="2"/>
        <v/>
      </c>
      <c r="B274" s="22"/>
      <c r="C274" s="23"/>
      <c r="D274" s="24"/>
      <c r="E274" s="24"/>
      <c r="F274" s="24"/>
      <c r="G274" s="25"/>
      <c r="H274" s="23"/>
      <c r="I274" s="23"/>
      <c r="J274" s="25"/>
      <c r="K274" s="25"/>
      <c r="L274" s="26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>
        <f t="shared" si="3"/>
        <v>0</v>
      </c>
      <c r="BD274" s="27">
        <f t="shared" si="4"/>
        <v>0</v>
      </c>
      <c r="BE274" s="27">
        <f t="shared" si="5"/>
        <v>0</v>
      </c>
      <c r="BF274" s="27">
        <f t="shared" si="6"/>
        <v>0</v>
      </c>
      <c r="BG274" s="24"/>
      <c r="BH274" s="24"/>
      <c r="BI274" s="24"/>
      <c r="BJ274" s="28" t="str">
        <f t="shared" ref="BJ274:BK274" si="278">H274</f>
        <v/>
      </c>
      <c r="BK274" s="28" t="str">
        <f t="shared" si="278"/>
        <v/>
      </c>
      <c r="BL274" s="29" t="str">
        <f t="shared" si="8"/>
        <v/>
      </c>
    </row>
    <row r="275">
      <c r="A275" s="12" t="str">
        <f t="shared" si="2"/>
        <v/>
      </c>
      <c r="B275" s="13"/>
      <c r="C275" s="14"/>
      <c r="D275" s="15"/>
      <c r="E275" s="15"/>
      <c r="F275" s="15"/>
      <c r="G275" s="16"/>
      <c r="H275" s="14"/>
      <c r="I275" s="14"/>
      <c r="J275" s="16"/>
      <c r="K275" s="16"/>
      <c r="L275" s="17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>
        <f t="shared" si="3"/>
        <v>0</v>
      </c>
      <c r="BD275" s="18">
        <f t="shared" si="4"/>
        <v>0</v>
      </c>
      <c r="BE275" s="18">
        <f t="shared" si="5"/>
        <v>0</v>
      </c>
      <c r="BF275" s="18">
        <f t="shared" si="6"/>
        <v>0</v>
      </c>
      <c r="BG275" s="15"/>
      <c r="BH275" s="15"/>
      <c r="BI275" s="15"/>
      <c r="BJ275" s="19" t="str">
        <f t="shared" ref="BJ275:BK275" si="279">H275</f>
        <v/>
      </c>
      <c r="BK275" s="19" t="str">
        <f t="shared" si="279"/>
        <v/>
      </c>
      <c r="BL275" s="20" t="str">
        <f t="shared" si="8"/>
        <v/>
      </c>
    </row>
    <row r="276">
      <c r="A276" s="21" t="str">
        <f t="shared" si="2"/>
        <v/>
      </c>
      <c r="B276" s="22"/>
      <c r="C276" s="23"/>
      <c r="D276" s="24"/>
      <c r="E276" s="24"/>
      <c r="F276" s="24"/>
      <c r="G276" s="25"/>
      <c r="H276" s="23"/>
      <c r="I276" s="23"/>
      <c r="J276" s="25"/>
      <c r="K276" s="25"/>
      <c r="L276" s="26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>
        <f t="shared" si="3"/>
        <v>0</v>
      </c>
      <c r="BD276" s="27">
        <f t="shared" si="4"/>
        <v>0</v>
      </c>
      <c r="BE276" s="27">
        <f t="shared" si="5"/>
        <v>0</v>
      </c>
      <c r="BF276" s="27">
        <f t="shared" si="6"/>
        <v>0</v>
      </c>
      <c r="BG276" s="24"/>
      <c r="BH276" s="24"/>
      <c r="BI276" s="24"/>
      <c r="BJ276" s="28" t="str">
        <f t="shared" ref="BJ276:BK276" si="280">H276</f>
        <v/>
      </c>
      <c r="BK276" s="28" t="str">
        <f t="shared" si="280"/>
        <v/>
      </c>
      <c r="BL276" s="29" t="str">
        <f t="shared" si="8"/>
        <v/>
      </c>
    </row>
    <row r="277">
      <c r="A277" s="12" t="str">
        <f t="shared" si="2"/>
        <v/>
      </c>
      <c r="B277" s="13"/>
      <c r="C277" s="14"/>
      <c r="D277" s="15"/>
      <c r="E277" s="15"/>
      <c r="F277" s="15"/>
      <c r="G277" s="16"/>
      <c r="H277" s="14"/>
      <c r="I277" s="14"/>
      <c r="J277" s="16"/>
      <c r="K277" s="16"/>
      <c r="L277" s="17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>
        <f t="shared" si="3"/>
        <v>0</v>
      </c>
      <c r="BD277" s="18">
        <f t="shared" si="4"/>
        <v>0</v>
      </c>
      <c r="BE277" s="18">
        <f t="shared" si="5"/>
        <v>0</v>
      </c>
      <c r="BF277" s="18">
        <f t="shared" si="6"/>
        <v>0</v>
      </c>
      <c r="BG277" s="15"/>
      <c r="BH277" s="15"/>
      <c r="BI277" s="15"/>
      <c r="BJ277" s="19" t="str">
        <f t="shared" ref="BJ277:BK277" si="281">H277</f>
        <v/>
      </c>
      <c r="BK277" s="19" t="str">
        <f t="shared" si="281"/>
        <v/>
      </c>
      <c r="BL277" s="20" t="str">
        <f t="shared" si="8"/>
        <v/>
      </c>
    </row>
    <row r="278">
      <c r="A278" s="21" t="str">
        <f t="shared" si="2"/>
        <v/>
      </c>
      <c r="B278" s="22"/>
      <c r="C278" s="23"/>
      <c r="D278" s="24"/>
      <c r="E278" s="24"/>
      <c r="F278" s="24"/>
      <c r="G278" s="25"/>
      <c r="H278" s="23"/>
      <c r="I278" s="23"/>
      <c r="J278" s="25"/>
      <c r="K278" s="25"/>
      <c r="L278" s="26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>
        <f t="shared" si="3"/>
        <v>0</v>
      </c>
      <c r="BD278" s="27">
        <f t="shared" si="4"/>
        <v>0</v>
      </c>
      <c r="BE278" s="27">
        <f t="shared" si="5"/>
        <v>0</v>
      </c>
      <c r="BF278" s="27">
        <f t="shared" si="6"/>
        <v>0</v>
      </c>
      <c r="BG278" s="24"/>
      <c r="BH278" s="24"/>
      <c r="BI278" s="24"/>
      <c r="BJ278" s="28" t="str">
        <f t="shared" ref="BJ278:BK278" si="282">H278</f>
        <v/>
      </c>
      <c r="BK278" s="28" t="str">
        <f t="shared" si="282"/>
        <v/>
      </c>
      <c r="BL278" s="29" t="str">
        <f t="shared" si="8"/>
        <v/>
      </c>
    </row>
    <row r="279">
      <c r="A279" s="12" t="str">
        <f t="shared" si="2"/>
        <v/>
      </c>
      <c r="B279" s="13"/>
      <c r="C279" s="14"/>
      <c r="D279" s="15"/>
      <c r="E279" s="15"/>
      <c r="F279" s="15"/>
      <c r="G279" s="16"/>
      <c r="H279" s="14"/>
      <c r="I279" s="14"/>
      <c r="J279" s="16"/>
      <c r="K279" s="16"/>
      <c r="L279" s="17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>
        <f t="shared" si="3"/>
        <v>0</v>
      </c>
      <c r="BD279" s="18">
        <f t="shared" si="4"/>
        <v>0</v>
      </c>
      <c r="BE279" s="18">
        <f t="shared" si="5"/>
        <v>0</v>
      </c>
      <c r="BF279" s="18">
        <f t="shared" si="6"/>
        <v>0</v>
      </c>
      <c r="BG279" s="15"/>
      <c r="BH279" s="15"/>
      <c r="BI279" s="15"/>
      <c r="BJ279" s="19" t="str">
        <f t="shared" ref="BJ279:BK279" si="283">H279</f>
        <v/>
      </c>
      <c r="BK279" s="19" t="str">
        <f t="shared" si="283"/>
        <v/>
      </c>
      <c r="BL279" s="20" t="str">
        <f t="shared" si="8"/>
        <v/>
      </c>
    </row>
    <row r="280">
      <c r="A280" s="21" t="str">
        <f t="shared" si="2"/>
        <v/>
      </c>
      <c r="B280" s="22"/>
      <c r="C280" s="23"/>
      <c r="D280" s="24"/>
      <c r="E280" s="24"/>
      <c r="F280" s="24"/>
      <c r="G280" s="25"/>
      <c r="H280" s="23"/>
      <c r="I280" s="23"/>
      <c r="J280" s="25"/>
      <c r="K280" s="25"/>
      <c r="L280" s="26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>
        <f t="shared" si="3"/>
        <v>0</v>
      </c>
      <c r="BD280" s="27">
        <f t="shared" si="4"/>
        <v>0</v>
      </c>
      <c r="BE280" s="27">
        <f t="shared" si="5"/>
        <v>0</v>
      </c>
      <c r="BF280" s="27">
        <f t="shared" si="6"/>
        <v>0</v>
      </c>
      <c r="BG280" s="24"/>
      <c r="BH280" s="24"/>
      <c r="BI280" s="24"/>
      <c r="BJ280" s="28" t="str">
        <f t="shared" ref="BJ280:BK280" si="284">H280</f>
        <v/>
      </c>
      <c r="BK280" s="28" t="str">
        <f t="shared" si="284"/>
        <v/>
      </c>
      <c r="BL280" s="29" t="str">
        <f t="shared" si="8"/>
        <v/>
      </c>
    </row>
    <row r="281">
      <c r="A281" s="12" t="str">
        <f t="shared" si="2"/>
        <v/>
      </c>
      <c r="B281" s="13"/>
      <c r="C281" s="14"/>
      <c r="D281" s="15"/>
      <c r="E281" s="15"/>
      <c r="F281" s="15"/>
      <c r="G281" s="16"/>
      <c r="H281" s="14"/>
      <c r="I281" s="14"/>
      <c r="J281" s="16"/>
      <c r="K281" s="16"/>
      <c r="L281" s="17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>
        <f t="shared" si="3"/>
        <v>0</v>
      </c>
      <c r="BD281" s="18">
        <f t="shared" si="4"/>
        <v>0</v>
      </c>
      <c r="BE281" s="18">
        <f t="shared" si="5"/>
        <v>0</v>
      </c>
      <c r="BF281" s="18">
        <f t="shared" si="6"/>
        <v>0</v>
      </c>
      <c r="BG281" s="15"/>
      <c r="BH281" s="15"/>
      <c r="BI281" s="15"/>
      <c r="BJ281" s="19" t="str">
        <f t="shared" ref="BJ281:BK281" si="285">H281</f>
        <v/>
      </c>
      <c r="BK281" s="19" t="str">
        <f t="shared" si="285"/>
        <v/>
      </c>
      <c r="BL281" s="20" t="str">
        <f t="shared" si="8"/>
        <v/>
      </c>
    </row>
    <row r="282">
      <c r="A282" s="21" t="str">
        <f t="shared" si="2"/>
        <v/>
      </c>
      <c r="B282" s="22"/>
      <c r="C282" s="23"/>
      <c r="D282" s="24"/>
      <c r="E282" s="24"/>
      <c r="F282" s="24"/>
      <c r="G282" s="25"/>
      <c r="H282" s="23"/>
      <c r="I282" s="23"/>
      <c r="J282" s="25"/>
      <c r="K282" s="25"/>
      <c r="L282" s="26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>
        <f t="shared" si="3"/>
        <v>0</v>
      </c>
      <c r="BD282" s="27">
        <f t="shared" si="4"/>
        <v>0</v>
      </c>
      <c r="BE282" s="27">
        <f t="shared" si="5"/>
        <v>0</v>
      </c>
      <c r="BF282" s="27">
        <f t="shared" si="6"/>
        <v>0</v>
      </c>
      <c r="BG282" s="24"/>
      <c r="BH282" s="24"/>
      <c r="BI282" s="24"/>
      <c r="BJ282" s="28" t="str">
        <f t="shared" ref="BJ282:BK282" si="286">H282</f>
        <v/>
      </c>
      <c r="BK282" s="28" t="str">
        <f t="shared" si="286"/>
        <v/>
      </c>
      <c r="BL282" s="29" t="str">
        <f t="shared" si="8"/>
        <v/>
      </c>
    </row>
    <row r="283">
      <c r="A283" s="12" t="str">
        <f t="shared" si="2"/>
        <v/>
      </c>
      <c r="B283" s="13"/>
      <c r="C283" s="14"/>
      <c r="D283" s="15"/>
      <c r="E283" s="15"/>
      <c r="F283" s="15"/>
      <c r="G283" s="16"/>
      <c r="H283" s="14"/>
      <c r="I283" s="14"/>
      <c r="J283" s="16"/>
      <c r="K283" s="16"/>
      <c r="L283" s="17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>
        <f t="shared" si="3"/>
        <v>0</v>
      </c>
      <c r="BD283" s="18">
        <f t="shared" si="4"/>
        <v>0</v>
      </c>
      <c r="BE283" s="18">
        <f t="shared" si="5"/>
        <v>0</v>
      </c>
      <c r="BF283" s="18">
        <f t="shared" si="6"/>
        <v>0</v>
      </c>
      <c r="BG283" s="15"/>
      <c r="BH283" s="15"/>
      <c r="BI283" s="15"/>
      <c r="BJ283" s="19" t="str">
        <f t="shared" ref="BJ283:BK283" si="287">H283</f>
        <v/>
      </c>
      <c r="BK283" s="19" t="str">
        <f t="shared" si="287"/>
        <v/>
      </c>
      <c r="BL283" s="20" t="str">
        <f t="shared" si="8"/>
        <v/>
      </c>
    </row>
    <row r="284">
      <c r="A284" s="21" t="str">
        <f t="shared" si="2"/>
        <v/>
      </c>
      <c r="B284" s="22"/>
      <c r="C284" s="23"/>
      <c r="D284" s="24"/>
      <c r="E284" s="24"/>
      <c r="F284" s="24"/>
      <c r="G284" s="25"/>
      <c r="H284" s="23"/>
      <c r="I284" s="23"/>
      <c r="J284" s="25"/>
      <c r="K284" s="25"/>
      <c r="L284" s="26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>
        <f t="shared" si="3"/>
        <v>0</v>
      </c>
      <c r="BD284" s="27">
        <f t="shared" si="4"/>
        <v>0</v>
      </c>
      <c r="BE284" s="27">
        <f t="shared" si="5"/>
        <v>0</v>
      </c>
      <c r="BF284" s="27">
        <f t="shared" si="6"/>
        <v>0</v>
      </c>
      <c r="BG284" s="24"/>
      <c r="BH284" s="24"/>
      <c r="BI284" s="24"/>
      <c r="BJ284" s="28" t="str">
        <f t="shared" ref="BJ284:BK284" si="288">H284</f>
        <v/>
      </c>
      <c r="BK284" s="28" t="str">
        <f t="shared" si="288"/>
        <v/>
      </c>
      <c r="BL284" s="29" t="str">
        <f t="shared" si="8"/>
        <v/>
      </c>
    </row>
    <row r="285">
      <c r="A285" s="12" t="str">
        <f t="shared" si="2"/>
        <v/>
      </c>
      <c r="B285" s="13"/>
      <c r="C285" s="14"/>
      <c r="D285" s="15"/>
      <c r="E285" s="15"/>
      <c r="F285" s="15"/>
      <c r="G285" s="16"/>
      <c r="H285" s="14"/>
      <c r="I285" s="14"/>
      <c r="J285" s="16"/>
      <c r="K285" s="16"/>
      <c r="L285" s="17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>
        <f t="shared" si="3"/>
        <v>0</v>
      </c>
      <c r="BD285" s="18">
        <f t="shared" si="4"/>
        <v>0</v>
      </c>
      <c r="BE285" s="18">
        <f t="shared" si="5"/>
        <v>0</v>
      </c>
      <c r="BF285" s="18">
        <f t="shared" si="6"/>
        <v>0</v>
      </c>
      <c r="BG285" s="15"/>
      <c r="BH285" s="15"/>
      <c r="BI285" s="15"/>
      <c r="BJ285" s="19" t="str">
        <f t="shared" ref="BJ285:BK285" si="289">H285</f>
        <v/>
      </c>
      <c r="BK285" s="19" t="str">
        <f t="shared" si="289"/>
        <v/>
      </c>
      <c r="BL285" s="20" t="str">
        <f t="shared" si="8"/>
        <v/>
      </c>
    </row>
    <row r="286">
      <c r="A286" s="21" t="str">
        <f t="shared" si="2"/>
        <v/>
      </c>
      <c r="B286" s="22"/>
      <c r="C286" s="23"/>
      <c r="D286" s="24"/>
      <c r="E286" s="24"/>
      <c r="F286" s="24"/>
      <c r="G286" s="25"/>
      <c r="H286" s="23"/>
      <c r="I286" s="23"/>
      <c r="J286" s="25"/>
      <c r="K286" s="25"/>
      <c r="L286" s="26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>
        <f t="shared" si="3"/>
        <v>0</v>
      </c>
      <c r="BD286" s="27">
        <f t="shared" si="4"/>
        <v>0</v>
      </c>
      <c r="BE286" s="27">
        <f t="shared" si="5"/>
        <v>0</v>
      </c>
      <c r="BF286" s="27">
        <f t="shared" si="6"/>
        <v>0</v>
      </c>
      <c r="BG286" s="24"/>
      <c r="BH286" s="24"/>
      <c r="BI286" s="24"/>
      <c r="BJ286" s="28" t="str">
        <f t="shared" ref="BJ286:BK286" si="290">H286</f>
        <v/>
      </c>
      <c r="BK286" s="28" t="str">
        <f t="shared" si="290"/>
        <v/>
      </c>
      <c r="BL286" s="29" t="str">
        <f t="shared" si="8"/>
        <v/>
      </c>
    </row>
    <row r="287">
      <c r="A287" s="12" t="str">
        <f t="shared" si="2"/>
        <v/>
      </c>
      <c r="B287" s="13"/>
      <c r="C287" s="14"/>
      <c r="D287" s="15"/>
      <c r="E287" s="15"/>
      <c r="F287" s="15"/>
      <c r="G287" s="16"/>
      <c r="H287" s="14"/>
      <c r="I287" s="14"/>
      <c r="J287" s="16"/>
      <c r="K287" s="16"/>
      <c r="L287" s="17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>
        <f t="shared" si="3"/>
        <v>0</v>
      </c>
      <c r="BD287" s="18">
        <f t="shared" si="4"/>
        <v>0</v>
      </c>
      <c r="BE287" s="18">
        <f t="shared" si="5"/>
        <v>0</v>
      </c>
      <c r="BF287" s="18">
        <f t="shared" si="6"/>
        <v>0</v>
      </c>
      <c r="BG287" s="15"/>
      <c r="BH287" s="15"/>
      <c r="BI287" s="15"/>
      <c r="BJ287" s="19" t="str">
        <f t="shared" ref="BJ287:BK287" si="291">H287</f>
        <v/>
      </c>
      <c r="BK287" s="19" t="str">
        <f t="shared" si="291"/>
        <v/>
      </c>
      <c r="BL287" s="20" t="str">
        <f t="shared" si="8"/>
        <v/>
      </c>
    </row>
    <row r="288">
      <c r="A288" s="21" t="str">
        <f t="shared" si="2"/>
        <v/>
      </c>
      <c r="B288" s="22"/>
      <c r="C288" s="23"/>
      <c r="D288" s="24"/>
      <c r="E288" s="24"/>
      <c r="F288" s="24"/>
      <c r="G288" s="25"/>
      <c r="H288" s="23"/>
      <c r="I288" s="23"/>
      <c r="J288" s="25"/>
      <c r="K288" s="25"/>
      <c r="L288" s="26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>
        <f t="shared" si="3"/>
        <v>0</v>
      </c>
      <c r="BD288" s="27">
        <f t="shared" si="4"/>
        <v>0</v>
      </c>
      <c r="BE288" s="27">
        <f t="shared" si="5"/>
        <v>0</v>
      </c>
      <c r="BF288" s="27">
        <f t="shared" si="6"/>
        <v>0</v>
      </c>
      <c r="BG288" s="24"/>
      <c r="BH288" s="24"/>
      <c r="BI288" s="24"/>
      <c r="BJ288" s="28" t="str">
        <f t="shared" ref="BJ288:BK288" si="292">H288</f>
        <v/>
      </c>
      <c r="BK288" s="28" t="str">
        <f t="shared" si="292"/>
        <v/>
      </c>
      <c r="BL288" s="29" t="str">
        <f t="shared" si="8"/>
        <v/>
      </c>
    </row>
    <row r="289">
      <c r="A289" s="12" t="str">
        <f t="shared" si="2"/>
        <v/>
      </c>
      <c r="B289" s="13"/>
      <c r="C289" s="14"/>
      <c r="D289" s="15"/>
      <c r="E289" s="15"/>
      <c r="F289" s="15"/>
      <c r="G289" s="16"/>
      <c r="H289" s="14"/>
      <c r="I289" s="14"/>
      <c r="J289" s="16"/>
      <c r="K289" s="16"/>
      <c r="L289" s="17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>
        <f t="shared" si="3"/>
        <v>0</v>
      </c>
      <c r="BD289" s="18">
        <f t="shared" si="4"/>
        <v>0</v>
      </c>
      <c r="BE289" s="18">
        <f t="shared" si="5"/>
        <v>0</v>
      </c>
      <c r="BF289" s="18">
        <f t="shared" si="6"/>
        <v>0</v>
      </c>
      <c r="BG289" s="15"/>
      <c r="BH289" s="15"/>
      <c r="BI289" s="15"/>
      <c r="BJ289" s="19" t="str">
        <f t="shared" ref="BJ289:BK289" si="293">H289</f>
        <v/>
      </c>
      <c r="BK289" s="19" t="str">
        <f t="shared" si="293"/>
        <v/>
      </c>
      <c r="BL289" s="20" t="str">
        <f t="shared" si="8"/>
        <v/>
      </c>
    </row>
    <row r="290">
      <c r="A290" s="21" t="str">
        <f t="shared" si="2"/>
        <v/>
      </c>
      <c r="B290" s="22"/>
      <c r="C290" s="23"/>
      <c r="D290" s="24"/>
      <c r="E290" s="24"/>
      <c r="F290" s="24"/>
      <c r="G290" s="25"/>
      <c r="H290" s="23"/>
      <c r="I290" s="23"/>
      <c r="J290" s="25"/>
      <c r="K290" s="25"/>
      <c r="L290" s="26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>
        <f t="shared" si="3"/>
        <v>0</v>
      </c>
      <c r="BD290" s="27">
        <f t="shared" si="4"/>
        <v>0</v>
      </c>
      <c r="BE290" s="27">
        <f t="shared" si="5"/>
        <v>0</v>
      </c>
      <c r="BF290" s="27">
        <f t="shared" si="6"/>
        <v>0</v>
      </c>
      <c r="BG290" s="24"/>
      <c r="BH290" s="24"/>
      <c r="BI290" s="24"/>
      <c r="BJ290" s="28" t="str">
        <f t="shared" ref="BJ290:BK290" si="294">H290</f>
        <v/>
      </c>
      <c r="BK290" s="28" t="str">
        <f t="shared" si="294"/>
        <v/>
      </c>
      <c r="BL290" s="29" t="str">
        <f t="shared" si="8"/>
        <v/>
      </c>
    </row>
    <row r="291">
      <c r="A291" s="12" t="str">
        <f t="shared" si="2"/>
        <v/>
      </c>
      <c r="B291" s="13"/>
      <c r="C291" s="14"/>
      <c r="D291" s="15"/>
      <c r="E291" s="15"/>
      <c r="F291" s="15"/>
      <c r="G291" s="16"/>
      <c r="H291" s="14"/>
      <c r="I291" s="14"/>
      <c r="J291" s="16"/>
      <c r="K291" s="14"/>
      <c r="L291" s="17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>
        <f t="shared" si="3"/>
        <v>0</v>
      </c>
      <c r="BD291" s="18">
        <f t="shared" si="4"/>
        <v>0</v>
      </c>
      <c r="BE291" s="18">
        <f t="shared" si="5"/>
        <v>0</v>
      </c>
      <c r="BF291" s="18">
        <f t="shared" si="6"/>
        <v>0</v>
      </c>
      <c r="BG291" s="15"/>
      <c r="BH291" s="15"/>
      <c r="BI291" s="15"/>
      <c r="BJ291" s="19" t="str">
        <f t="shared" ref="BJ291:BK291" si="295">H291</f>
        <v/>
      </c>
      <c r="BK291" s="19" t="str">
        <f t="shared" si="295"/>
        <v/>
      </c>
      <c r="BL291" s="20" t="str">
        <f t="shared" si="8"/>
        <v/>
      </c>
    </row>
    <row r="292">
      <c r="A292" s="21" t="str">
        <f t="shared" si="2"/>
        <v/>
      </c>
      <c r="B292" s="22"/>
      <c r="C292" s="23"/>
      <c r="D292" s="24"/>
      <c r="E292" s="24"/>
      <c r="F292" s="24"/>
      <c r="G292" s="25"/>
      <c r="H292" s="23"/>
      <c r="I292" s="23"/>
      <c r="J292" s="25"/>
      <c r="K292" s="23"/>
      <c r="L292" s="26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>
        <f t="shared" si="3"/>
        <v>0</v>
      </c>
      <c r="BD292" s="27">
        <f t="shared" si="4"/>
        <v>0</v>
      </c>
      <c r="BE292" s="27">
        <f t="shared" si="5"/>
        <v>0</v>
      </c>
      <c r="BF292" s="27">
        <f t="shared" si="6"/>
        <v>0</v>
      </c>
      <c r="BG292" s="24"/>
      <c r="BH292" s="24"/>
      <c r="BI292" s="24"/>
      <c r="BJ292" s="28" t="str">
        <f t="shared" ref="BJ292:BK292" si="296">H292</f>
        <v/>
      </c>
      <c r="BK292" s="28" t="str">
        <f t="shared" si="296"/>
        <v/>
      </c>
      <c r="BL292" s="29" t="str">
        <f t="shared" si="8"/>
        <v/>
      </c>
    </row>
    <row r="293">
      <c r="A293" s="12" t="str">
        <f t="shared" si="2"/>
        <v/>
      </c>
      <c r="B293" s="13"/>
      <c r="C293" s="14"/>
      <c r="D293" s="15"/>
      <c r="E293" s="15"/>
      <c r="F293" s="15"/>
      <c r="G293" s="16"/>
      <c r="H293" s="14"/>
      <c r="I293" s="14"/>
      <c r="J293" s="16"/>
      <c r="K293" s="16"/>
      <c r="L293" s="17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>
        <f t="shared" si="3"/>
        <v>0</v>
      </c>
      <c r="BD293" s="18">
        <f t="shared" si="4"/>
        <v>0</v>
      </c>
      <c r="BE293" s="18">
        <f t="shared" si="5"/>
        <v>0</v>
      </c>
      <c r="BF293" s="18">
        <f t="shared" si="6"/>
        <v>0</v>
      </c>
      <c r="BG293" s="15"/>
      <c r="BH293" s="15"/>
      <c r="BI293" s="15"/>
      <c r="BJ293" s="19" t="str">
        <f t="shared" ref="BJ293:BK293" si="297">H293</f>
        <v/>
      </c>
      <c r="BK293" s="19" t="str">
        <f t="shared" si="297"/>
        <v/>
      </c>
      <c r="BL293" s="20" t="str">
        <f t="shared" si="8"/>
        <v/>
      </c>
    </row>
    <row r="294">
      <c r="A294" s="21" t="str">
        <f t="shared" si="2"/>
        <v/>
      </c>
      <c r="B294" s="22"/>
      <c r="C294" s="23"/>
      <c r="D294" s="24"/>
      <c r="E294" s="24"/>
      <c r="F294" s="24"/>
      <c r="G294" s="25"/>
      <c r="H294" s="23"/>
      <c r="I294" s="23"/>
      <c r="J294" s="25"/>
      <c r="K294" s="25"/>
      <c r="L294" s="26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>
        <f t="shared" si="3"/>
        <v>0</v>
      </c>
      <c r="BD294" s="27">
        <f t="shared" si="4"/>
        <v>0</v>
      </c>
      <c r="BE294" s="27">
        <f t="shared" si="5"/>
        <v>0</v>
      </c>
      <c r="BF294" s="27">
        <f t="shared" si="6"/>
        <v>0</v>
      </c>
      <c r="BG294" s="24"/>
      <c r="BH294" s="24"/>
      <c r="BI294" s="24"/>
      <c r="BJ294" s="28" t="str">
        <f t="shared" ref="BJ294:BK294" si="298">H294</f>
        <v/>
      </c>
      <c r="BK294" s="28" t="str">
        <f t="shared" si="298"/>
        <v/>
      </c>
      <c r="BL294" s="29" t="str">
        <f t="shared" si="8"/>
        <v/>
      </c>
    </row>
    <row r="295">
      <c r="A295" s="12" t="str">
        <f t="shared" si="2"/>
        <v/>
      </c>
      <c r="B295" s="13"/>
      <c r="C295" s="14"/>
      <c r="D295" s="15"/>
      <c r="E295" s="15"/>
      <c r="F295" s="15"/>
      <c r="G295" s="16"/>
      <c r="H295" s="14"/>
      <c r="I295" s="14"/>
      <c r="J295" s="16"/>
      <c r="K295" s="16"/>
      <c r="L295" s="17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>
        <f t="shared" si="3"/>
        <v>0</v>
      </c>
      <c r="BD295" s="18">
        <f t="shared" si="4"/>
        <v>0</v>
      </c>
      <c r="BE295" s="18">
        <f t="shared" si="5"/>
        <v>0</v>
      </c>
      <c r="BF295" s="18">
        <f t="shared" si="6"/>
        <v>0</v>
      </c>
      <c r="BG295" s="15"/>
      <c r="BH295" s="15"/>
      <c r="BI295" s="15"/>
      <c r="BJ295" s="19" t="str">
        <f t="shared" ref="BJ295:BK295" si="299">H295</f>
        <v/>
      </c>
      <c r="BK295" s="19" t="str">
        <f t="shared" si="299"/>
        <v/>
      </c>
      <c r="BL295" s="20" t="str">
        <f t="shared" si="8"/>
        <v/>
      </c>
    </row>
    <row r="296">
      <c r="A296" s="21" t="str">
        <f t="shared" si="2"/>
        <v/>
      </c>
      <c r="B296" s="22"/>
      <c r="C296" s="23"/>
      <c r="D296" s="24"/>
      <c r="E296" s="24"/>
      <c r="F296" s="24"/>
      <c r="G296" s="25"/>
      <c r="H296" s="23"/>
      <c r="I296" s="23"/>
      <c r="J296" s="25"/>
      <c r="K296" s="25"/>
      <c r="L296" s="26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>
        <f t="shared" si="3"/>
        <v>0</v>
      </c>
      <c r="BD296" s="27">
        <f t="shared" si="4"/>
        <v>0</v>
      </c>
      <c r="BE296" s="27">
        <f t="shared" si="5"/>
        <v>0</v>
      </c>
      <c r="BF296" s="27">
        <f t="shared" si="6"/>
        <v>0</v>
      </c>
      <c r="BG296" s="24"/>
      <c r="BH296" s="24"/>
      <c r="BI296" s="24"/>
      <c r="BJ296" s="28" t="str">
        <f t="shared" ref="BJ296:BK296" si="300">H296</f>
        <v/>
      </c>
      <c r="BK296" s="28" t="str">
        <f t="shared" si="300"/>
        <v/>
      </c>
      <c r="BL296" s="29" t="str">
        <f t="shared" si="8"/>
        <v/>
      </c>
    </row>
    <row r="297">
      <c r="A297" s="12" t="str">
        <f t="shared" si="2"/>
        <v/>
      </c>
      <c r="B297" s="13"/>
      <c r="C297" s="14"/>
      <c r="D297" s="15"/>
      <c r="E297" s="15"/>
      <c r="F297" s="15"/>
      <c r="G297" s="16"/>
      <c r="H297" s="14"/>
      <c r="I297" s="14"/>
      <c r="J297" s="16"/>
      <c r="K297" s="16"/>
      <c r="L297" s="17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>
        <f t="shared" si="3"/>
        <v>0</v>
      </c>
      <c r="BD297" s="18">
        <f t="shared" si="4"/>
        <v>0</v>
      </c>
      <c r="BE297" s="18">
        <f t="shared" si="5"/>
        <v>0</v>
      </c>
      <c r="BF297" s="18">
        <f t="shared" si="6"/>
        <v>0</v>
      </c>
      <c r="BG297" s="15"/>
      <c r="BH297" s="15"/>
      <c r="BI297" s="15"/>
      <c r="BJ297" s="19" t="str">
        <f t="shared" ref="BJ297:BK297" si="301">H297</f>
        <v/>
      </c>
      <c r="BK297" s="19" t="str">
        <f t="shared" si="301"/>
        <v/>
      </c>
      <c r="BL297" s="20" t="str">
        <f t="shared" si="8"/>
        <v/>
      </c>
    </row>
    <row r="298">
      <c r="A298" s="21" t="str">
        <f t="shared" si="2"/>
        <v/>
      </c>
      <c r="B298" s="22"/>
      <c r="C298" s="23"/>
      <c r="D298" s="24"/>
      <c r="E298" s="24"/>
      <c r="F298" s="24"/>
      <c r="G298" s="25"/>
      <c r="H298" s="23"/>
      <c r="I298" s="23"/>
      <c r="J298" s="25"/>
      <c r="K298" s="25"/>
      <c r="L298" s="26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>
        <f t="shared" si="3"/>
        <v>0</v>
      </c>
      <c r="BD298" s="27">
        <f t="shared" si="4"/>
        <v>0</v>
      </c>
      <c r="BE298" s="27">
        <f t="shared" si="5"/>
        <v>0</v>
      </c>
      <c r="BF298" s="27">
        <f t="shared" si="6"/>
        <v>0</v>
      </c>
      <c r="BG298" s="24"/>
      <c r="BH298" s="24"/>
      <c r="BI298" s="24"/>
      <c r="BJ298" s="28" t="str">
        <f t="shared" ref="BJ298:BK298" si="302">H298</f>
        <v/>
      </c>
      <c r="BK298" s="28" t="str">
        <f t="shared" si="302"/>
        <v/>
      </c>
      <c r="BL298" s="29" t="str">
        <f t="shared" si="8"/>
        <v/>
      </c>
    </row>
    <row r="299">
      <c r="A299" s="12" t="str">
        <f t="shared" si="2"/>
        <v/>
      </c>
      <c r="B299" s="13"/>
      <c r="C299" s="14"/>
      <c r="D299" s="15"/>
      <c r="E299" s="15"/>
      <c r="F299" s="15"/>
      <c r="G299" s="16"/>
      <c r="H299" s="14"/>
      <c r="I299" s="14"/>
      <c r="J299" s="16"/>
      <c r="K299" s="14"/>
      <c r="L299" s="17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>
        <f t="shared" si="3"/>
        <v>0</v>
      </c>
      <c r="BD299" s="18">
        <f t="shared" si="4"/>
        <v>0</v>
      </c>
      <c r="BE299" s="18">
        <f t="shared" si="5"/>
        <v>0</v>
      </c>
      <c r="BF299" s="18">
        <f t="shared" si="6"/>
        <v>0</v>
      </c>
      <c r="BG299" s="15"/>
      <c r="BH299" s="15"/>
      <c r="BI299" s="15"/>
      <c r="BJ299" s="19" t="str">
        <f t="shared" ref="BJ299:BK299" si="303">H299</f>
        <v/>
      </c>
      <c r="BK299" s="19" t="str">
        <f t="shared" si="303"/>
        <v/>
      </c>
      <c r="BL299" s="20" t="str">
        <f t="shared" si="8"/>
        <v/>
      </c>
    </row>
    <row r="300">
      <c r="A300" s="21" t="str">
        <f t="shared" si="2"/>
        <v/>
      </c>
      <c r="B300" s="22"/>
      <c r="C300" s="23"/>
      <c r="D300" s="24"/>
      <c r="E300" s="24"/>
      <c r="F300" s="24"/>
      <c r="G300" s="25"/>
      <c r="H300" s="23"/>
      <c r="I300" s="23"/>
      <c r="J300" s="25"/>
      <c r="K300" s="25"/>
      <c r="L300" s="26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>
        <f t="shared" si="3"/>
        <v>0</v>
      </c>
      <c r="BD300" s="27">
        <f t="shared" si="4"/>
        <v>0</v>
      </c>
      <c r="BE300" s="27">
        <f t="shared" si="5"/>
        <v>0</v>
      </c>
      <c r="BF300" s="27">
        <f t="shared" si="6"/>
        <v>0</v>
      </c>
      <c r="BG300" s="24"/>
      <c r="BH300" s="24"/>
      <c r="BI300" s="24"/>
      <c r="BJ300" s="28" t="str">
        <f t="shared" ref="BJ300:BK300" si="304">H300</f>
        <v/>
      </c>
      <c r="BK300" s="28" t="str">
        <f t="shared" si="304"/>
        <v/>
      </c>
      <c r="BL300" s="29" t="str">
        <f t="shared" si="8"/>
        <v/>
      </c>
    </row>
    <row r="301">
      <c r="A301" s="12" t="str">
        <f t="shared" si="2"/>
        <v/>
      </c>
      <c r="B301" s="13"/>
      <c r="C301" s="14"/>
      <c r="D301" s="15"/>
      <c r="E301" s="15"/>
      <c r="F301" s="15"/>
      <c r="G301" s="16"/>
      <c r="H301" s="14"/>
      <c r="I301" s="14"/>
      <c r="J301" s="16"/>
      <c r="K301" s="16"/>
      <c r="L301" s="17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>
        <f t="shared" si="3"/>
        <v>0</v>
      </c>
      <c r="BD301" s="18">
        <f t="shared" si="4"/>
        <v>0</v>
      </c>
      <c r="BE301" s="18">
        <f t="shared" si="5"/>
        <v>0</v>
      </c>
      <c r="BF301" s="18">
        <f t="shared" si="6"/>
        <v>0</v>
      </c>
      <c r="BG301" s="15"/>
      <c r="BH301" s="15"/>
      <c r="BI301" s="15"/>
      <c r="BJ301" s="19" t="str">
        <f t="shared" ref="BJ301:BK301" si="305">H301</f>
        <v/>
      </c>
      <c r="BK301" s="19" t="str">
        <f t="shared" si="305"/>
        <v/>
      </c>
      <c r="BL301" s="20" t="str">
        <f t="shared" si="8"/>
        <v/>
      </c>
    </row>
    <row r="302">
      <c r="A302" s="21" t="str">
        <f t="shared" si="2"/>
        <v/>
      </c>
      <c r="B302" s="22"/>
      <c r="C302" s="23"/>
      <c r="D302" s="24"/>
      <c r="E302" s="24"/>
      <c r="F302" s="24"/>
      <c r="G302" s="21"/>
      <c r="H302" s="23"/>
      <c r="I302" s="23"/>
      <c r="J302" s="25"/>
      <c r="K302" s="25"/>
      <c r="L302" s="26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>
        <f t="shared" si="3"/>
        <v>0</v>
      </c>
      <c r="BD302" s="27">
        <f t="shared" si="4"/>
        <v>0</v>
      </c>
      <c r="BE302" s="27">
        <f t="shared" si="5"/>
        <v>0</v>
      </c>
      <c r="BF302" s="27">
        <f t="shared" si="6"/>
        <v>0</v>
      </c>
      <c r="BG302" s="24"/>
      <c r="BH302" s="24"/>
      <c r="BI302" s="24"/>
      <c r="BJ302" s="28" t="str">
        <f t="shared" ref="BJ302:BK302" si="306">H302</f>
        <v/>
      </c>
      <c r="BK302" s="28" t="str">
        <f t="shared" si="306"/>
        <v/>
      </c>
      <c r="BL302" s="29" t="str">
        <f t="shared" si="8"/>
        <v/>
      </c>
    </row>
    <row r="303">
      <c r="A303" s="12" t="str">
        <f t="shared" si="2"/>
        <v/>
      </c>
      <c r="B303" s="13"/>
      <c r="C303" s="14"/>
      <c r="D303" s="15"/>
      <c r="E303" s="15"/>
      <c r="F303" s="15"/>
      <c r="G303" s="16"/>
      <c r="H303" s="14"/>
      <c r="I303" s="14"/>
      <c r="J303" s="16"/>
      <c r="K303" s="16"/>
      <c r="L303" s="17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>
        <f t="shared" si="3"/>
        <v>0</v>
      </c>
      <c r="BD303" s="18">
        <f t="shared" si="4"/>
        <v>0</v>
      </c>
      <c r="BE303" s="18">
        <f t="shared" si="5"/>
        <v>0</v>
      </c>
      <c r="BF303" s="18">
        <f t="shared" si="6"/>
        <v>0</v>
      </c>
      <c r="BG303" s="15"/>
      <c r="BH303" s="15"/>
      <c r="BI303" s="15"/>
      <c r="BJ303" s="19" t="str">
        <f t="shared" ref="BJ303:BK303" si="307">H303</f>
        <v/>
      </c>
      <c r="BK303" s="19" t="str">
        <f t="shared" si="307"/>
        <v/>
      </c>
      <c r="BL303" s="20" t="str">
        <f t="shared" si="8"/>
        <v/>
      </c>
    </row>
    <row r="304">
      <c r="A304" s="21" t="str">
        <f t="shared" si="2"/>
        <v/>
      </c>
      <c r="B304" s="22"/>
      <c r="C304" s="23"/>
      <c r="D304" s="24"/>
      <c r="E304" s="24"/>
      <c r="F304" s="24"/>
      <c r="G304" s="25"/>
      <c r="H304" s="23"/>
      <c r="I304" s="23"/>
      <c r="J304" s="25"/>
      <c r="K304" s="25"/>
      <c r="L304" s="26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>
        <f t="shared" si="3"/>
        <v>0</v>
      </c>
      <c r="BD304" s="27">
        <f t="shared" si="4"/>
        <v>0</v>
      </c>
      <c r="BE304" s="27">
        <f t="shared" si="5"/>
        <v>0</v>
      </c>
      <c r="BF304" s="27">
        <f t="shared" si="6"/>
        <v>0</v>
      </c>
      <c r="BG304" s="24"/>
      <c r="BH304" s="24"/>
      <c r="BI304" s="24"/>
      <c r="BJ304" s="28" t="str">
        <f t="shared" ref="BJ304:BK304" si="308">H304</f>
        <v/>
      </c>
      <c r="BK304" s="28" t="str">
        <f t="shared" si="308"/>
        <v/>
      </c>
      <c r="BL304" s="29" t="str">
        <f t="shared" si="8"/>
        <v/>
      </c>
    </row>
    <row r="305">
      <c r="A305" s="12" t="str">
        <f t="shared" si="2"/>
        <v/>
      </c>
      <c r="B305" s="13"/>
      <c r="C305" s="14"/>
      <c r="D305" s="15"/>
      <c r="E305" s="15"/>
      <c r="F305" s="15"/>
      <c r="G305" s="16"/>
      <c r="H305" s="14"/>
      <c r="I305" s="14"/>
      <c r="J305" s="16"/>
      <c r="K305" s="16"/>
      <c r="L305" s="17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>
        <f t="shared" si="3"/>
        <v>0</v>
      </c>
      <c r="BD305" s="18">
        <f t="shared" si="4"/>
        <v>0</v>
      </c>
      <c r="BE305" s="18">
        <f t="shared" si="5"/>
        <v>0</v>
      </c>
      <c r="BF305" s="18">
        <f t="shared" si="6"/>
        <v>0</v>
      </c>
      <c r="BG305" s="15"/>
      <c r="BH305" s="15"/>
      <c r="BI305" s="15"/>
      <c r="BJ305" s="19" t="str">
        <f t="shared" ref="BJ305:BK305" si="309">H305</f>
        <v/>
      </c>
      <c r="BK305" s="19" t="str">
        <f t="shared" si="309"/>
        <v/>
      </c>
      <c r="BL305" s="20" t="str">
        <f t="shared" si="8"/>
        <v/>
      </c>
    </row>
    <row r="306">
      <c r="A306" s="21" t="str">
        <f t="shared" si="2"/>
        <v/>
      </c>
      <c r="B306" s="22"/>
      <c r="C306" s="23"/>
      <c r="D306" s="24"/>
      <c r="E306" s="24"/>
      <c r="F306" s="24"/>
      <c r="G306" s="25"/>
      <c r="H306" s="23"/>
      <c r="I306" s="23"/>
      <c r="J306" s="25"/>
      <c r="K306" s="25"/>
      <c r="L306" s="26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>
        <f t="shared" si="3"/>
        <v>0</v>
      </c>
      <c r="BD306" s="27">
        <f t="shared" si="4"/>
        <v>0</v>
      </c>
      <c r="BE306" s="27">
        <f t="shared" si="5"/>
        <v>0</v>
      </c>
      <c r="BF306" s="27">
        <f t="shared" si="6"/>
        <v>0</v>
      </c>
      <c r="BG306" s="24"/>
      <c r="BH306" s="24"/>
      <c r="BI306" s="24"/>
      <c r="BJ306" s="28" t="str">
        <f t="shared" ref="BJ306:BK306" si="310">H306</f>
        <v/>
      </c>
      <c r="BK306" s="28" t="str">
        <f t="shared" si="310"/>
        <v/>
      </c>
      <c r="BL306" s="29" t="str">
        <f t="shared" si="8"/>
        <v/>
      </c>
    </row>
    <row r="307">
      <c r="A307" s="12" t="str">
        <f t="shared" si="2"/>
        <v/>
      </c>
      <c r="B307" s="13"/>
      <c r="C307" s="14"/>
      <c r="D307" s="15"/>
      <c r="E307" s="15"/>
      <c r="F307" s="15"/>
      <c r="G307" s="16"/>
      <c r="H307" s="14"/>
      <c r="I307" s="14"/>
      <c r="J307" s="16"/>
      <c r="K307" s="16"/>
      <c r="L307" s="17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>
        <f t="shared" si="3"/>
        <v>0</v>
      </c>
      <c r="BD307" s="18">
        <f t="shared" si="4"/>
        <v>0</v>
      </c>
      <c r="BE307" s="18">
        <f t="shared" si="5"/>
        <v>0</v>
      </c>
      <c r="BF307" s="18">
        <f t="shared" si="6"/>
        <v>0</v>
      </c>
      <c r="BG307" s="15"/>
      <c r="BH307" s="15"/>
      <c r="BI307" s="15"/>
      <c r="BJ307" s="19" t="str">
        <f t="shared" ref="BJ307:BK307" si="311">H307</f>
        <v/>
      </c>
      <c r="BK307" s="19" t="str">
        <f t="shared" si="311"/>
        <v/>
      </c>
      <c r="BL307" s="20" t="str">
        <f t="shared" si="8"/>
        <v/>
      </c>
    </row>
    <row r="308">
      <c r="A308" s="21" t="str">
        <f t="shared" si="2"/>
        <v/>
      </c>
      <c r="B308" s="22"/>
      <c r="C308" s="23"/>
      <c r="D308" s="24"/>
      <c r="E308" s="24"/>
      <c r="F308" s="24"/>
      <c r="G308" s="25"/>
      <c r="H308" s="23"/>
      <c r="I308" s="23"/>
      <c r="J308" s="25"/>
      <c r="K308" s="25"/>
      <c r="L308" s="26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>
        <f t="shared" si="3"/>
        <v>0</v>
      </c>
      <c r="BD308" s="27">
        <f t="shared" si="4"/>
        <v>0</v>
      </c>
      <c r="BE308" s="27">
        <f t="shared" si="5"/>
        <v>0</v>
      </c>
      <c r="BF308" s="27">
        <f t="shared" si="6"/>
        <v>0</v>
      </c>
      <c r="BG308" s="24"/>
      <c r="BH308" s="24"/>
      <c r="BI308" s="24"/>
      <c r="BJ308" s="28" t="str">
        <f t="shared" ref="BJ308:BK308" si="312">H308</f>
        <v/>
      </c>
      <c r="BK308" s="28" t="str">
        <f t="shared" si="312"/>
        <v/>
      </c>
      <c r="BL308" s="29" t="str">
        <f t="shared" si="8"/>
        <v/>
      </c>
    </row>
    <row r="309">
      <c r="A309" s="12" t="str">
        <f t="shared" si="2"/>
        <v/>
      </c>
      <c r="B309" s="13"/>
      <c r="C309" s="14"/>
      <c r="D309" s="15"/>
      <c r="E309" s="15"/>
      <c r="F309" s="15"/>
      <c r="G309" s="16"/>
      <c r="H309" s="14"/>
      <c r="I309" s="14"/>
      <c r="J309" s="16"/>
      <c r="K309" s="16"/>
      <c r="L309" s="17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>
        <f t="shared" si="3"/>
        <v>0</v>
      </c>
      <c r="BD309" s="18">
        <f t="shared" si="4"/>
        <v>0</v>
      </c>
      <c r="BE309" s="18">
        <f t="shared" si="5"/>
        <v>0</v>
      </c>
      <c r="BF309" s="18">
        <f t="shared" si="6"/>
        <v>0</v>
      </c>
      <c r="BG309" s="15"/>
      <c r="BH309" s="15"/>
      <c r="BI309" s="15"/>
      <c r="BJ309" s="19" t="str">
        <f t="shared" ref="BJ309:BK309" si="313">H309</f>
        <v/>
      </c>
      <c r="BK309" s="19" t="str">
        <f t="shared" si="313"/>
        <v/>
      </c>
      <c r="BL309" s="20" t="str">
        <f t="shared" si="8"/>
        <v/>
      </c>
    </row>
    <row r="310">
      <c r="A310" s="21" t="str">
        <f t="shared" si="2"/>
        <v/>
      </c>
      <c r="B310" s="22"/>
      <c r="C310" s="23"/>
      <c r="D310" s="24"/>
      <c r="E310" s="24"/>
      <c r="F310" s="24"/>
      <c r="G310" s="25"/>
      <c r="H310" s="23"/>
      <c r="I310" s="23"/>
      <c r="J310" s="25"/>
      <c r="K310" s="25"/>
      <c r="L310" s="26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>
        <f t="shared" si="3"/>
        <v>0</v>
      </c>
      <c r="BD310" s="27">
        <f t="shared" si="4"/>
        <v>0</v>
      </c>
      <c r="BE310" s="27">
        <f t="shared" si="5"/>
        <v>0</v>
      </c>
      <c r="BF310" s="27">
        <f t="shared" si="6"/>
        <v>0</v>
      </c>
      <c r="BG310" s="24"/>
      <c r="BH310" s="24"/>
      <c r="BI310" s="24"/>
      <c r="BJ310" s="28" t="str">
        <f t="shared" ref="BJ310:BK310" si="314">H310</f>
        <v/>
      </c>
      <c r="BK310" s="28" t="str">
        <f t="shared" si="314"/>
        <v/>
      </c>
      <c r="BL310" s="29" t="str">
        <f t="shared" si="8"/>
        <v/>
      </c>
    </row>
    <row r="311">
      <c r="A311" s="12" t="str">
        <f t="shared" si="2"/>
        <v/>
      </c>
      <c r="B311" s="13"/>
      <c r="C311" s="14"/>
      <c r="D311" s="15"/>
      <c r="E311" s="15"/>
      <c r="F311" s="15"/>
      <c r="G311" s="16"/>
      <c r="H311" s="14"/>
      <c r="I311" s="14"/>
      <c r="J311" s="16"/>
      <c r="K311" s="16"/>
      <c r="L311" s="17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>
        <f t="shared" si="3"/>
        <v>0</v>
      </c>
      <c r="BD311" s="18">
        <f t="shared" si="4"/>
        <v>0</v>
      </c>
      <c r="BE311" s="18">
        <f t="shared" si="5"/>
        <v>0</v>
      </c>
      <c r="BF311" s="18">
        <f t="shared" si="6"/>
        <v>0</v>
      </c>
      <c r="BG311" s="15"/>
      <c r="BH311" s="15"/>
      <c r="BI311" s="15"/>
      <c r="BJ311" s="19" t="str">
        <f t="shared" ref="BJ311:BK311" si="315">H311</f>
        <v/>
      </c>
      <c r="BK311" s="19" t="str">
        <f t="shared" si="315"/>
        <v/>
      </c>
      <c r="BL311" s="20" t="str">
        <f t="shared" si="8"/>
        <v/>
      </c>
    </row>
    <row r="312">
      <c r="A312" s="21" t="str">
        <f t="shared" si="2"/>
        <v/>
      </c>
      <c r="B312" s="22"/>
      <c r="C312" s="23"/>
      <c r="D312" s="24"/>
      <c r="E312" s="24"/>
      <c r="F312" s="24"/>
      <c r="G312" s="25"/>
      <c r="H312" s="23"/>
      <c r="I312" s="23"/>
      <c r="J312" s="25"/>
      <c r="K312" s="25"/>
      <c r="L312" s="26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>
        <f t="shared" si="3"/>
        <v>0</v>
      </c>
      <c r="BD312" s="27">
        <f t="shared" si="4"/>
        <v>0</v>
      </c>
      <c r="BE312" s="27">
        <f t="shared" si="5"/>
        <v>0</v>
      </c>
      <c r="BF312" s="27">
        <f t="shared" si="6"/>
        <v>0</v>
      </c>
      <c r="BG312" s="24"/>
      <c r="BH312" s="24"/>
      <c r="BI312" s="24"/>
      <c r="BJ312" s="28" t="str">
        <f t="shared" ref="BJ312:BK312" si="316">H312</f>
        <v/>
      </c>
      <c r="BK312" s="28" t="str">
        <f t="shared" si="316"/>
        <v/>
      </c>
      <c r="BL312" s="29" t="str">
        <f t="shared" si="8"/>
        <v/>
      </c>
    </row>
    <row r="313">
      <c r="A313" s="12" t="str">
        <f t="shared" si="2"/>
        <v/>
      </c>
      <c r="B313" s="13"/>
      <c r="C313" s="14"/>
      <c r="D313" s="15"/>
      <c r="E313" s="15"/>
      <c r="F313" s="15"/>
      <c r="G313" s="16"/>
      <c r="H313" s="14"/>
      <c r="I313" s="14"/>
      <c r="J313" s="16"/>
      <c r="K313" s="16"/>
      <c r="L313" s="17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>
        <f t="shared" si="3"/>
        <v>0</v>
      </c>
      <c r="BD313" s="18">
        <f t="shared" si="4"/>
        <v>0</v>
      </c>
      <c r="BE313" s="18">
        <f t="shared" si="5"/>
        <v>0</v>
      </c>
      <c r="BF313" s="18">
        <f t="shared" si="6"/>
        <v>0</v>
      </c>
      <c r="BG313" s="15"/>
      <c r="BH313" s="15"/>
      <c r="BI313" s="15"/>
      <c r="BJ313" s="19" t="str">
        <f t="shared" ref="BJ313:BK313" si="317">H313</f>
        <v/>
      </c>
      <c r="BK313" s="19" t="str">
        <f t="shared" si="317"/>
        <v/>
      </c>
      <c r="BL313" s="20" t="str">
        <f t="shared" si="8"/>
        <v/>
      </c>
    </row>
    <row r="314">
      <c r="A314" s="21" t="str">
        <f t="shared" si="2"/>
        <v/>
      </c>
      <c r="B314" s="22"/>
      <c r="C314" s="23"/>
      <c r="D314" s="24"/>
      <c r="E314" s="24"/>
      <c r="F314" s="24"/>
      <c r="G314" s="25"/>
      <c r="H314" s="23"/>
      <c r="I314" s="23"/>
      <c r="J314" s="25"/>
      <c r="K314" s="25"/>
      <c r="L314" s="26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>
        <f t="shared" si="3"/>
        <v>0</v>
      </c>
      <c r="BD314" s="27">
        <f t="shared" si="4"/>
        <v>0</v>
      </c>
      <c r="BE314" s="27">
        <f t="shared" si="5"/>
        <v>0</v>
      </c>
      <c r="BF314" s="27">
        <f t="shared" si="6"/>
        <v>0</v>
      </c>
      <c r="BG314" s="24"/>
      <c r="BH314" s="24"/>
      <c r="BI314" s="24"/>
      <c r="BJ314" s="28" t="str">
        <f t="shared" ref="BJ314:BK314" si="318">H314</f>
        <v/>
      </c>
      <c r="BK314" s="28" t="str">
        <f t="shared" si="318"/>
        <v/>
      </c>
      <c r="BL314" s="29" t="str">
        <f t="shared" si="8"/>
        <v/>
      </c>
    </row>
    <row r="315">
      <c r="A315" s="12" t="str">
        <f t="shared" si="2"/>
        <v/>
      </c>
      <c r="B315" s="13"/>
      <c r="C315" s="14"/>
      <c r="D315" s="15"/>
      <c r="E315" s="15"/>
      <c r="F315" s="15"/>
      <c r="G315" s="16"/>
      <c r="H315" s="14"/>
      <c r="I315" s="14"/>
      <c r="J315" s="16"/>
      <c r="K315" s="16"/>
      <c r="L315" s="17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>
        <f t="shared" si="3"/>
        <v>0</v>
      </c>
      <c r="BD315" s="18">
        <f t="shared" si="4"/>
        <v>0</v>
      </c>
      <c r="BE315" s="18">
        <f t="shared" si="5"/>
        <v>0</v>
      </c>
      <c r="BF315" s="18">
        <f t="shared" si="6"/>
        <v>0</v>
      </c>
      <c r="BG315" s="15"/>
      <c r="BH315" s="15"/>
      <c r="BI315" s="15"/>
      <c r="BJ315" s="19" t="str">
        <f t="shared" ref="BJ315:BK315" si="319">H315</f>
        <v/>
      </c>
      <c r="BK315" s="19" t="str">
        <f t="shared" si="319"/>
        <v/>
      </c>
      <c r="BL315" s="20" t="str">
        <f t="shared" si="8"/>
        <v/>
      </c>
    </row>
    <row r="316">
      <c r="A316" s="21" t="str">
        <f t="shared" si="2"/>
        <v/>
      </c>
      <c r="B316" s="22"/>
      <c r="C316" s="23"/>
      <c r="D316" s="24"/>
      <c r="E316" s="24"/>
      <c r="F316" s="24"/>
      <c r="G316" s="25"/>
      <c r="H316" s="23"/>
      <c r="I316" s="23"/>
      <c r="J316" s="25"/>
      <c r="K316" s="25"/>
      <c r="L316" s="26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>
        <f t="shared" si="3"/>
        <v>0</v>
      </c>
      <c r="BD316" s="27">
        <f t="shared" si="4"/>
        <v>0</v>
      </c>
      <c r="BE316" s="27">
        <f t="shared" si="5"/>
        <v>0</v>
      </c>
      <c r="BF316" s="27">
        <f t="shared" si="6"/>
        <v>0</v>
      </c>
      <c r="BG316" s="24"/>
      <c r="BH316" s="24"/>
      <c r="BI316" s="24"/>
      <c r="BJ316" s="28" t="str">
        <f t="shared" ref="BJ316:BK316" si="320">H316</f>
        <v/>
      </c>
      <c r="BK316" s="28" t="str">
        <f t="shared" si="320"/>
        <v/>
      </c>
      <c r="BL316" s="29" t="str">
        <f t="shared" si="8"/>
        <v/>
      </c>
    </row>
    <row r="317">
      <c r="A317" s="12" t="str">
        <f t="shared" si="2"/>
        <v/>
      </c>
      <c r="B317" s="13"/>
      <c r="C317" s="14"/>
      <c r="D317" s="15"/>
      <c r="E317" s="15"/>
      <c r="F317" s="15"/>
      <c r="G317" s="16"/>
      <c r="H317" s="14"/>
      <c r="I317" s="14"/>
      <c r="J317" s="16"/>
      <c r="K317" s="16"/>
      <c r="L317" s="17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>
        <f t="shared" si="3"/>
        <v>0</v>
      </c>
      <c r="BD317" s="18">
        <f t="shared" si="4"/>
        <v>0</v>
      </c>
      <c r="BE317" s="18">
        <f t="shared" si="5"/>
        <v>0</v>
      </c>
      <c r="BF317" s="18">
        <f t="shared" si="6"/>
        <v>0</v>
      </c>
      <c r="BG317" s="15"/>
      <c r="BH317" s="15"/>
      <c r="BI317" s="15"/>
      <c r="BJ317" s="19" t="str">
        <f t="shared" ref="BJ317:BK317" si="321">H317</f>
        <v/>
      </c>
      <c r="BK317" s="19" t="str">
        <f t="shared" si="321"/>
        <v/>
      </c>
      <c r="BL317" s="20" t="str">
        <f t="shared" si="8"/>
        <v/>
      </c>
    </row>
    <row r="318">
      <c r="A318" s="21" t="str">
        <f t="shared" si="2"/>
        <v/>
      </c>
      <c r="B318" s="22"/>
      <c r="C318" s="23"/>
      <c r="D318" s="24"/>
      <c r="E318" s="24"/>
      <c r="F318" s="24"/>
      <c r="G318" s="25"/>
      <c r="H318" s="23"/>
      <c r="I318" s="23"/>
      <c r="J318" s="25"/>
      <c r="K318" s="25"/>
      <c r="L318" s="26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>
        <f t="shared" si="3"/>
        <v>0</v>
      </c>
      <c r="BD318" s="27">
        <f t="shared" si="4"/>
        <v>0</v>
      </c>
      <c r="BE318" s="27">
        <f t="shared" si="5"/>
        <v>0</v>
      </c>
      <c r="BF318" s="27">
        <f t="shared" si="6"/>
        <v>0</v>
      </c>
      <c r="BG318" s="24"/>
      <c r="BH318" s="24"/>
      <c r="BI318" s="24"/>
      <c r="BJ318" s="28" t="str">
        <f t="shared" ref="BJ318:BK318" si="322">H318</f>
        <v/>
      </c>
      <c r="BK318" s="28" t="str">
        <f t="shared" si="322"/>
        <v/>
      </c>
      <c r="BL318" s="29" t="str">
        <f t="shared" si="8"/>
        <v/>
      </c>
    </row>
    <row r="319">
      <c r="A319" s="12" t="str">
        <f t="shared" si="2"/>
        <v/>
      </c>
      <c r="B319" s="13"/>
      <c r="C319" s="14"/>
      <c r="D319" s="15"/>
      <c r="E319" s="15"/>
      <c r="F319" s="15"/>
      <c r="G319" s="16"/>
      <c r="H319" s="14"/>
      <c r="I319" s="14"/>
      <c r="J319" s="16"/>
      <c r="K319" s="16"/>
      <c r="L319" s="17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>
        <f t="shared" si="3"/>
        <v>0</v>
      </c>
      <c r="BD319" s="18">
        <f t="shared" si="4"/>
        <v>0</v>
      </c>
      <c r="BE319" s="18">
        <f t="shared" si="5"/>
        <v>0</v>
      </c>
      <c r="BF319" s="18">
        <f t="shared" si="6"/>
        <v>0</v>
      </c>
      <c r="BG319" s="15"/>
      <c r="BH319" s="15"/>
      <c r="BI319" s="15"/>
      <c r="BJ319" s="19" t="str">
        <f t="shared" ref="BJ319:BK319" si="323">H319</f>
        <v/>
      </c>
      <c r="BK319" s="19" t="str">
        <f t="shared" si="323"/>
        <v/>
      </c>
      <c r="BL319" s="20" t="str">
        <f t="shared" si="8"/>
        <v/>
      </c>
    </row>
    <row r="320">
      <c r="A320" s="21" t="str">
        <f t="shared" si="2"/>
        <v/>
      </c>
      <c r="B320" s="22"/>
      <c r="C320" s="23"/>
      <c r="D320" s="24"/>
      <c r="E320" s="24"/>
      <c r="F320" s="24"/>
      <c r="G320" s="25"/>
      <c r="H320" s="23"/>
      <c r="I320" s="23"/>
      <c r="J320" s="25"/>
      <c r="K320" s="25"/>
      <c r="L320" s="26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>
        <f t="shared" si="3"/>
        <v>0</v>
      </c>
      <c r="BD320" s="27">
        <f t="shared" si="4"/>
        <v>0</v>
      </c>
      <c r="BE320" s="27">
        <f t="shared" si="5"/>
        <v>0</v>
      </c>
      <c r="BF320" s="27">
        <f t="shared" si="6"/>
        <v>0</v>
      </c>
      <c r="BG320" s="24"/>
      <c r="BH320" s="24"/>
      <c r="BI320" s="24"/>
      <c r="BJ320" s="28" t="str">
        <f t="shared" ref="BJ320:BK320" si="324">H320</f>
        <v/>
      </c>
      <c r="BK320" s="28" t="str">
        <f t="shared" si="324"/>
        <v/>
      </c>
      <c r="BL320" s="29" t="str">
        <f t="shared" si="8"/>
        <v/>
      </c>
    </row>
    <row r="321">
      <c r="A321" s="12" t="str">
        <f t="shared" si="2"/>
        <v/>
      </c>
      <c r="B321" s="13"/>
      <c r="C321" s="14"/>
      <c r="D321" s="15"/>
      <c r="E321" s="15"/>
      <c r="F321" s="15"/>
      <c r="G321" s="16"/>
      <c r="H321" s="14"/>
      <c r="I321" s="14"/>
      <c r="J321" s="16"/>
      <c r="K321" s="16"/>
      <c r="L321" s="17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>
        <f t="shared" si="3"/>
        <v>0</v>
      </c>
      <c r="BD321" s="18">
        <f t="shared" si="4"/>
        <v>0</v>
      </c>
      <c r="BE321" s="18">
        <f t="shared" si="5"/>
        <v>0</v>
      </c>
      <c r="BF321" s="18">
        <f t="shared" si="6"/>
        <v>0</v>
      </c>
      <c r="BG321" s="15"/>
      <c r="BH321" s="15"/>
      <c r="BI321" s="15"/>
      <c r="BJ321" s="19" t="str">
        <f t="shared" ref="BJ321:BK321" si="325">H321</f>
        <v/>
      </c>
      <c r="BK321" s="19" t="str">
        <f t="shared" si="325"/>
        <v/>
      </c>
      <c r="BL321" s="20" t="str">
        <f t="shared" si="8"/>
        <v/>
      </c>
    </row>
    <row r="322">
      <c r="A322" s="21" t="str">
        <f t="shared" si="2"/>
        <v/>
      </c>
      <c r="B322" s="22"/>
      <c r="C322" s="23"/>
      <c r="D322" s="24"/>
      <c r="E322" s="24"/>
      <c r="F322" s="24"/>
      <c r="G322" s="25"/>
      <c r="H322" s="23"/>
      <c r="I322" s="23"/>
      <c r="J322" s="25"/>
      <c r="K322" s="25"/>
      <c r="L322" s="26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>
        <f t="shared" si="3"/>
        <v>0</v>
      </c>
      <c r="BD322" s="27">
        <f t="shared" si="4"/>
        <v>0</v>
      </c>
      <c r="BE322" s="27">
        <f t="shared" si="5"/>
        <v>0</v>
      </c>
      <c r="BF322" s="27">
        <f t="shared" si="6"/>
        <v>0</v>
      </c>
      <c r="BG322" s="24"/>
      <c r="BH322" s="24"/>
      <c r="BI322" s="24"/>
      <c r="BJ322" s="28" t="str">
        <f t="shared" ref="BJ322:BK322" si="326">H322</f>
        <v/>
      </c>
      <c r="BK322" s="28" t="str">
        <f t="shared" si="326"/>
        <v/>
      </c>
      <c r="BL322" s="29" t="str">
        <f t="shared" si="8"/>
        <v/>
      </c>
    </row>
    <row r="323">
      <c r="A323" s="12" t="str">
        <f t="shared" si="2"/>
        <v/>
      </c>
      <c r="B323" s="13"/>
      <c r="C323" s="14"/>
      <c r="D323" s="15"/>
      <c r="E323" s="15"/>
      <c r="F323" s="15"/>
      <c r="G323" s="16"/>
      <c r="H323" s="14"/>
      <c r="I323" s="14"/>
      <c r="J323" s="16"/>
      <c r="K323" s="14"/>
      <c r="L323" s="17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f t="shared" si="3"/>
        <v>0</v>
      </c>
      <c r="BD323" s="18">
        <f t="shared" si="4"/>
        <v>0</v>
      </c>
      <c r="BE323" s="18">
        <f t="shared" si="5"/>
        <v>0</v>
      </c>
      <c r="BF323" s="18">
        <f t="shared" si="6"/>
        <v>0</v>
      </c>
      <c r="BG323" s="15"/>
      <c r="BH323" s="15"/>
      <c r="BI323" s="15"/>
      <c r="BJ323" s="19" t="str">
        <f t="shared" ref="BJ323:BK323" si="327">H323</f>
        <v/>
      </c>
      <c r="BK323" s="19" t="str">
        <f t="shared" si="327"/>
        <v/>
      </c>
      <c r="BL323" s="20" t="str">
        <f t="shared" si="8"/>
        <v/>
      </c>
    </row>
    <row r="324">
      <c r="A324" s="21" t="str">
        <f t="shared" si="2"/>
        <v/>
      </c>
      <c r="B324" s="22"/>
      <c r="C324" s="23"/>
      <c r="D324" s="24"/>
      <c r="E324" s="24"/>
      <c r="F324" s="24"/>
      <c r="G324" s="25"/>
      <c r="H324" s="23"/>
      <c r="I324" s="23"/>
      <c r="J324" s="25"/>
      <c r="K324" s="25"/>
      <c r="L324" s="26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>
        <f t="shared" si="3"/>
        <v>0</v>
      </c>
      <c r="BD324" s="27">
        <f t="shared" si="4"/>
        <v>0</v>
      </c>
      <c r="BE324" s="27">
        <f t="shared" si="5"/>
        <v>0</v>
      </c>
      <c r="BF324" s="27">
        <f t="shared" si="6"/>
        <v>0</v>
      </c>
      <c r="BG324" s="24"/>
      <c r="BH324" s="24"/>
      <c r="BI324" s="24"/>
      <c r="BJ324" s="28" t="str">
        <f t="shared" ref="BJ324:BK324" si="328">H324</f>
        <v/>
      </c>
      <c r="BK324" s="28" t="str">
        <f t="shared" si="328"/>
        <v/>
      </c>
      <c r="BL324" s="29" t="str">
        <f t="shared" si="8"/>
        <v/>
      </c>
    </row>
    <row r="325">
      <c r="A325" s="12" t="str">
        <f t="shared" si="2"/>
        <v/>
      </c>
      <c r="B325" s="13"/>
      <c r="C325" s="14"/>
      <c r="D325" s="15"/>
      <c r="E325" s="15"/>
      <c r="F325" s="15"/>
      <c r="G325" s="16"/>
      <c r="H325" s="14"/>
      <c r="I325" s="14"/>
      <c r="J325" s="16"/>
      <c r="K325" s="16"/>
      <c r="L325" s="17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f t="shared" si="3"/>
        <v>0</v>
      </c>
      <c r="BD325" s="18">
        <f t="shared" si="4"/>
        <v>0</v>
      </c>
      <c r="BE325" s="18">
        <f t="shared" si="5"/>
        <v>0</v>
      </c>
      <c r="BF325" s="18">
        <f t="shared" si="6"/>
        <v>0</v>
      </c>
      <c r="BG325" s="15"/>
      <c r="BH325" s="15"/>
      <c r="BI325" s="15"/>
      <c r="BJ325" s="19" t="str">
        <f t="shared" ref="BJ325:BK325" si="329">H325</f>
        <v/>
      </c>
      <c r="BK325" s="19" t="str">
        <f t="shared" si="329"/>
        <v/>
      </c>
      <c r="BL325" s="20" t="str">
        <f t="shared" si="8"/>
        <v/>
      </c>
    </row>
    <row r="326">
      <c r="A326" s="21" t="str">
        <f t="shared" si="2"/>
        <v/>
      </c>
      <c r="B326" s="22"/>
      <c r="C326" s="23"/>
      <c r="D326" s="24"/>
      <c r="E326" s="24"/>
      <c r="F326" s="24"/>
      <c r="G326" s="25"/>
      <c r="H326" s="23"/>
      <c r="I326" s="23"/>
      <c r="J326" s="25"/>
      <c r="K326" s="25"/>
      <c r="L326" s="26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>
        <f t="shared" si="3"/>
        <v>0</v>
      </c>
      <c r="BD326" s="27">
        <f t="shared" si="4"/>
        <v>0</v>
      </c>
      <c r="BE326" s="27">
        <f t="shared" si="5"/>
        <v>0</v>
      </c>
      <c r="BF326" s="27">
        <f t="shared" si="6"/>
        <v>0</v>
      </c>
      <c r="BG326" s="24"/>
      <c r="BH326" s="24"/>
      <c r="BI326" s="24"/>
      <c r="BJ326" s="28" t="str">
        <f t="shared" ref="BJ326:BK326" si="330">H326</f>
        <v/>
      </c>
      <c r="BK326" s="28" t="str">
        <f t="shared" si="330"/>
        <v/>
      </c>
      <c r="BL326" s="29" t="str">
        <f t="shared" si="8"/>
        <v/>
      </c>
    </row>
    <row r="327">
      <c r="A327" s="12" t="str">
        <f t="shared" si="2"/>
        <v/>
      </c>
      <c r="B327" s="13"/>
      <c r="C327" s="14"/>
      <c r="D327" s="15"/>
      <c r="E327" s="15"/>
      <c r="F327" s="15"/>
      <c r="G327" s="16"/>
      <c r="H327" s="14"/>
      <c r="I327" s="14"/>
      <c r="J327" s="16"/>
      <c r="K327" s="16"/>
      <c r="L327" s="17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>
        <f t="shared" si="3"/>
        <v>0</v>
      </c>
      <c r="BD327" s="18">
        <f t="shared" si="4"/>
        <v>0</v>
      </c>
      <c r="BE327" s="18">
        <f t="shared" si="5"/>
        <v>0</v>
      </c>
      <c r="BF327" s="18">
        <f t="shared" si="6"/>
        <v>0</v>
      </c>
      <c r="BG327" s="15"/>
      <c r="BH327" s="15"/>
      <c r="BI327" s="15"/>
      <c r="BJ327" s="19" t="str">
        <f t="shared" ref="BJ327:BK327" si="331">H327</f>
        <v/>
      </c>
      <c r="BK327" s="19" t="str">
        <f t="shared" si="331"/>
        <v/>
      </c>
      <c r="BL327" s="20" t="str">
        <f t="shared" si="8"/>
        <v/>
      </c>
    </row>
    <row r="328">
      <c r="A328" s="21" t="str">
        <f t="shared" si="2"/>
        <v/>
      </c>
      <c r="B328" s="22"/>
      <c r="C328" s="23"/>
      <c r="D328" s="24"/>
      <c r="E328" s="24"/>
      <c r="F328" s="24"/>
      <c r="G328" s="25"/>
      <c r="H328" s="23"/>
      <c r="I328" s="23"/>
      <c r="J328" s="25"/>
      <c r="K328" s="25"/>
      <c r="L328" s="26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>
        <f t="shared" si="3"/>
        <v>0</v>
      </c>
      <c r="BD328" s="27">
        <f t="shared" si="4"/>
        <v>0</v>
      </c>
      <c r="BE328" s="27">
        <f t="shared" si="5"/>
        <v>0</v>
      </c>
      <c r="BF328" s="27">
        <f t="shared" si="6"/>
        <v>0</v>
      </c>
      <c r="BG328" s="24"/>
      <c r="BH328" s="24"/>
      <c r="BI328" s="24"/>
      <c r="BJ328" s="28" t="str">
        <f t="shared" ref="BJ328:BK328" si="332">H328</f>
        <v/>
      </c>
      <c r="BK328" s="28" t="str">
        <f t="shared" si="332"/>
        <v/>
      </c>
      <c r="BL328" s="29" t="str">
        <f t="shared" si="8"/>
        <v/>
      </c>
    </row>
    <row r="329">
      <c r="A329" s="12" t="str">
        <f t="shared" si="2"/>
        <v/>
      </c>
      <c r="B329" s="13"/>
      <c r="C329" s="14"/>
      <c r="D329" s="15"/>
      <c r="E329" s="15"/>
      <c r="F329" s="15"/>
      <c r="G329" s="16"/>
      <c r="H329" s="14"/>
      <c r="I329" s="14"/>
      <c r="J329" s="16"/>
      <c r="K329" s="16"/>
      <c r="L329" s="17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>
        <f t="shared" si="3"/>
        <v>0</v>
      </c>
      <c r="BD329" s="18">
        <f t="shared" si="4"/>
        <v>0</v>
      </c>
      <c r="BE329" s="18">
        <f t="shared" si="5"/>
        <v>0</v>
      </c>
      <c r="BF329" s="18">
        <f t="shared" si="6"/>
        <v>0</v>
      </c>
      <c r="BG329" s="15"/>
      <c r="BH329" s="15"/>
      <c r="BI329" s="15"/>
      <c r="BJ329" s="19" t="str">
        <f t="shared" ref="BJ329:BK329" si="333">H329</f>
        <v/>
      </c>
      <c r="BK329" s="19" t="str">
        <f t="shared" si="333"/>
        <v/>
      </c>
      <c r="BL329" s="20" t="str">
        <f t="shared" si="8"/>
        <v/>
      </c>
    </row>
    <row r="330">
      <c r="A330" s="21" t="str">
        <f t="shared" si="2"/>
        <v/>
      </c>
      <c r="B330" s="22"/>
      <c r="C330" s="23"/>
      <c r="D330" s="24"/>
      <c r="E330" s="24"/>
      <c r="F330" s="24"/>
      <c r="G330" s="25"/>
      <c r="H330" s="23"/>
      <c r="I330" s="23"/>
      <c r="J330" s="25"/>
      <c r="K330" s="25"/>
      <c r="L330" s="26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>
        <f t="shared" si="3"/>
        <v>0</v>
      </c>
      <c r="BD330" s="27">
        <f t="shared" si="4"/>
        <v>0</v>
      </c>
      <c r="BE330" s="27">
        <f t="shared" si="5"/>
        <v>0</v>
      </c>
      <c r="BF330" s="27">
        <f t="shared" si="6"/>
        <v>0</v>
      </c>
      <c r="BG330" s="24"/>
      <c r="BH330" s="24"/>
      <c r="BI330" s="24"/>
      <c r="BJ330" s="28" t="str">
        <f t="shared" ref="BJ330:BK330" si="334">H330</f>
        <v/>
      </c>
      <c r="BK330" s="28" t="str">
        <f t="shared" si="334"/>
        <v/>
      </c>
      <c r="BL330" s="29" t="str">
        <f t="shared" si="8"/>
        <v/>
      </c>
    </row>
    <row r="331">
      <c r="A331" s="12" t="str">
        <f t="shared" si="2"/>
        <v/>
      </c>
      <c r="B331" s="13"/>
      <c r="C331" s="14"/>
      <c r="D331" s="15"/>
      <c r="E331" s="15"/>
      <c r="F331" s="15"/>
      <c r="G331" s="16"/>
      <c r="H331" s="14"/>
      <c r="I331" s="14"/>
      <c r="J331" s="16"/>
      <c r="K331" s="16"/>
      <c r="L331" s="17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>
        <f t="shared" si="3"/>
        <v>0</v>
      </c>
      <c r="BD331" s="18">
        <f t="shared" si="4"/>
        <v>0</v>
      </c>
      <c r="BE331" s="18">
        <f t="shared" si="5"/>
        <v>0</v>
      </c>
      <c r="BF331" s="18">
        <f t="shared" si="6"/>
        <v>0</v>
      </c>
      <c r="BG331" s="15"/>
      <c r="BH331" s="15"/>
      <c r="BI331" s="15"/>
      <c r="BJ331" s="19" t="str">
        <f t="shared" ref="BJ331:BK331" si="335">H331</f>
        <v/>
      </c>
      <c r="BK331" s="19" t="str">
        <f t="shared" si="335"/>
        <v/>
      </c>
      <c r="BL331" s="20" t="str">
        <f t="shared" si="8"/>
        <v/>
      </c>
    </row>
    <row r="332">
      <c r="A332" s="21" t="str">
        <f t="shared" si="2"/>
        <v/>
      </c>
      <c r="B332" s="22"/>
      <c r="C332" s="23"/>
      <c r="D332" s="24"/>
      <c r="E332" s="24"/>
      <c r="F332" s="24"/>
      <c r="G332" s="25"/>
      <c r="H332" s="23"/>
      <c r="I332" s="23"/>
      <c r="J332" s="25"/>
      <c r="K332" s="25"/>
      <c r="L332" s="26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>
        <f t="shared" si="3"/>
        <v>0</v>
      </c>
      <c r="BD332" s="27">
        <f t="shared" si="4"/>
        <v>0</v>
      </c>
      <c r="BE332" s="27">
        <f t="shared" si="5"/>
        <v>0</v>
      </c>
      <c r="BF332" s="27">
        <f t="shared" si="6"/>
        <v>0</v>
      </c>
      <c r="BG332" s="24"/>
      <c r="BH332" s="24"/>
      <c r="BI332" s="24"/>
      <c r="BJ332" s="28" t="str">
        <f t="shared" ref="BJ332:BK332" si="336">H332</f>
        <v/>
      </c>
      <c r="BK332" s="28" t="str">
        <f t="shared" si="336"/>
        <v/>
      </c>
      <c r="BL332" s="29" t="str">
        <f t="shared" si="8"/>
        <v/>
      </c>
    </row>
    <row r="333">
      <c r="A333" s="12" t="str">
        <f t="shared" si="2"/>
        <v/>
      </c>
      <c r="B333" s="13"/>
      <c r="C333" s="14"/>
      <c r="D333" s="15"/>
      <c r="E333" s="15"/>
      <c r="F333" s="15"/>
      <c r="G333" s="16"/>
      <c r="H333" s="14"/>
      <c r="I333" s="14"/>
      <c r="J333" s="16"/>
      <c r="K333" s="16"/>
      <c r="L333" s="17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>
        <f t="shared" si="3"/>
        <v>0</v>
      </c>
      <c r="BD333" s="18">
        <f t="shared" si="4"/>
        <v>0</v>
      </c>
      <c r="BE333" s="18">
        <f t="shared" si="5"/>
        <v>0</v>
      </c>
      <c r="BF333" s="18">
        <f t="shared" si="6"/>
        <v>0</v>
      </c>
      <c r="BG333" s="15"/>
      <c r="BH333" s="15"/>
      <c r="BI333" s="15"/>
      <c r="BJ333" s="19" t="str">
        <f t="shared" ref="BJ333:BK333" si="337">H333</f>
        <v/>
      </c>
      <c r="BK333" s="19" t="str">
        <f t="shared" si="337"/>
        <v/>
      </c>
      <c r="BL333" s="20" t="str">
        <f t="shared" si="8"/>
        <v/>
      </c>
    </row>
    <row r="334">
      <c r="A334" s="21" t="str">
        <f t="shared" si="2"/>
        <v/>
      </c>
      <c r="B334" s="22"/>
      <c r="C334" s="23"/>
      <c r="D334" s="24"/>
      <c r="E334" s="24"/>
      <c r="F334" s="24"/>
      <c r="G334" s="25"/>
      <c r="H334" s="23"/>
      <c r="I334" s="23"/>
      <c r="J334" s="25"/>
      <c r="K334" s="25"/>
      <c r="L334" s="26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>
        <f t="shared" si="3"/>
        <v>0</v>
      </c>
      <c r="BD334" s="27">
        <f t="shared" si="4"/>
        <v>0</v>
      </c>
      <c r="BE334" s="27">
        <f t="shared" si="5"/>
        <v>0</v>
      </c>
      <c r="BF334" s="27">
        <f t="shared" si="6"/>
        <v>0</v>
      </c>
      <c r="BG334" s="24"/>
      <c r="BH334" s="24"/>
      <c r="BI334" s="24"/>
      <c r="BJ334" s="28" t="str">
        <f t="shared" ref="BJ334:BK334" si="338">H334</f>
        <v/>
      </c>
      <c r="BK334" s="28" t="str">
        <f t="shared" si="338"/>
        <v/>
      </c>
      <c r="BL334" s="29" t="str">
        <f t="shared" si="8"/>
        <v/>
      </c>
    </row>
    <row r="335">
      <c r="A335" s="12" t="str">
        <f t="shared" si="2"/>
        <v/>
      </c>
      <c r="B335" s="13"/>
      <c r="C335" s="14"/>
      <c r="D335" s="15"/>
      <c r="E335" s="15"/>
      <c r="F335" s="15"/>
      <c r="G335" s="16"/>
      <c r="H335" s="14"/>
      <c r="I335" s="14"/>
      <c r="J335" s="16"/>
      <c r="K335" s="16"/>
      <c r="L335" s="17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>
        <f t="shared" si="3"/>
        <v>0</v>
      </c>
      <c r="BD335" s="18">
        <f t="shared" si="4"/>
        <v>0</v>
      </c>
      <c r="BE335" s="18">
        <f t="shared" si="5"/>
        <v>0</v>
      </c>
      <c r="BF335" s="18">
        <f t="shared" si="6"/>
        <v>0</v>
      </c>
      <c r="BG335" s="15"/>
      <c r="BH335" s="15"/>
      <c r="BI335" s="15"/>
      <c r="BJ335" s="19" t="str">
        <f t="shared" ref="BJ335:BK335" si="339">H335</f>
        <v/>
      </c>
      <c r="BK335" s="19" t="str">
        <f t="shared" si="339"/>
        <v/>
      </c>
      <c r="BL335" s="20" t="str">
        <f t="shared" si="8"/>
        <v/>
      </c>
    </row>
    <row r="336">
      <c r="A336" s="21" t="str">
        <f t="shared" si="2"/>
        <v/>
      </c>
      <c r="B336" s="22"/>
      <c r="C336" s="23"/>
      <c r="D336" s="24"/>
      <c r="E336" s="24"/>
      <c r="F336" s="24"/>
      <c r="G336" s="25"/>
      <c r="H336" s="23"/>
      <c r="I336" s="23"/>
      <c r="J336" s="25"/>
      <c r="K336" s="25"/>
      <c r="L336" s="26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>
        <f t="shared" si="3"/>
        <v>0</v>
      </c>
      <c r="BD336" s="27">
        <f t="shared" si="4"/>
        <v>0</v>
      </c>
      <c r="BE336" s="27">
        <f t="shared" si="5"/>
        <v>0</v>
      </c>
      <c r="BF336" s="27">
        <f t="shared" si="6"/>
        <v>0</v>
      </c>
      <c r="BG336" s="24"/>
      <c r="BH336" s="24"/>
      <c r="BI336" s="24"/>
      <c r="BJ336" s="28" t="str">
        <f t="shared" ref="BJ336:BK336" si="340">H336</f>
        <v/>
      </c>
      <c r="BK336" s="28" t="str">
        <f t="shared" si="340"/>
        <v/>
      </c>
      <c r="BL336" s="29" t="str">
        <f t="shared" si="8"/>
        <v/>
      </c>
    </row>
    <row r="337">
      <c r="A337" s="12" t="str">
        <f t="shared" si="2"/>
        <v/>
      </c>
      <c r="B337" s="13"/>
      <c r="C337" s="14"/>
      <c r="D337" s="15"/>
      <c r="E337" s="15"/>
      <c r="F337" s="15"/>
      <c r="G337" s="16"/>
      <c r="H337" s="14"/>
      <c r="I337" s="14"/>
      <c r="J337" s="16"/>
      <c r="K337" s="16"/>
      <c r="L337" s="17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>
        <f t="shared" si="3"/>
        <v>0</v>
      </c>
      <c r="BD337" s="18">
        <f t="shared" si="4"/>
        <v>0</v>
      </c>
      <c r="BE337" s="18">
        <f t="shared" si="5"/>
        <v>0</v>
      </c>
      <c r="BF337" s="18">
        <f t="shared" si="6"/>
        <v>0</v>
      </c>
      <c r="BG337" s="15"/>
      <c r="BH337" s="15"/>
      <c r="BI337" s="15"/>
      <c r="BJ337" s="19" t="str">
        <f t="shared" ref="BJ337:BK337" si="341">H337</f>
        <v/>
      </c>
      <c r="BK337" s="19" t="str">
        <f t="shared" si="341"/>
        <v/>
      </c>
      <c r="BL337" s="20" t="str">
        <f t="shared" si="8"/>
        <v/>
      </c>
    </row>
    <row r="338">
      <c r="A338" s="21" t="str">
        <f t="shared" si="2"/>
        <v/>
      </c>
      <c r="B338" s="22"/>
      <c r="C338" s="23"/>
      <c r="D338" s="24"/>
      <c r="E338" s="24"/>
      <c r="F338" s="24"/>
      <c r="G338" s="25"/>
      <c r="H338" s="23"/>
      <c r="I338" s="23"/>
      <c r="J338" s="25"/>
      <c r="K338" s="25"/>
      <c r="L338" s="26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>
        <f t="shared" si="3"/>
        <v>0</v>
      </c>
      <c r="BD338" s="27">
        <f t="shared" si="4"/>
        <v>0</v>
      </c>
      <c r="BE338" s="27">
        <f t="shared" si="5"/>
        <v>0</v>
      </c>
      <c r="BF338" s="27">
        <f t="shared" si="6"/>
        <v>0</v>
      </c>
      <c r="BG338" s="24"/>
      <c r="BH338" s="24"/>
      <c r="BI338" s="24"/>
      <c r="BJ338" s="28" t="str">
        <f t="shared" ref="BJ338:BK338" si="342">H338</f>
        <v/>
      </c>
      <c r="BK338" s="28" t="str">
        <f t="shared" si="342"/>
        <v/>
      </c>
      <c r="BL338" s="29" t="str">
        <f t="shared" si="8"/>
        <v/>
      </c>
    </row>
    <row r="339">
      <c r="A339" s="12" t="str">
        <f t="shared" si="2"/>
        <v/>
      </c>
      <c r="B339" s="13"/>
      <c r="C339" s="14"/>
      <c r="D339" s="15"/>
      <c r="E339" s="15"/>
      <c r="F339" s="15"/>
      <c r="G339" s="16"/>
      <c r="H339" s="14"/>
      <c r="I339" s="14"/>
      <c r="J339" s="16"/>
      <c r="K339" s="16"/>
      <c r="L339" s="17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>
        <f t="shared" si="3"/>
        <v>0</v>
      </c>
      <c r="BD339" s="18">
        <f t="shared" si="4"/>
        <v>0</v>
      </c>
      <c r="BE339" s="18">
        <f t="shared" si="5"/>
        <v>0</v>
      </c>
      <c r="BF339" s="18">
        <f t="shared" si="6"/>
        <v>0</v>
      </c>
      <c r="BG339" s="15"/>
      <c r="BH339" s="15"/>
      <c r="BI339" s="15"/>
      <c r="BJ339" s="19" t="str">
        <f t="shared" ref="BJ339:BK339" si="343">H339</f>
        <v/>
      </c>
      <c r="BK339" s="19" t="str">
        <f t="shared" si="343"/>
        <v/>
      </c>
      <c r="BL339" s="20" t="str">
        <f t="shared" si="8"/>
        <v/>
      </c>
    </row>
    <row r="340">
      <c r="A340" s="21" t="str">
        <f t="shared" si="2"/>
        <v/>
      </c>
      <c r="B340" s="22"/>
      <c r="C340" s="23"/>
      <c r="D340" s="22"/>
      <c r="E340" s="22"/>
      <c r="F340" s="22"/>
      <c r="G340" s="25"/>
      <c r="H340" s="23"/>
      <c r="I340" s="23"/>
      <c r="J340" s="25"/>
      <c r="K340" s="25"/>
      <c r="L340" s="26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>
        <f t="shared" si="3"/>
        <v>0</v>
      </c>
      <c r="BD340" s="27">
        <f t="shared" si="4"/>
        <v>0</v>
      </c>
      <c r="BE340" s="27">
        <f t="shared" si="5"/>
        <v>0</v>
      </c>
      <c r="BF340" s="27">
        <f t="shared" si="6"/>
        <v>0</v>
      </c>
      <c r="BG340" s="24"/>
      <c r="BH340" s="24"/>
      <c r="BI340" s="24"/>
      <c r="BJ340" s="28" t="str">
        <f t="shared" ref="BJ340:BK340" si="344">H340</f>
        <v/>
      </c>
      <c r="BK340" s="28" t="str">
        <f t="shared" si="344"/>
        <v/>
      </c>
      <c r="BL340" s="29" t="str">
        <f t="shared" si="8"/>
        <v/>
      </c>
    </row>
    <row r="341">
      <c r="A341" s="12" t="str">
        <f t="shared" si="2"/>
        <v/>
      </c>
      <c r="B341" s="13"/>
      <c r="C341" s="14"/>
      <c r="D341" s="15"/>
      <c r="E341" s="15"/>
      <c r="F341" s="15"/>
      <c r="G341" s="16"/>
      <c r="H341" s="14"/>
      <c r="I341" s="14"/>
      <c r="J341" s="16"/>
      <c r="K341" s="16"/>
      <c r="L341" s="17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>
        <f t="shared" si="3"/>
        <v>0</v>
      </c>
      <c r="BD341" s="18">
        <f t="shared" si="4"/>
        <v>0</v>
      </c>
      <c r="BE341" s="18">
        <f t="shared" si="5"/>
        <v>0</v>
      </c>
      <c r="BF341" s="18">
        <f t="shared" si="6"/>
        <v>0</v>
      </c>
      <c r="BG341" s="15"/>
      <c r="BH341" s="15"/>
      <c r="BI341" s="15"/>
      <c r="BJ341" s="19" t="str">
        <f t="shared" ref="BJ341:BK341" si="345">H341</f>
        <v/>
      </c>
      <c r="BK341" s="19" t="str">
        <f t="shared" si="345"/>
        <v/>
      </c>
      <c r="BL341" s="20" t="str">
        <f t="shared" si="8"/>
        <v/>
      </c>
    </row>
    <row r="342">
      <c r="A342" s="21" t="str">
        <f t="shared" si="2"/>
        <v/>
      </c>
      <c r="B342" s="22"/>
      <c r="C342" s="23"/>
      <c r="D342" s="24"/>
      <c r="E342" s="24"/>
      <c r="F342" s="24"/>
      <c r="G342" s="25"/>
      <c r="H342" s="23"/>
      <c r="I342" s="23"/>
      <c r="J342" s="25"/>
      <c r="K342" s="25"/>
      <c r="L342" s="26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>
        <f t="shared" si="3"/>
        <v>0</v>
      </c>
      <c r="BD342" s="27">
        <f t="shared" si="4"/>
        <v>0</v>
      </c>
      <c r="BE342" s="27">
        <f t="shared" si="5"/>
        <v>0</v>
      </c>
      <c r="BF342" s="27">
        <f t="shared" si="6"/>
        <v>0</v>
      </c>
      <c r="BG342" s="24"/>
      <c r="BH342" s="24"/>
      <c r="BI342" s="24"/>
      <c r="BJ342" s="28" t="str">
        <f t="shared" ref="BJ342:BK342" si="346">H342</f>
        <v/>
      </c>
      <c r="BK342" s="28" t="str">
        <f t="shared" si="346"/>
        <v/>
      </c>
      <c r="BL342" s="29" t="str">
        <f t="shared" si="8"/>
        <v/>
      </c>
    </row>
    <row r="343">
      <c r="A343" s="12" t="str">
        <f t="shared" si="2"/>
        <v/>
      </c>
      <c r="B343" s="13"/>
      <c r="C343" s="14"/>
      <c r="D343" s="15"/>
      <c r="E343" s="15"/>
      <c r="F343" s="15"/>
      <c r="G343" s="16"/>
      <c r="H343" s="14"/>
      <c r="I343" s="14"/>
      <c r="J343" s="16"/>
      <c r="K343" s="16"/>
      <c r="L343" s="17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>
        <f t="shared" si="3"/>
        <v>0</v>
      </c>
      <c r="BD343" s="18">
        <f t="shared" si="4"/>
        <v>0</v>
      </c>
      <c r="BE343" s="18">
        <f t="shared" si="5"/>
        <v>0</v>
      </c>
      <c r="BF343" s="18">
        <f t="shared" si="6"/>
        <v>0</v>
      </c>
      <c r="BG343" s="15"/>
      <c r="BH343" s="15"/>
      <c r="BI343" s="15"/>
      <c r="BJ343" s="19" t="str">
        <f t="shared" ref="BJ343:BK343" si="347">H343</f>
        <v/>
      </c>
      <c r="BK343" s="19" t="str">
        <f t="shared" si="347"/>
        <v/>
      </c>
      <c r="BL343" s="20" t="str">
        <f t="shared" si="8"/>
        <v/>
      </c>
    </row>
    <row r="344">
      <c r="A344" s="21" t="str">
        <f t="shared" si="2"/>
        <v/>
      </c>
      <c r="B344" s="22"/>
      <c r="C344" s="23"/>
      <c r="D344" s="24"/>
      <c r="E344" s="24"/>
      <c r="F344" s="24"/>
      <c r="G344" s="25"/>
      <c r="H344" s="23"/>
      <c r="I344" s="23"/>
      <c r="J344" s="25"/>
      <c r="K344" s="25"/>
      <c r="L344" s="26"/>
      <c r="M344" s="24"/>
      <c r="N344" s="24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7"/>
      <c r="BC344" s="27">
        <f t="shared" si="3"/>
        <v>0</v>
      </c>
      <c r="BD344" s="27">
        <f t="shared" si="4"/>
        <v>0</v>
      </c>
      <c r="BE344" s="27">
        <f t="shared" si="5"/>
        <v>0</v>
      </c>
      <c r="BF344" s="27">
        <f t="shared" si="6"/>
        <v>0</v>
      </c>
      <c r="BG344" s="24"/>
      <c r="BH344" s="24"/>
      <c r="BI344" s="24"/>
      <c r="BJ344" s="28" t="str">
        <f t="shared" ref="BJ344:BK344" si="348">H344</f>
        <v/>
      </c>
      <c r="BK344" s="28" t="str">
        <f t="shared" si="348"/>
        <v/>
      </c>
      <c r="BL344" s="29" t="str">
        <f t="shared" si="8"/>
        <v/>
      </c>
    </row>
    <row r="345">
      <c r="A345" s="12" t="str">
        <f t="shared" si="2"/>
        <v/>
      </c>
      <c r="B345" s="13"/>
      <c r="C345" s="14"/>
      <c r="D345" s="15"/>
      <c r="E345" s="15"/>
      <c r="F345" s="15"/>
      <c r="G345" s="16"/>
      <c r="H345" s="14"/>
      <c r="I345" s="14"/>
      <c r="J345" s="16"/>
      <c r="K345" s="16"/>
      <c r="L345" s="17"/>
      <c r="M345" s="15"/>
      <c r="N345" s="15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8"/>
      <c r="BC345" s="18">
        <f t="shared" si="3"/>
        <v>0</v>
      </c>
      <c r="BD345" s="18">
        <f t="shared" si="4"/>
        <v>0</v>
      </c>
      <c r="BE345" s="18">
        <f t="shared" si="5"/>
        <v>0</v>
      </c>
      <c r="BF345" s="18">
        <f t="shared" si="6"/>
        <v>0</v>
      </c>
      <c r="BG345" s="15"/>
      <c r="BH345" s="15"/>
      <c r="BI345" s="15"/>
      <c r="BJ345" s="19" t="str">
        <f t="shared" ref="BJ345:BK345" si="349">H345</f>
        <v/>
      </c>
      <c r="BK345" s="19" t="str">
        <f t="shared" si="349"/>
        <v/>
      </c>
      <c r="BL345" s="20" t="str">
        <f t="shared" si="8"/>
        <v/>
      </c>
    </row>
    <row r="346">
      <c r="A346" s="21" t="str">
        <f t="shared" si="2"/>
        <v/>
      </c>
      <c r="B346" s="22"/>
      <c r="C346" s="23"/>
      <c r="D346" s="24"/>
      <c r="E346" s="24"/>
      <c r="F346" s="24"/>
      <c r="G346" s="25"/>
      <c r="H346" s="23"/>
      <c r="I346" s="23"/>
      <c r="J346" s="25"/>
      <c r="K346" s="25"/>
      <c r="L346" s="26"/>
      <c r="M346" s="24"/>
      <c r="N346" s="24"/>
      <c r="O346" s="24"/>
      <c r="P346" s="24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7"/>
      <c r="BC346" s="27">
        <f t="shared" si="3"/>
        <v>0</v>
      </c>
      <c r="BD346" s="27">
        <f t="shared" si="4"/>
        <v>0</v>
      </c>
      <c r="BE346" s="27">
        <f t="shared" si="5"/>
        <v>0</v>
      </c>
      <c r="BF346" s="27">
        <f t="shared" si="6"/>
        <v>0</v>
      </c>
      <c r="BG346" s="24"/>
      <c r="BH346" s="24"/>
      <c r="BI346" s="24"/>
      <c r="BJ346" s="28" t="str">
        <f t="shared" ref="BJ346:BK346" si="350">H346</f>
        <v/>
      </c>
      <c r="BK346" s="28" t="str">
        <f t="shared" si="350"/>
        <v/>
      </c>
      <c r="BL346" s="29" t="str">
        <f t="shared" si="8"/>
        <v/>
      </c>
    </row>
    <row r="347">
      <c r="A347" s="12" t="str">
        <f t="shared" si="2"/>
        <v/>
      </c>
      <c r="B347" s="13"/>
      <c r="C347" s="14"/>
      <c r="D347" s="15"/>
      <c r="E347" s="15"/>
      <c r="F347" s="15"/>
      <c r="G347" s="16"/>
      <c r="H347" s="14"/>
      <c r="I347" s="14"/>
      <c r="J347" s="16"/>
      <c r="K347" s="16"/>
      <c r="L347" s="17"/>
      <c r="M347" s="18"/>
      <c r="N347" s="15"/>
      <c r="O347" s="15"/>
      <c r="P347" s="15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8"/>
      <c r="BC347" s="18">
        <f t="shared" si="3"/>
        <v>0</v>
      </c>
      <c r="BD347" s="18">
        <f t="shared" si="4"/>
        <v>0</v>
      </c>
      <c r="BE347" s="18">
        <f t="shared" si="5"/>
        <v>0</v>
      </c>
      <c r="BF347" s="18">
        <f t="shared" si="6"/>
        <v>0</v>
      </c>
      <c r="BG347" s="15"/>
      <c r="BH347" s="15"/>
      <c r="BI347" s="15"/>
      <c r="BJ347" s="19" t="str">
        <f t="shared" ref="BJ347:BK347" si="351">H347</f>
        <v/>
      </c>
      <c r="BK347" s="19" t="str">
        <f t="shared" si="351"/>
        <v/>
      </c>
      <c r="BL347" s="20" t="str">
        <f t="shared" si="8"/>
        <v/>
      </c>
    </row>
    <row r="348">
      <c r="A348" s="21" t="str">
        <f t="shared" si="2"/>
        <v/>
      </c>
      <c r="B348" s="22"/>
      <c r="C348" s="23"/>
      <c r="D348" s="24"/>
      <c r="E348" s="24"/>
      <c r="F348" s="24"/>
      <c r="G348" s="25"/>
      <c r="H348" s="23"/>
      <c r="I348" s="23"/>
      <c r="J348" s="25"/>
      <c r="K348" s="25"/>
      <c r="L348" s="26"/>
      <c r="M348" s="24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7"/>
      <c r="BC348" s="27">
        <f t="shared" si="3"/>
        <v>0</v>
      </c>
      <c r="BD348" s="27">
        <f t="shared" si="4"/>
        <v>0</v>
      </c>
      <c r="BE348" s="27">
        <f t="shared" si="5"/>
        <v>0</v>
      </c>
      <c r="BF348" s="27">
        <f t="shared" si="6"/>
        <v>0</v>
      </c>
      <c r="BG348" s="24"/>
      <c r="BH348" s="24"/>
      <c r="BI348" s="24"/>
      <c r="BJ348" s="28" t="str">
        <f t="shared" ref="BJ348:BK348" si="352">H348</f>
        <v/>
      </c>
      <c r="BK348" s="28" t="str">
        <f t="shared" si="352"/>
        <v/>
      </c>
      <c r="BL348" s="29" t="str">
        <f t="shared" si="8"/>
        <v/>
      </c>
    </row>
    <row r="349">
      <c r="A349" s="12" t="str">
        <f t="shared" si="2"/>
        <v/>
      </c>
      <c r="B349" s="13"/>
      <c r="C349" s="14"/>
      <c r="D349" s="15"/>
      <c r="E349" s="15"/>
      <c r="F349" s="15"/>
      <c r="G349" s="16"/>
      <c r="H349" s="14"/>
      <c r="I349" s="14"/>
      <c r="J349" s="16"/>
      <c r="K349" s="16"/>
      <c r="L349" s="17"/>
      <c r="M349" s="15"/>
      <c r="N349" s="15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8"/>
      <c r="BC349" s="18">
        <f t="shared" si="3"/>
        <v>0</v>
      </c>
      <c r="BD349" s="18">
        <f t="shared" si="4"/>
        <v>0</v>
      </c>
      <c r="BE349" s="18">
        <f t="shared" si="5"/>
        <v>0</v>
      </c>
      <c r="BF349" s="18">
        <f t="shared" si="6"/>
        <v>0</v>
      </c>
      <c r="BG349" s="15"/>
      <c r="BH349" s="15"/>
      <c r="BI349" s="15"/>
      <c r="BJ349" s="19" t="str">
        <f t="shared" ref="BJ349:BK349" si="353">H349</f>
        <v/>
      </c>
      <c r="BK349" s="19" t="str">
        <f t="shared" si="353"/>
        <v/>
      </c>
      <c r="BL349" s="20" t="str">
        <f t="shared" si="8"/>
        <v/>
      </c>
    </row>
    <row r="350">
      <c r="A350" s="21" t="str">
        <f t="shared" si="2"/>
        <v/>
      </c>
      <c r="B350" s="22"/>
      <c r="C350" s="23"/>
      <c r="D350" s="24"/>
      <c r="E350" s="24"/>
      <c r="F350" s="24"/>
      <c r="G350" s="25"/>
      <c r="H350" s="23"/>
      <c r="I350" s="23"/>
      <c r="J350" s="25"/>
      <c r="K350" s="25"/>
      <c r="L350" s="26"/>
      <c r="M350" s="24"/>
      <c r="N350" s="24"/>
      <c r="O350" s="24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7"/>
      <c r="BC350" s="27">
        <f t="shared" si="3"/>
        <v>0</v>
      </c>
      <c r="BD350" s="27">
        <f t="shared" si="4"/>
        <v>0</v>
      </c>
      <c r="BE350" s="27">
        <f t="shared" si="5"/>
        <v>0</v>
      </c>
      <c r="BF350" s="27">
        <f t="shared" si="6"/>
        <v>0</v>
      </c>
      <c r="BG350" s="24"/>
      <c r="BH350" s="24"/>
      <c r="BI350" s="24"/>
      <c r="BJ350" s="28" t="str">
        <f t="shared" ref="BJ350:BK350" si="354">H350</f>
        <v/>
      </c>
      <c r="BK350" s="28" t="str">
        <f t="shared" si="354"/>
        <v/>
      </c>
      <c r="BL350" s="29" t="str">
        <f t="shared" si="8"/>
        <v/>
      </c>
    </row>
    <row r="351">
      <c r="A351" s="12" t="str">
        <f t="shared" si="2"/>
        <v/>
      </c>
      <c r="B351" s="13"/>
      <c r="C351" s="14"/>
      <c r="D351" s="15"/>
      <c r="E351" s="15"/>
      <c r="F351" s="15"/>
      <c r="G351" s="16"/>
      <c r="H351" s="14"/>
      <c r="I351" s="14"/>
      <c r="J351" s="16"/>
      <c r="K351" s="16"/>
      <c r="L351" s="17"/>
      <c r="M351" s="15"/>
      <c r="N351" s="15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8"/>
      <c r="BC351" s="18">
        <f t="shared" si="3"/>
        <v>0</v>
      </c>
      <c r="BD351" s="18">
        <f t="shared" si="4"/>
        <v>0</v>
      </c>
      <c r="BE351" s="18">
        <f t="shared" si="5"/>
        <v>0</v>
      </c>
      <c r="BF351" s="18">
        <f t="shared" si="6"/>
        <v>0</v>
      </c>
      <c r="BG351" s="15"/>
      <c r="BH351" s="15"/>
      <c r="BI351" s="15"/>
      <c r="BJ351" s="19" t="str">
        <f t="shared" ref="BJ351:BK351" si="355">H351</f>
        <v/>
      </c>
      <c r="BK351" s="19" t="str">
        <f t="shared" si="355"/>
        <v/>
      </c>
      <c r="BL351" s="20" t="str">
        <f t="shared" si="8"/>
        <v/>
      </c>
    </row>
    <row r="352">
      <c r="A352" s="21" t="str">
        <f t="shared" si="2"/>
        <v/>
      </c>
      <c r="B352" s="22"/>
      <c r="C352" s="23"/>
      <c r="D352" s="24"/>
      <c r="E352" s="24"/>
      <c r="F352" s="24"/>
      <c r="G352" s="25"/>
      <c r="H352" s="23"/>
      <c r="I352" s="23"/>
      <c r="J352" s="25"/>
      <c r="K352" s="25"/>
      <c r="L352" s="26"/>
      <c r="M352" s="24"/>
      <c r="N352" s="24"/>
      <c r="O352" s="24"/>
      <c r="P352" s="24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7"/>
      <c r="BC352" s="27">
        <f t="shared" si="3"/>
        <v>0</v>
      </c>
      <c r="BD352" s="27">
        <f t="shared" si="4"/>
        <v>0</v>
      </c>
      <c r="BE352" s="27">
        <f t="shared" si="5"/>
        <v>0</v>
      </c>
      <c r="BF352" s="27">
        <f t="shared" si="6"/>
        <v>0</v>
      </c>
      <c r="BG352" s="24"/>
      <c r="BH352" s="24"/>
      <c r="BI352" s="24"/>
      <c r="BJ352" s="28" t="str">
        <f t="shared" ref="BJ352:BK352" si="356">H352</f>
        <v/>
      </c>
      <c r="BK352" s="28" t="str">
        <f t="shared" si="356"/>
        <v/>
      </c>
      <c r="BL352" s="29" t="str">
        <f t="shared" si="8"/>
        <v/>
      </c>
    </row>
    <row r="353">
      <c r="A353" s="12" t="str">
        <f t="shared" si="2"/>
        <v/>
      </c>
      <c r="B353" s="13"/>
      <c r="C353" s="14"/>
      <c r="D353" s="15"/>
      <c r="E353" s="15"/>
      <c r="F353" s="15"/>
      <c r="G353" s="16"/>
      <c r="H353" s="14"/>
      <c r="I353" s="14"/>
      <c r="J353" s="16"/>
      <c r="K353" s="16"/>
      <c r="L353" s="17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>
        <f t="shared" si="3"/>
        <v>0</v>
      </c>
      <c r="BD353" s="18">
        <f t="shared" si="4"/>
        <v>0</v>
      </c>
      <c r="BE353" s="18">
        <f t="shared" si="5"/>
        <v>0</v>
      </c>
      <c r="BF353" s="18">
        <f t="shared" si="6"/>
        <v>0</v>
      </c>
      <c r="BG353" s="15"/>
      <c r="BH353" s="15"/>
      <c r="BI353" s="15"/>
      <c r="BJ353" s="19" t="str">
        <f t="shared" ref="BJ353:BK353" si="357">H353</f>
        <v/>
      </c>
      <c r="BK353" s="19" t="str">
        <f t="shared" si="357"/>
        <v/>
      </c>
      <c r="BL353" s="20" t="str">
        <f t="shared" si="8"/>
        <v/>
      </c>
    </row>
    <row r="354">
      <c r="A354" s="21" t="str">
        <f t="shared" si="2"/>
        <v/>
      </c>
      <c r="B354" s="22"/>
      <c r="C354" s="23"/>
      <c r="D354" s="24"/>
      <c r="E354" s="24"/>
      <c r="F354" s="24"/>
      <c r="G354" s="25"/>
      <c r="H354" s="23"/>
      <c r="I354" s="23"/>
      <c r="J354" s="25"/>
      <c r="K354" s="25"/>
      <c r="L354" s="26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>
        <f t="shared" si="3"/>
        <v>0</v>
      </c>
      <c r="BD354" s="27">
        <f t="shared" si="4"/>
        <v>0</v>
      </c>
      <c r="BE354" s="27">
        <f t="shared" si="5"/>
        <v>0</v>
      </c>
      <c r="BF354" s="27">
        <f t="shared" si="6"/>
        <v>0</v>
      </c>
      <c r="BG354" s="24"/>
      <c r="BH354" s="24"/>
      <c r="BI354" s="24"/>
      <c r="BJ354" s="28" t="str">
        <f t="shared" ref="BJ354:BK354" si="358">H354</f>
        <v/>
      </c>
      <c r="BK354" s="28" t="str">
        <f t="shared" si="358"/>
        <v/>
      </c>
      <c r="BL354" s="29" t="str">
        <f t="shared" si="8"/>
        <v/>
      </c>
    </row>
    <row r="355">
      <c r="A355" s="12" t="str">
        <f t="shared" si="2"/>
        <v/>
      </c>
      <c r="B355" s="13"/>
      <c r="C355" s="14"/>
      <c r="D355" s="15"/>
      <c r="E355" s="15"/>
      <c r="F355" s="15"/>
      <c r="G355" s="16"/>
      <c r="H355" s="14"/>
      <c r="I355" s="14"/>
      <c r="J355" s="16"/>
      <c r="K355" s="16"/>
      <c r="L355" s="17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>
        <f t="shared" si="3"/>
        <v>0</v>
      </c>
      <c r="BD355" s="18">
        <f t="shared" si="4"/>
        <v>0</v>
      </c>
      <c r="BE355" s="18">
        <f t="shared" si="5"/>
        <v>0</v>
      </c>
      <c r="BF355" s="18">
        <f t="shared" si="6"/>
        <v>0</v>
      </c>
      <c r="BG355" s="15"/>
      <c r="BH355" s="15"/>
      <c r="BI355" s="15"/>
      <c r="BJ355" s="19" t="str">
        <f t="shared" ref="BJ355:BK355" si="359">H355</f>
        <v/>
      </c>
      <c r="BK355" s="19" t="str">
        <f t="shared" si="359"/>
        <v/>
      </c>
      <c r="BL355" s="20" t="str">
        <f t="shared" si="8"/>
        <v/>
      </c>
    </row>
    <row r="356">
      <c r="A356" s="21" t="str">
        <f t="shared" si="2"/>
        <v/>
      </c>
      <c r="B356" s="22"/>
      <c r="C356" s="23"/>
      <c r="D356" s="24"/>
      <c r="E356" s="24"/>
      <c r="F356" s="24"/>
      <c r="G356" s="25"/>
      <c r="H356" s="23"/>
      <c r="I356" s="23"/>
      <c r="J356" s="25"/>
      <c r="K356" s="25"/>
      <c r="L356" s="26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>
        <f t="shared" si="3"/>
        <v>0</v>
      </c>
      <c r="BD356" s="27">
        <f t="shared" si="4"/>
        <v>0</v>
      </c>
      <c r="BE356" s="27">
        <f t="shared" si="5"/>
        <v>0</v>
      </c>
      <c r="BF356" s="27">
        <f t="shared" si="6"/>
        <v>0</v>
      </c>
      <c r="BG356" s="24"/>
      <c r="BH356" s="24"/>
      <c r="BI356" s="24"/>
      <c r="BJ356" s="28" t="str">
        <f t="shared" ref="BJ356:BK356" si="360">H356</f>
        <v/>
      </c>
      <c r="BK356" s="28" t="str">
        <f t="shared" si="360"/>
        <v/>
      </c>
      <c r="BL356" s="29" t="str">
        <f t="shared" si="8"/>
        <v/>
      </c>
    </row>
    <row r="357">
      <c r="A357" s="12" t="str">
        <f t="shared" si="2"/>
        <v/>
      </c>
      <c r="B357" s="13"/>
      <c r="C357" s="14"/>
      <c r="D357" s="15"/>
      <c r="E357" s="15"/>
      <c r="F357" s="15"/>
      <c r="G357" s="16"/>
      <c r="H357" s="14"/>
      <c r="I357" s="14"/>
      <c r="J357" s="16"/>
      <c r="K357" s="16"/>
      <c r="L357" s="17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>
        <f t="shared" si="3"/>
        <v>0</v>
      </c>
      <c r="BD357" s="18">
        <f t="shared" si="4"/>
        <v>0</v>
      </c>
      <c r="BE357" s="18">
        <f t="shared" si="5"/>
        <v>0</v>
      </c>
      <c r="BF357" s="18">
        <f t="shared" si="6"/>
        <v>0</v>
      </c>
      <c r="BG357" s="15"/>
      <c r="BH357" s="15"/>
      <c r="BI357" s="15"/>
      <c r="BJ357" s="19" t="str">
        <f t="shared" ref="BJ357:BK357" si="361">H357</f>
        <v/>
      </c>
      <c r="BK357" s="19" t="str">
        <f t="shared" si="361"/>
        <v/>
      </c>
      <c r="BL357" s="20" t="str">
        <f t="shared" si="8"/>
        <v/>
      </c>
    </row>
    <row r="358">
      <c r="A358" s="21" t="str">
        <f t="shared" si="2"/>
        <v/>
      </c>
      <c r="B358" s="22"/>
      <c r="C358" s="23"/>
      <c r="D358" s="24"/>
      <c r="E358" s="24"/>
      <c r="F358" s="24"/>
      <c r="G358" s="25"/>
      <c r="H358" s="23"/>
      <c r="I358" s="23"/>
      <c r="J358" s="25"/>
      <c r="K358" s="25"/>
      <c r="L358" s="26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>
        <f t="shared" si="3"/>
        <v>0</v>
      </c>
      <c r="BD358" s="27">
        <f t="shared" si="4"/>
        <v>0</v>
      </c>
      <c r="BE358" s="27">
        <f t="shared" si="5"/>
        <v>0</v>
      </c>
      <c r="BF358" s="27">
        <f t="shared" si="6"/>
        <v>0</v>
      </c>
      <c r="BG358" s="24"/>
      <c r="BH358" s="24"/>
      <c r="BI358" s="24"/>
      <c r="BJ358" s="28" t="str">
        <f t="shared" ref="BJ358:BK358" si="362">H358</f>
        <v/>
      </c>
      <c r="BK358" s="28" t="str">
        <f t="shared" si="362"/>
        <v/>
      </c>
      <c r="BL358" s="29" t="str">
        <f t="shared" si="8"/>
        <v/>
      </c>
    </row>
    <row r="359">
      <c r="A359" s="12" t="str">
        <f t="shared" si="2"/>
        <v/>
      </c>
      <c r="B359" s="13"/>
      <c r="C359" s="14"/>
      <c r="D359" s="13"/>
      <c r="E359" s="13"/>
      <c r="F359" s="13"/>
      <c r="G359" s="12"/>
      <c r="H359" s="14"/>
      <c r="I359" s="14"/>
      <c r="J359" s="16"/>
      <c r="K359" s="16"/>
      <c r="L359" s="17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>
        <f t="shared" si="3"/>
        <v>0</v>
      </c>
      <c r="BD359" s="18">
        <f t="shared" si="4"/>
        <v>0</v>
      </c>
      <c r="BE359" s="18">
        <f t="shared" si="5"/>
        <v>0</v>
      </c>
      <c r="BF359" s="18">
        <f t="shared" si="6"/>
        <v>0</v>
      </c>
      <c r="BG359" s="15"/>
      <c r="BH359" s="15"/>
      <c r="BI359" s="15"/>
      <c r="BJ359" s="19" t="str">
        <f t="shared" ref="BJ359:BK359" si="363">H359</f>
        <v/>
      </c>
      <c r="BK359" s="19" t="str">
        <f t="shared" si="363"/>
        <v/>
      </c>
      <c r="BL359" s="20" t="str">
        <f t="shared" si="8"/>
        <v/>
      </c>
    </row>
    <row r="360">
      <c r="A360" s="21" t="str">
        <f t="shared" si="2"/>
        <v/>
      </c>
      <c r="B360" s="22"/>
      <c r="C360" s="23"/>
      <c r="D360" s="24"/>
      <c r="E360" s="24"/>
      <c r="F360" s="24"/>
      <c r="G360" s="25"/>
      <c r="H360" s="23"/>
      <c r="I360" s="23"/>
      <c r="J360" s="25"/>
      <c r="K360" s="25"/>
      <c r="L360" s="26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>
        <f t="shared" si="3"/>
        <v>0</v>
      </c>
      <c r="BD360" s="27">
        <f t="shared" si="4"/>
        <v>0</v>
      </c>
      <c r="BE360" s="27">
        <f t="shared" si="5"/>
        <v>0</v>
      </c>
      <c r="BF360" s="27">
        <f t="shared" si="6"/>
        <v>0</v>
      </c>
      <c r="BG360" s="24"/>
      <c r="BH360" s="24"/>
      <c r="BI360" s="24"/>
      <c r="BJ360" s="28" t="str">
        <f t="shared" ref="BJ360:BK360" si="364">H360</f>
        <v/>
      </c>
      <c r="BK360" s="28" t="str">
        <f t="shared" si="364"/>
        <v/>
      </c>
      <c r="BL360" s="29" t="str">
        <f t="shared" si="8"/>
        <v/>
      </c>
    </row>
    <row r="361">
      <c r="A361" s="12" t="str">
        <f t="shared" si="2"/>
        <v/>
      </c>
      <c r="B361" s="13"/>
      <c r="C361" s="14"/>
      <c r="D361" s="15"/>
      <c r="E361" s="15"/>
      <c r="F361" s="15"/>
      <c r="G361" s="16"/>
      <c r="H361" s="14"/>
      <c r="I361" s="14"/>
      <c r="J361" s="16"/>
      <c r="K361" s="16"/>
      <c r="L361" s="17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>
        <f t="shared" si="3"/>
        <v>0</v>
      </c>
      <c r="BD361" s="18">
        <f t="shared" si="4"/>
        <v>0</v>
      </c>
      <c r="BE361" s="18">
        <f t="shared" si="5"/>
        <v>0</v>
      </c>
      <c r="BF361" s="18">
        <f t="shared" si="6"/>
        <v>0</v>
      </c>
      <c r="BG361" s="15"/>
      <c r="BH361" s="15"/>
      <c r="BI361" s="15"/>
      <c r="BJ361" s="19" t="str">
        <f t="shared" ref="BJ361:BK361" si="365">H361</f>
        <v/>
      </c>
      <c r="BK361" s="19" t="str">
        <f t="shared" si="365"/>
        <v/>
      </c>
      <c r="BL361" s="20" t="str">
        <f t="shared" si="8"/>
        <v/>
      </c>
    </row>
    <row r="362">
      <c r="A362" s="21" t="str">
        <f t="shared" si="2"/>
        <v/>
      </c>
      <c r="B362" s="22"/>
      <c r="C362" s="23"/>
      <c r="D362" s="24"/>
      <c r="E362" s="24"/>
      <c r="F362" s="24"/>
      <c r="G362" s="25"/>
      <c r="H362" s="23"/>
      <c r="I362" s="23"/>
      <c r="J362" s="25"/>
      <c r="K362" s="25"/>
      <c r="L362" s="26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>
        <f t="shared" si="3"/>
        <v>0</v>
      </c>
      <c r="BD362" s="27">
        <f t="shared" si="4"/>
        <v>0</v>
      </c>
      <c r="BE362" s="27">
        <f t="shared" si="5"/>
        <v>0</v>
      </c>
      <c r="BF362" s="27">
        <f t="shared" si="6"/>
        <v>0</v>
      </c>
      <c r="BG362" s="24"/>
      <c r="BH362" s="24"/>
      <c r="BI362" s="24"/>
      <c r="BJ362" s="28" t="str">
        <f t="shared" ref="BJ362:BK362" si="366">H362</f>
        <v/>
      </c>
      <c r="BK362" s="28" t="str">
        <f t="shared" si="366"/>
        <v/>
      </c>
      <c r="BL362" s="29" t="str">
        <f t="shared" si="8"/>
        <v/>
      </c>
    </row>
    <row r="363">
      <c r="A363" s="12" t="str">
        <f t="shared" si="2"/>
        <v/>
      </c>
      <c r="B363" s="13"/>
      <c r="C363" s="14"/>
      <c r="D363" s="15"/>
      <c r="E363" s="15"/>
      <c r="F363" s="15"/>
      <c r="G363" s="16"/>
      <c r="H363" s="14"/>
      <c r="I363" s="14"/>
      <c r="J363" s="16"/>
      <c r="K363" s="16"/>
      <c r="L363" s="17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>
        <f t="shared" si="3"/>
        <v>0</v>
      </c>
      <c r="BD363" s="18">
        <f t="shared" si="4"/>
        <v>0</v>
      </c>
      <c r="BE363" s="18">
        <f t="shared" si="5"/>
        <v>0</v>
      </c>
      <c r="BF363" s="18">
        <f t="shared" si="6"/>
        <v>0</v>
      </c>
      <c r="BG363" s="15"/>
      <c r="BH363" s="15"/>
      <c r="BI363" s="15"/>
      <c r="BJ363" s="19" t="str">
        <f t="shared" ref="BJ363:BK363" si="367">H363</f>
        <v/>
      </c>
      <c r="BK363" s="19" t="str">
        <f t="shared" si="367"/>
        <v/>
      </c>
      <c r="BL363" s="20" t="str">
        <f t="shared" si="8"/>
        <v/>
      </c>
    </row>
    <row r="364">
      <c r="A364" s="21" t="str">
        <f t="shared" si="2"/>
        <v/>
      </c>
      <c r="B364" s="22"/>
      <c r="C364" s="23"/>
      <c r="D364" s="24"/>
      <c r="E364" s="24"/>
      <c r="F364" s="24"/>
      <c r="G364" s="25"/>
      <c r="H364" s="23"/>
      <c r="I364" s="23"/>
      <c r="J364" s="25"/>
      <c r="K364" s="25"/>
      <c r="L364" s="26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>
        <f t="shared" si="3"/>
        <v>0</v>
      </c>
      <c r="BD364" s="27">
        <f t="shared" si="4"/>
        <v>0</v>
      </c>
      <c r="BE364" s="27">
        <f t="shared" si="5"/>
        <v>0</v>
      </c>
      <c r="BF364" s="27">
        <f t="shared" si="6"/>
        <v>0</v>
      </c>
      <c r="BG364" s="24"/>
      <c r="BH364" s="24"/>
      <c r="BI364" s="24"/>
      <c r="BJ364" s="28" t="str">
        <f t="shared" ref="BJ364:BK364" si="368">H364</f>
        <v/>
      </c>
      <c r="BK364" s="28" t="str">
        <f t="shared" si="368"/>
        <v/>
      </c>
      <c r="BL364" s="29" t="str">
        <f t="shared" si="8"/>
        <v/>
      </c>
    </row>
    <row r="365">
      <c r="A365" s="12" t="str">
        <f t="shared" si="2"/>
        <v/>
      </c>
      <c r="B365" s="13"/>
      <c r="C365" s="14"/>
      <c r="D365" s="13"/>
      <c r="E365" s="13"/>
      <c r="F365" s="13"/>
      <c r="G365" s="16"/>
      <c r="H365" s="14"/>
      <c r="I365" s="14"/>
      <c r="J365" s="16"/>
      <c r="K365" s="14"/>
      <c r="L365" s="17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>
        <f t="shared" si="3"/>
        <v>0</v>
      </c>
      <c r="BD365" s="18">
        <f t="shared" si="4"/>
        <v>0</v>
      </c>
      <c r="BE365" s="18">
        <f t="shared" si="5"/>
        <v>0</v>
      </c>
      <c r="BF365" s="18">
        <f t="shared" si="6"/>
        <v>0</v>
      </c>
      <c r="BG365" s="15"/>
      <c r="BH365" s="15"/>
      <c r="BI365" s="15"/>
      <c r="BJ365" s="19" t="str">
        <f t="shared" ref="BJ365:BK365" si="369">H365</f>
        <v/>
      </c>
      <c r="BK365" s="19" t="str">
        <f t="shared" si="369"/>
        <v/>
      </c>
      <c r="BL365" s="20" t="str">
        <f t="shared" si="8"/>
        <v/>
      </c>
    </row>
    <row r="366">
      <c r="A366" s="21" t="str">
        <f t="shared" si="2"/>
        <v/>
      </c>
      <c r="B366" s="22"/>
      <c r="C366" s="23"/>
      <c r="D366" s="22"/>
      <c r="E366" s="22"/>
      <c r="F366" s="22"/>
      <c r="G366" s="25"/>
      <c r="H366" s="23"/>
      <c r="I366" s="23"/>
      <c r="J366" s="25"/>
      <c r="K366" s="25"/>
      <c r="L366" s="26"/>
      <c r="M366" s="24"/>
      <c r="N366" s="24"/>
      <c r="O366" s="24"/>
      <c r="P366" s="24"/>
      <c r="Q366" s="24"/>
      <c r="R366" s="27"/>
      <c r="S366" s="27"/>
      <c r="T366" s="27"/>
      <c r="U366" s="27"/>
      <c r="V366" s="27"/>
      <c r="W366" s="27"/>
      <c r="X366" s="27"/>
      <c r="Y366" s="27"/>
      <c r="Z366" s="27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7"/>
      <c r="BC366" s="27">
        <f t="shared" si="3"/>
        <v>0</v>
      </c>
      <c r="BD366" s="27">
        <f t="shared" si="4"/>
        <v>0</v>
      </c>
      <c r="BE366" s="27">
        <f t="shared" si="5"/>
        <v>0</v>
      </c>
      <c r="BF366" s="27">
        <f t="shared" si="6"/>
        <v>0</v>
      </c>
      <c r="BG366" s="24"/>
      <c r="BH366" s="24"/>
      <c r="BI366" s="24"/>
      <c r="BJ366" s="28" t="str">
        <f t="shared" ref="BJ366:BK366" si="370">H366</f>
        <v/>
      </c>
      <c r="BK366" s="28" t="str">
        <f t="shared" si="370"/>
        <v/>
      </c>
      <c r="BL366" s="29" t="str">
        <f t="shared" si="8"/>
        <v/>
      </c>
    </row>
    <row r="367">
      <c r="A367" s="12" t="str">
        <f t="shared" si="2"/>
        <v/>
      </c>
      <c r="B367" s="13"/>
      <c r="C367" s="14"/>
      <c r="D367" s="13"/>
      <c r="E367" s="13"/>
      <c r="F367" s="13"/>
      <c r="G367" s="16"/>
      <c r="H367" s="14"/>
      <c r="I367" s="14"/>
      <c r="J367" s="16"/>
      <c r="K367" s="16"/>
      <c r="L367" s="17"/>
      <c r="M367" s="15"/>
      <c r="N367" s="15"/>
      <c r="O367" s="15"/>
      <c r="P367" s="15"/>
      <c r="Q367" s="15"/>
      <c r="R367" s="15"/>
      <c r="S367" s="18"/>
      <c r="T367" s="18"/>
      <c r="U367" s="18"/>
      <c r="V367" s="18"/>
      <c r="W367" s="18"/>
      <c r="X367" s="18"/>
      <c r="Y367" s="18"/>
      <c r="Z367" s="18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8">
        <f t="shared" si="3"/>
        <v>0</v>
      </c>
      <c r="BD367" s="18">
        <f t="shared" si="4"/>
        <v>0</v>
      </c>
      <c r="BE367" s="18">
        <f t="shared" si="5"/>
        <v>0</v>
      </c>
      <c r="BF367" s="18">
        <f t="shared" si="6"/>
        <v>0</v>
      </c>
      <c r="BG367" s="15"/>
      <c r="BH367" s="15"/>
      <c r="BI367" s="15"/>
      <c r="BJ367" s="19" t="str">
        <f t="shared" ref="BJ367:BK367" si="371">H367</f>
        <v/>
      </c>
      <c r="BK367" s="19" t="str">
        <f t="shared" si="371"/>
        <v/>
      </c>
      <c r="BL367" s="20" t="str">
        <f t="shared" si="8"/>
        <v/>
      </c>
    </row>
    <row r="368">
      <c r="A368" s="21" t="str">
        <f t="shared" si="2"/>
        <v/>
      </c>
      <c r="B368" s="22"/>
      <c r="C368" s="23"/>
      <c r="D368" s="22"/>
      <c r="E368" s="22"/>
      <c r="F368" s="22"/>
      <c r="G368" s="25"/>
      <c r="H368" s="23"/>
      <c r="I368" s="23"/>
      <c r="J368" s="25"/>
      <c r="K368" s="25"/>
      <c r="L368" s="26"/>
      <c r="M368" s="24"/>
      <c r="N368" s="24"/>
      <c r="O368" s="24"/>
      <c r="P368" s="24"/>
      <c r="Q368" s="24"/>
      <c r="R368" s="24"/>
      <c r="S368" s="24"/>
      <c r="T368" s="27"/>
      <c r="U368" s="27"/>
      <c r="V368" s="27"/>
      <c r="W368" s="27"/>
      <c r="X368" s="27"/>
      <c r="Y368" s="27"/>
      <c r="Z368" s="27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7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7">
        <f t="shared" si="3"/>
        <v>0</v>
      </c>
      <c r="BD368" s="27">
        <f t="shared" si="4"/>
        <v>0</v>
      </c>
      <c r="BE368" s="27">
        <f t="shared" si="5"/>
        <v>0</v>
      </c>
      <c r="BF368" s="27">
        <f t="shared" si="6"/>
        <v>0</v>
      </c>
      <c r="BG368" s="24"/>
      <c r="BH368" s="24"/>
      <c r="BI368" s="24"/>
      <c r="BJ368" s="28" t="str">
        <f t="shared" ref="BJ368:BK368" si="372">H368</f>
        <v/>
      </c>
      <c r="BK368" s="28" t="str">
        <f t="shared" si="372"/>
        <v/>
      </c>
      <c r="BL368" s="29" t="str">
        <f t="shared" si="8"/>
        <v/>
      </c>
    </row>
    <row r="369">
      <c r="A369" s="12" t="str">
        <f t="shared" si="2"/>
        <v/>
      </c>
      <c r="B369" s="13"/>
      <c r="C369" s="14"/>
      <c r="D369" s="13"/>
      <c r="E369" s="13"/>
      <c r="F369" s="13"/>
      <c r="G369" s="12"/>
      <c r="H369" s="14"/>
      <c r="I369" s="14"/>
      <c r="J369" s="16"/>
      <c r="K369" s="16"/>
      <c r="L369" s="17"/>
      <c r="M369" s="15"/>
      <c r="N369" s="15"/>
      <c r="O369" s="15"/>
      <c r="P369" s="15"/>
      <c r="Q369" s="15"/>
      <c r="R369" s="15"/>
      <c r="S369" s="15"/>
      <c r="T369" s="15"/>
      <c r="U369" s="18"/>
      <c r="V369" s="18"/>
      <c r="W369" s="18"/>
      <c r="X369" s="18"/>
      <c r="Y369" s="18"/>
      <c r="Z369" s="18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8">
        <f t="shared" si="3"/>
        <v>0</v>
      </c>
      <c r="BD369" s="18">
        <f t="shared" si="4"/>
        <v>0</v>
      </c>
      <c r="BE369" s="18">
        <f t="shared" si="5"/>
        <v>0</v>
      </c>
      <c r="BF369" s="18">
        <f t="shared" si="6"/>
        <v>0</v>
      </c>
      <c r="BG369" s="15"/>
      <c r="BH369" s="15"/>
      <c r="BI369" s="15"/>
      <c r="BJ369" s="19" t="str">
        <f t="shared" ref="BJ369:BK369" si="373">H369</f>
        <v/>
      </c>
      <c r="BK369" s="19" t="str">
        <f t="shared" si="373"/>
        <v/>
      </c>
      <c r="BL369" s="20" t="str">
        <f t="shared" si="8"/>
        <v/>
      </c>
    </row>
    <row r="370">
      <c r="A370" s="21" t="str">
        <f t="shared" si="2"/>
        <v/>
      </c>
      <c r="B370" s="22"/>
      <c r="C370" s="23"/>
      <c r="D370" s="24"/>
      <c r="E370" s="24"/>
      <c r="F370" s="24"/>
      <c r="G370" s="25"/>
      <c r="H370" s="23"/>
      <c r="I370" s="23"/>
      <c r="J370" s="25"/>
      <c r="K370" s="21"/>
      <c r="L370" s="26"/>
      <c r="M370" s="24"/>
      <c r="N370" s="24"/>
      <c r="O370" s="24"/>
      <c r="P370" s="24"/>
      <c r="Q370" s="24"/>
      <c r="R370" s="24"/>
      <c r="S370" s="24"/>
      <c r="T370" s="24"/>
      <c r="U370" s="24"/>
      <c r="V370" s="27"/>
      <c r="W370" s="27"/>
      <c r="X370" s="27"/>
      <c r="Y370" s="27"/>
      <c r="Z370" s="27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7">
        <f t="shared" si="3"/>
        <v>0</v>
      </c>
      <c r="BD370" s="27">
        <f t="shared" si="4"/>
        <v>0</v>
      </c>
      <c r="BE370" s="27">
        <f t="shared" si="5"/>
        <v>0</v>
      </c>
      <c r="BF370" s="27">
        <f t="shared" si="6"/>
        <v>0</v>
      </c>
      <c r="BG370" s="22" t="s">
        <v>27</v>
      </c>
      <c r="BH370" s="24"/>
      <c r="BI370" s="24"/>
      <c r="BJ370" s="28" t="str">
        <f t="shared" ref="BJ370:BK370" si="374">H370</f>
        <v/>
      </c>
      <c r="BK370" s="28" t="str">
        <f t="shared" si="374"/>
        <v/>
      </c>
      <c r="BL370" s="29" t="str">
        <f t="shared" si="8"/>
        <v/>
      </c>
    </row>
    <row r="371">
      <c r="A371" s="12" t="str">
        <f t="shared" si="2"/>
        <v/>
      </c>
      <c r="B371" s="13"/>
      <c r="C371" s="14"/>
      <c r="D371" s="15"/>
      <c r="E371" s="15"/>
      <c r="F371" s="15"/>
      <c r="G371" s="16"/>
      <c r="H371" s="14"/>
      <c r="I371" s="14"/>
      <c r="J371" s="16"/>
      <c r="K371" s="12"/>
      <c r="L371" s="17"/>
      <c r="M371" s="13"/>
      <c r="N371" s="15"/>
      <c r="O371" s="15"/>
      <c r="P371" s="15"/>
      <c r="Q371" s="15"/>
      <c r="R371" s="15"/>
      <c r="S371" s="15"/>
      <c r="T371" s="15"/>
      <c r="U371" s="15"/>
      <c r="V371" s="18"/>
      <c r="W371" s="15"/>
      <c r="X371" s="15"/>
      <c r="Y371" s="15"/>
      <c r="Z371" s="15"/>
      <c r="AA371" s="15"/>
      <c r="AB371" s="18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8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8">
        <f t="shared" si="3"/>
        <v>0</v>
      </c>
      <c r="BD371" s="18">
        <f t="shared" si="4"/>
        <v>0</v>
      </c>
      <c r="BE371" s="18">
        <f t="shared" si="5"/>
        <v>0</v>
      </c>
      <c r="BF371" s="18">
        <f t="shared" si="6"/>
        <v>0</v>
      </c>
      <c r="BG371" s="15"/>
      <c r="BH371" s="15"/>
      <c r="BI371" s="15"/>
      <c r="BJ371" s="19" t="str">
        <f t="shared" ref="BJ371:BK371" si="375">H371</f>
        <v/>
      </c>
      <c r="BK371" s="19" t="str">
        <f t="shared" si="375"/>
        <v/>
      </c>
      <c r="BL371" s="20" t="str">
        <f t="shared" si="8"/>
        <v/>
      </c>
    </row>
    <row r="372">
      <c r="A372" s="21" t="str">
        <f t="shared" si="2"/>
        <v/>
      </c>
      <c r="B372" s="24"/>
      <c r="C372" s="21"/>
      <c r="D372" s="24"/>
      <c r="E372" s="24"/>
      <c r="F372" s="24"/>
      <c r="G372" s="21"/>
      <c r="H372" s="21"/>
      <c r="I372" s="21"/>
      <c r="J372" s="21"/>
      <c r="K372" s="21"/>
      <c r="L372" s="26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1"/>
      <c r="BK372" s="21"/>
      <c r="BL372" s="30"/>
    </row>
    <row r="373">
      <c r="A373" s="12" t="str">
        <f t="shared" si="2"/>
        <v/>
      </c>
      <c r="B373" s="15"/>
      <c r="C373" s="12"/>
      <c r="D373" s="15"/>
      <c r="E373" s="15"/>
      <c r="F373" s="15"/>
      <c r="G373" s="12"/>
      <c r="H373" s="12"/>
      <c r="I373" s="12"/>
      <c r="J373" s="12"/>
      <c r="K373" s="12"/>
      <c r="L373" s="17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2"/>
      <c r="BK373" s="12"/>
      <c r="BL373" s="31"/>
    </row>
    <row r="374">
      <c r="A374" s="21" t="str">
        <f t="shared" si="2"/>
        <v/>
      </c>
      <c r="B374" s="24"/>
      <c r="C374" s="21"/>
      <c r="D374" s="24"/>
      <c r="E374" s="24"/>
      <c r="F374" s="24"/>
      <c r="G374" s="21"/>
      <c r="H374" s="21"/>
      <c r="I374" s="21"/>
      <c r="J374" s="21"/>
      <c r="K374" s="21"/>
      <c r="L374" s="26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1"/>
      <c r="BK374" s="21"/>
      <c r="BL374" s="30"/>
    </row>
    <row r="375">
      <c r="A375" s="12" t="str">
        <f t="shared" si="2"/>
        <v/>
      </c>
      <c r="B375" s="15"/>
      <c r="C375" s="12"/>
      <c r="D375" s="15"/>
      <c r="E375" s="15"/>
      <c r="F375" s="15"/>
      <c r="G375" s="12"/>
      <c r="H375" s="12"/>
      <c r="I375" s="12"/>
      <c r="J375" s="12"/>
      <c r="K375" s="12"/>
      <c r="L375" s="17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2"/>
      <c r="BK375" s="12"/>
      <c r="BL375" s="31"/>
    </row>
    <row r="376">
      <c r="A376" s="21" t="str">
        <f t="shared" si="2"/>
        <v/>
      </c>
      <c r="B376" s="24"/>
      <c r="C376" s="21"/>
      <c r="D376" s="24"/>
      <c r="E376" s="24"/>
      <c r="F376" s="24"/>
      <c r="G376" s="21"/>
      <c r="H376" s="21"/>
      <c r="I376" s="21"/>
      <c r="J376" s="21"/>
      <c r="K376" s="21"/>
      <c r="L376" s="26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1"/>
      <c r="BK376" s="21"/>
      <c r="BL376" s="30"/>
    </row>
    <row r="377">
      <c r="A377" s="12" t="str">
        <f t="shared" si="2"/>
        <v/>
      </c>
      <c r="B377" s="15"/>
      <c r="C377" s="12"/>
      <c r="D377" s="15"/>
      <c r="E377" s="15"/>
      <c r="F377" s="15"/>
      <c r="G377" s="12"/>
      <c r="H377" s="12"/>
      <c r="I377" s="12"/>
      <c r="J377" s="12"/>
      <c r="K377" s="12"/>
      <c r="L377" s="17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2"/>
      <c r="BK377" s="12"/>
      <c r="BL377" s="31"/>
    </row>
    <row r="378">
      <c r="A378" s="21" t="str">
        <f t="shared" si="2"/>
        <v/>
      </c>
      <c r="B378" s="24"/>
      <c r="C378" s="21"/>
      <c r="D378" s="24"/>
      <c r="E378" s="24"/>
      <c r="F378" s="24"/>
      <c r="G378" s="21"/>
      <c r="H378" s="21"/>
      <c r="I378" s="21"/>
      <c r="J378" s="21"/>
      <c r="K378" s="21"/>
      <c r="L378" s="26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1"/>
      <c r="BK378" s="21"/>
      <c r="BL378" s="30"/>
    </row>
    <row r="379">
      <c r="A379" s="12" t="str">
        <f t="shared" si="2"/>
        <v/>
      </c>
      <c r="B379" s="15"/>
      <c r="C379" s="12"/>
      <c r="D379" s="15"/>
      <c r="E379" s="15"/>
      <c r="F379" s="15"/>
      <c r="G379" s="12"/>
      <c r="H379" s="12"/>
      <c r="I379" s="12"/>
      <c r="J379" s="12"/>
      <c r="K379" s="12"/>
      <c r="L379" s="17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2"/>
      <c r="BK379" s="12"/>
      <c r="BL379" s="31"/>
    </row>
    <row r="380">
      <c r="A380" s="21" t="str">
        <f t="shared" si="2"/>
        <v/>
      </c>
      <c r="B380" s="24"/>
      <c r="C380" s="21"/>
      <c r="D380" s="24"/>
      <c r="E380" s="24"/>
      <c r="F380" s="24"/>
      <c r="G380" s="21"/>
      <c r="H380" s="21"/>
      <c r="I380" s="21"/>
      <c r="J380" s="21"/>
      <c r="K380" s="21"/>
      <c r="L380" s="26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1"/>
      <c r="BK380" s="21"/>
      <c r="BL380" s="30"/>
    </row>
    <row r="381">
      <c r="A381" s="12" t="str">
        <f t="shared" si="2"/>
        <v/>
      </c>
      <c r="B381" s="15"/>
      <c r="C381" s="12"/>
      <c r="D381" s="15"/>
      <c r="E381" s="15"/>
      <c r="F381" s="15"/>
      <c r="G381" s="12"/>
      <c r="H381" s="12"/>
      <c r="I381" s="12"/>
      <c r="J381" s="12"/>
      <c r="K381" s="12"/>
      <c r="L381" s="17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2"/>
      <c r="BK381" s="12"/>
      <c r="BL381" s="31"/>
    </row>
    <row r="382">
      <c r="A382" s="21" t="str">
        <f t="shared" si="2"/>
        <v/>
      </c>
      <c r="B382" s="24"/>
      <c r="C382" s="21"/>
      <c r="D382" s="24"/>
      <c r="E382" s="24"/>
      <c r="F382" s="24"/>
      <c r="G382" s="21"/>
      <c r="H382" s="21"/>
      <c r="I382" s="21"/>
      <c r="J382" s="21"/>
      <c r="K382" s="21"/>
      <c r="L382" s="26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1"/>
      <c r="BK382" s="21"/>
      <c r="BL382" s="30"/>
    </row>
    <row r="383">
      <c r="A383" s="12" t="str">
        <f t="shared" si="2"/>
        <v/>
      </c>
      <c r="B383" s="15"/>
      <c r="C383" s="12"/>
      <c r="D383" s="15"/>
      <c r="E383" s="15"/>
      <c r="F383" s="15"/>
      <c r="G383" s="12"/>
      <c r="H383" s="12"/>
      <c r="I383" s="12"/>
      <c r="J383" s="12"/>
      <c r="K383" s="12"/>
      <c r="L383" s="17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2"/>
      <c r="BK383" s="12"/>
      <c r="BL383" s="31"/>
    </row>
    <row r="384">
      <c r="A384" s="21" t="str">
        <f t="shared" si="2"/>
        <v/>
      </c>
      <c r="B384" s="24"/>
      <c r="C384" s="21"/>
      <c r="D384" s="24"/>
      <c r="E384" s="24"/>
      <c r="F384" s="24"/>
      <c r="G384" s="21"/>
      <c r="H384" s="21"/>
      <c r="I384" s="21"/>
      <c r="J384" s="21"/>
      <c r="K384" s="21"/>
      <c r="L384" s="26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1"/>
      <c r="BK384" s="21"/>
      <c r="BL384" s="30"/>
    </row>
    <row r="385">
      <c r="A385" s="12" t="str">
        <f t="shared" si="2"/>
        <v/>
      </c>
      <c r="B385" s="15"/>
      <c r="C385" s="12"/>
      <c r="D385" s="15"/>
      <c r="E385" s="15"/>
      <c r="F385" s="15"/>
      <c r="G385" s="12"/>
      <c r="H385" s="12"/>
      <c r="I385" s="12"/>
      <c r="J385" s="12"/>
      <c r="K385" s="12"/>
      <c r="L385" s="17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2"/>
      <c r="BK385" s="12"/>
      <c r="BL385" s="31"/>
    </row>
    <row r="386">
      <c r="A386" s="21" t="str">
        <f t="shared" si="2"/>
        <v/>
      </c>
      <c r="B386" s="24"/>
      <c r="C386" s="21"/>
      <c r="D386" s="24"/>
      <c r="E386" s="24"/>
      <c r="F386" s="24"/>
      <c r="G386" s="21"/>
      <c r="H386" s="21"/>
      <c r="I386" s="21"/>
      <c r="J386" s="21"/>
      <c r="K386" s="21"/>
      <c r="L386" s="26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1"/>
      <c r="BK386" s="21"/>
      <c r="BL386" s="30"/>
    </row>
    <row r="387">
      <c r="A387" s="12" t="str">
        <f t="shared" si="2"/>
        <v/>
      </c>
      <c r="B387" s="15"/>
      <c r="C387" s="12"/>
      <c r="D387" s="15"/>
      <c r="E387" s="15"/>
      <c r="F387" s="15"/>
      <c r="G387" s="12"/>
      <c r="H387" s="12"/>
      <c r="I387" s="12"/>
      <c r="J387" s="12"/>
      <c r="K387" s="12"/>
      <c r="L387" s="17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2"/>
      <c r="BK387" s="12"/>
      <c r="BL387" s="31"/>
    </row>
    <row r="388">
      <c r="A388" s="21" t="str">
        <f t="shared" si="2"/>
        <v/>
      </c>
      <c r="B388" s="24"/>
      <c r="C388" s="21"/>
      <c r="D388" s="24"/>
      <c r="E388" s="24"/>
      <c r="F388" s="24"/>
      <c r="G388" s="21"/>
      <c r="H388" s="21"/>
      <c r="I388" s="21"/>
      <c r="J388" s="21"/>
      <c r="K388" s="21"/>
      <c r="L388" s="26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1"/>
      <c r="BK388" s="21"/>
      <c r="BL388" s="30"/>
    </row>
    <row r="389">
      <c r="A389" s="12" t="str">
        <f t="shared" si="2"/>
        <v/>
      </c>
      <c r="B389" s="15"/>
      <c r="C389" s="12"/>
      <c r="D389" s="15"/>
      <c r="E389" s="15"/>
      <c r="F389" s="15"/>
      <c r="G389" s="12"/>
      <c r="H389" s="12"/>
      <c r="I389" s="12"/>
      <c r="J389" s="12"/>
      <c r="K389" s="12"/>
      <c r="L389" s="17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2"/>
      <c r="BK389" s="12"/>
      <c r="BL389" s="31"/>
    </row>
    <row r="390">
      <c r="A390" s="21" t="str">
        <f t="shared" si="2"/>
        <v/>
      </c>
      <c r="B390" s="24"/>
      <c r="C390" s="21"/>
      <c r="D390" s="24"/>
      <c r="E390" s="24"/>
      <c r="F390" s="24"/>
      <c r="G390" s="21"/>
      <c r="H390" s="21"/>
      <c r="I390" s="21"/>
      <c r="J390" s="21"/>
      <c r="K390" s="21"/>
      <c r="L390" s="26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1"/>
      <c r="BK390" s="21"/>
      <c r="BL390" s="30"/>
    </row>
    <row r="391">
      <c r="A391" s="12" t="str">
        <f t="shared" si="2"/>
        <v/>
      </c>
      <c r="B391" s="15"/>
      <c r="C391" s="12"/>
      <c r="D391" s="15"/>
      <c r="E391" s="15"/>
      <c r="F391" s="15"/>
      <c r="G391" s="12"/>
      <c r="H391" s="12"/>
      <c r="I391" s="12"/>
      <c r="J391" s="12"/>
      <c r="K391" s="12"/>
      <c r="L391" s="17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2"/>
      <c r="BK391" s="12"/>
      <c r="BL391" s="31"/>
    </row>
    <row r="392">
      <c r="A392" s="21" t="str">
        <f t="shared" si="2"/>
        <v/>
      </c>
      <c r="B392" s="24"/>
      <c r="C392" s="21"/>
      <c r="D392" s="24"/>
      <c r="E392" s="24"/>
      <c r="F392" s="24"/>
      <c r="G392" s="21"/>
      <c r="H392" s="21"/>
      <c r="I392" s="21"/>
      <c r="J392" s="21"/>
      <c r="K392" s="21"/>
      <c r="L392" s="26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1"/>
      <c r="BK392" s="21"/>
      <c r="BL392" s="30"/>
    </row>
    <row r="393">
      <c r="A393" s="12" t="str">
        <f t="shared" si="2"/>
        <v/>
      </c>
      <c r="B393" s="15"/>
      <c r="C393" s="12"/>
      <c r="D393" s="15"/>
      <c r="E393" s="15"/>
      <c r="F393" s="15"/>
      <c r="G393" s="12"/>
      <c r="H393" s="12"/>
      <c r="I393" s="12"/>
      <c r="J393" s="12"/>
      <c r="K393" s="12"/>
      <c r="L393" s="17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2"/>
      <c r="BK393" s="12"/>
      <c r="BL393" s="31"/>
    </row>
    <row r="394">
      <c r="A394" s="21" t="str">
        <f t="shared" si="2"/>
        <v/>
      </c>
      <c r="B394" s="24"/>
      <c r="C394" s="21"/>
      <c r="D394" s="24"/>
      <c r="E394" s="24"/>
      <c r="F394" s="24"/>
      <c r="G394" s="21"/>
      <c r="H394" s="21"/>
      <c r="I394" s="21"/>
      <c r="J394" s="21"/>
      <c r="K394" s="21"/>
      <c r="L394" s="26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1"/>
      <c r="BK394" s="21"/>
      <c r="BL394" s="30"/>
    </row>
    <row r="395">
      <c r="A395" s="12" t="str">
        <f t="shared" si="2"/>
        <v/>
      </c>
      <c r="B395" s="15"/>
      <c r="C395" s="12"/>
      <c r="D395" s="15"/>
      <c r="E395" s="15"/>
      <c r="F395" s="15"/>
      <c r="G395" s="12"/>
      <c r="H395" s="12"/>
      <c r="I395" s="12"/>
      <c r="J395" s="12"/>
      <c r="K395" s="12"/>
      <c r="L395" s="17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2"/>
      <c r="BK395" s="12"/>
      <c r="BL395" s="31"/>
    </row>
    <row r="396">
      <c r="A396" s="21" t="str">
        <f t="shared" si="2"/>
        <v/>
      </c>
      <c r="B396" s="24"/>
      <c r="C396" s="21"/>
      <c r="D396" s="24"/>
      <c r="E396" s="24"/>
      <c r="F396" s="24"/>
      <c r="G396" s="21"/>
      <c r="H396" s="21"/>
      <c r="I396" s="21"/>
      <c r="J396" s="21"/>
      <c r="K396" s="21"/>
      <c r="L396" s="26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1"/>
      <c r="BK396" s="21"/>
      <c r="BL396" s="30"/>
    </row>
    <row r="397">
      <c r="A397" s="12" t="str">
        <f t="shared" si="2"/>
        <v/>
      </c>
      <c r="B397" s="15"/>
      <c r="C397" s="12"/>
      <c r="D397" s="15"/>
      <c r="E397" s="15"/>
      <c r="F397" s="15"/>
      <c r="G397" s="12"/>
      <c r="H397" s="12"/>
      <c r="I397" s="12"/>
      <c r="J397" s="12"/>
      <c r="K397" s="12"/>
      <c r="L397" s="17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2"/>
      <c r="BK397" s="12"/>
      <c r="BL397" s="31"/>
    </row>
    <row r="398">
      <c r="A398" s="21" t="str">
        <f t="shared" si="2"/>
        <v/>
      </c>
      <c r="B398" s="24"/>
      <c r="C398" s="21"/>
      <c r="D398" s="24"/>
      <c r="E398" s="24"/>
      <c r="F398" s="24"/>
      <c r="G398" s="21"/>
      <c r="H398" s="21"/>
      <c r="I398" s="21"/>
      <c r="J398" s="21"/>
      <c r="K398" s="21"/>
      <c r="L398" s="26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1"/>
      <c r="BK398" s="21"/>
      <c r="BL398" s="30"/>
    </row>
    <row r="399">
      <c r="A399" s="12" t="str">
        <f t="shared" si="2"/>
        <v/>
      </c>
      <c r="B399" s="15"/>
      <c r="C399" s="12"/>
      <c r="D399" s="15"/>
      <c r="E399" s="15"/>
      <c r="F399" s="15"/>
      <c r="G399" s="12"/>
      <c r="H399" s="12"/>
      <c r="I399" s="12"/>
      <c r="J399" s="12"/>
      <c r="K399" s="12"/>
      <c r="L399" s="17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2"/>
      <c r="BK399" s="12"/>
      <c r="BL399" s="31"/>
    </row>
    <row r="400">
      <c r="A400" s="21" t="str">
        <f t="shared" si="2"/>
        <v/>
      </c>
      <c r="B400" s="24"/>
      <c r="C400" s="21"/>
      <c r="D400" s="24"/>
      <c r="E400" s="24"/>
      <c r="F400" s="24"/>
      <c r="G400" s="21"/>
      <c r="H400" s="21"/>
      <c r="I400" s="21"/>
      <c r="J400" s="21"/>
      <c r="K400" s="21"/>
      <c r="L400" s="26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1"/>
      <c r="BK400" s="21"/>
      <c r="BL400" s="30"/>
    </row>
    <row r="401">
      <c r="A401" s="12" t="str">
        <f t="shared" si="2"/>
        <v/>
      </c>
      <c r="B401" s="15"/>
      <c r="C401" s="12"/>
      <c r="D401" s="15"/>
      <c r="E401" s="15"/>
      <c r="F401" s="15"/>
      <c r="G401" s="12"/>
      <c r="H401" s="12"/>
      <c r="I401" s="12"/>
      <c r="J401" s="12"/>
      <c r="K401" s="12"/>
      <c r="L401" s="17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2"/>
      <c r="BK401" s="12"/>
      <c r="BL401" s="31"/>
    </row>
    <row r="402">
      <c r="A402" s="21" t="str">
        <f t="shared" si="2"/>
        <v/>
      </c>
      <c r="B402" s="24"/>
      <c r="C402" s="21"/>
      <c r="D402" s="24"/>
      <c r="E402" s="24"/>
      <c r="F402" s="24"/>
      <c r="G402" s="21"/>
      <c r="H402" s="21"/>
      <c r="I402" s="21"/>
      <c r="J402" s="21"/>
      <c r="K402" s="21"/>
      <c r="L402" s="26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1"/>
      <c r="BK402" s="21"/>
      <c r="BL402" s="30"/>
    </row>
    <row r="403">
      <c r="A403" s="12" t="str">
        <f t="shared" si="2"/>
        <v/>
      </c>
      <c r="B403" s="15"/>
      <c r="C403" s="12"/>
      <c r="D403" s="15"/>
      <c r="E403" s="15"/>
      <c r="F403" s="15"/>
      <c r="G403" s="12"/>
      <c r="H403" s="12"/>
      <c r="I403" s="12"/>
      <c r="J403" s="12"/>
      <c r="K403" s="12"/>
      <c r="L403" s="17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2"/>
      <c r="BK403" s="12"/>
      <c r="BL403" s="31"/>
    </row>
    <row r="404">
      <c r="A404" s="21" t="str">
        <f t="shared" si="2"/>
        <v/>
      </c>
      <c r="B404" s="24"/>
      <c r="C404" s="21"/>
      <c r="D404" s="24"/>
      <c r="E404" s="24"/>
      <c r="F404" s="24"/>
      <c r="G404" s="21"/>
      <c r="H404" s="21"/>
      <c r="I404" s="21"/>
      <c r="J404" s="21"/>
      <c r="K404" s="21"/>
      <c r="L404" s="26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1"/>
      <c r="BK404" s="21"/>
      <c r="BL404" s="30"/>
    </row>
    <row r="405">
      <c r="A405" s="12" t="str">
        <f t="shared" si="2"/>
        <v/>
      </c>
      <c r="B405" s="15"/>
      <c r="C405" s="12"/>
      <c r="D405" s="15"/>
      <c r="E405" s="15"/>
      <c r="F405" s="15"/>
      <c r="G405" s="12"/>
      <c r="H405" s="12"/>
      <c r="I405" s="12"/>
      <c r="J405" s="12"/>
      <c r="K405" s="12"/>
      <c r="L405" s="17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2"/>
      <c r="BK405" s="12"/>
      <c r="BL405" s="31"/>
    </row>
    <row r="406">
      <c r="A406" s="21" t="str">
        <f t="shared" si="2"/>
        <v/>
      </c>
      <c r="B406" s="24"/>
      <c r="C406" s="21"/>
      <c r="D406" s="24"/>
      <c r="E406" s="24"/>
      <c r="F406" s="24"/>
      <c r="G406" s="21"/>
      <c r="H406" s="21"/>
      <c r="I406" s="21"/>
      <c r="J406" s="21"/>
      <c r="K406" s="21"/>
      <c r="L406" s="26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1"/>
      <c r="BK406" s="21"/>
      <c r="BL406" s="30"/>
    </row>
    <row r="407">
      <c r="A407" s="12" t="str">
        <f t="shared" si="2"/>
        <v/>
      </c>
      <c r="B407" s="15"/>
      <c r="C407" s="12"/>
      <c r="D407" s="15"/>
      <c r="E407" s="15"/>
      <c r="F407" s="15"/>
      <c r="G407" s="12"/>
      <c r="H407" s="12"/>
      <c r="I407" s="12"/>
      <c r="J407" s="12"/>
      <c r="K407" s="12"/>
      <c r="L407" s="17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2"/>
      <c r="BK407" s="12"/>
      <c r="BL407" s="31"/>
    </row>
    <row r="408">
      <c r="A408" s="21" t="str">
        <f t="shared" si="2"/>
        <v/>
      </c>
      <c r="B408" s="24"/>
      <c r="C408" s="21"/>
      <c r="D408" s="24"/>
      <c r="E408" s="24"/>
      <c r="F408" s="24"/>
      <c r="G408" s="21"/>
      <c r="H408" s="21"/>
      <c r="I408" s="21"/>
      <c r="J408" s="21"/>
      <c r="K408" s="21"/>
      <c r="L408" s="26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1"/>
      <c r="BK408" s="21"/>
      <c r="BL408" s="30"/>
    </row>
    <row r="409">
      <c r="A409" s="12" t="str">
        <f t="shared" si="2"/>
        <v/>
      </c>
      <c r="B409" s="15"/>
      <c r="C409" s="12"/>
      <c r="D409" s="15"/>
      <c r="E409" s="15"/>
      <c r="F409" s="15"/>
      <c r="G409" s="12"/>
      <c r="H409" s="12"/>
      <c r="I409" s="12"/>
      <c r="J409" s="12"/>
      <c r="K409" s="12"/>
      <c r="L409" s="17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2"/>
      <c r="BK409" s="12"/>
      <c r="BL409" s="31"/>
    </row>
    <row r="410">
      <c r="A410" s="21" t="str">
        <f t="shared" si="2"/>
        <v/>
      </c>
      <c r="B410" s="24"/>
      <c r="C410" s="21"/>
      <c r="D410" s="24"/>
      <c r="E410" s="24"/>
      <c r="F410" s="24"/>
      <c r="G410" s="21"/>
      <c r="H410" s="21"/>
      <c r="I410" s="21"/>
      <c r="J410" s="21"/>
      <c r="K410" s="21"/>
      <c r="L410" s="26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1"/>
      <c r="BK410" s="21"/>
      <c r="BL410" s="30"/>
    </row>
    <row r="411">
      <c r="A411" s="12" t="str">
        <f t="shared" si="2"/>
        <v/>
      </c>
      <c r="B411" s="15"/>
      <c r="C411" s="12"/>
      <c r="D411" s="15"/>
      <c r="E411" s="15"/>
      <c r="F411" s="15"/>
      <c r="G411" s="12"/>
      <c r="H411" s="12"/>
      <c r="I411" s="12"/>
      <c r="J411" s="12"/>
      <c r="K411" s="12"/>
      <c r="L411" s="17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2"/>
      <c r="BK411" s="12"/>
      <c r="BL411" s="31"/>
    </row>
    <row r="412">
      <c r="A412" s="21" t="str">
        <f t="shared" si="2"/>
        <v/>
      </c>
      <c r="B412" s="24"/>
      <c r="C412" s="21"/>
      <c r="D412" s="24"/>
      <c r="E412" s="24"/>
      <c r="F412" s="24"/>
      <c r="G412" s="21"/>
      <c r="H412" s="21"/>
      <c r="I412" s="21"/>
      <c r="J412" s="21"/>
      <c r="K412" s="21"/>
      <c r="L412" s="26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1"/>
      <c r="BK412" s="21"/>
      <c r="BL412" s="30"/>
    </row>
    <row r="413">
      <c r="A413" s="12" t="str">
        <f t="shared" si="2"/>
        <v/>
      </c>
      <c r="B413" s="15"/>
      <c r="C413" s="12"/>
      <c r="D413" s="15"/>
      <c r="E413" s="15"/>
      <c r="F413" s="15"/>
      <c r="G413" s="12"/>
      <c r="H413" s="12"/>
      <c r="I413" s="12"/>
      <c r="J413" s="12"/>
      <c r="K413" s="12"/>
      <c r="L413" s="17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2"/>
      <c r="BK413" s="12"/>
      <c r="BL413" s="31"/>
    </row>
    <row r="414">
      <c r="A414" s="21" t="str">
        <f t="shared" si="2"/>
        <v/>
      </c>
      <c r="B414" s="24"/>
      <c r="C414" s="21"/>
      <c r="D414" s="24"/>
      <c r="E414" s="24"/>
      <c r="F414" s="24"/>
      <c r="G414" s="21"/>
      <c r="H414" s="21"/>
      <c r="I414" s="21"/>
      <c r="J414" s="21"/>
      <c r="K414" s="21"/>
      <c r="L414" s="26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1"/>
      <c r="BK414" s="21"/>
      <c r="BL414" s="30"/>
    </row>
    <row r="415">
      <c r="A415" s="12" t="str">
        <f t="shared" si="2"/>
        <v/>
      </c>
      <c r="B415" s="15"/>
      <c r="C415" s="12"/>
      <c r="D415" s="15"/>
      <c r="E415" s="15"/>
      <c r="F415" s="15"/>
      <c r="G415" s="12"/>
      <c r="H415" s="12"/>
      <c r="I415" s="12"/>
      <c r="J415" s="12"/>
      <c r="K415" s="12"/>
      <c r="L415" s="17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2"/>
      <c r="BK415" s="12"/>
      <c r="BL415" s="31"/>
    </row>
    <row r="416">
      <c r="A416" s="21" t="str">
        <f t="shared" si="2"/>
        <v/>
      </c>
      <c r="B416" s="24"/>
      <c r="C416" s="21"/>
      <c r="D416" s="24"/>
      <c r="E416" s="24"/>
      <c r="F416" s="24"/>
      <c r="G416" s="21"/>
      <c r="H416" s="21"/>
      <c r="I416" s="21"/>
      <c r="J416" s="21"/>
      <c r="K416" s="21"/>
      <c r="L416" s="26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1"/>
      <c r="BK416" s="21"/>
      <c r="BL416" s="30"/>
    </row>
    <row r="417">
      <c r="A417" s="12" t="str">
        <f t="shared" si="2"/>
        <v/>
      </c>
      <c r="B417" s="15"/>
      <c r="C417" s="12"/>
      <c r="D417" s="15"/>
      <c r="E417" s="15"/>
      <c r="F417" s="15"/>
      <c r="G417" s="12"/>
      <c r="H417" s="12"/>
      <c r="I417" s="12"/>
      <c r="J417" s="12"/>
      <c r="K417" s="12"/>
      <c r="L417" s="17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2"/>
      <c r="BK417" s="12"/>
      <c r="BL417" s="31"/>
    </row>
    <row r="418">
      <c r="A418" s="21" t="str">
        <f t="shared" si="2"/>
        <v/>
      </c>
      <c r="B418" s="24"/>
      <c r="C418" s="21"/>
      <c r="D418" s="24"/>
      <c r="E418" s="24"/>
      <c r="F418" s="24"/>
      <c r="G418" s="21"/>
      <c r="H418" s="21"/>
      <c r="I418" s="21"/>
      <c r="J418" s="21"/>
      <c r="K418" s="21"/>
      <c r="L418" s="26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1"/>
      <c r="BK418" s="21"/>
      <c r="BL418" s="30"/>
    </row>
    <row r="419">
      <c r="A419" s="12" t="str">
        <f t="shared" si="2"/>
        <v/>
      </c>
      <c r="B419" s="15"/>
      <c r="C419" s="12"/>
      <c r="D419" s="15"/>
      <c r="E419" s="15"/>
      <c r="F419" s="15"/>
      <c r="G419" s="12"/>
      <c r="H419" s="12"/>
      <c r="I419" s="12"/>
      <c r="J419" s="12"/>
      <c r="K419" s="12"/>
      <c r="L419" s="17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2"/>
      <c r="BK419" s="12"/>
      <c r="BL419" s="31"/>
    </row>
    <row r="420">
      <c r="A420" s="21" t="str">
        <f t="shared" si="2"/>
        <v/>
      </c>
      <c r="B420" s="24"/>
      <c r="C420" s="21"/>
      <c r="D420" s="24"/>
      <c r="E420" s="24"/>
      <c r="F420" s="24"/>
      <c r="G420" s="21"/>
      <c r="H420" s="21"/>
      <c r="I420" s="21"/>
      <c r="J420" s="21"/>
      <c r="K420" s="21"/>
      <c r="L420" s="26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1"/>
      <c r="BK420" s="21"/>
      <c r="BL420" s="30"/>
    </row>
    <row r="421">
      <c r="A421" s="12" t="str">
        <f t="shared" si="2"/>
        <v/>
      </c>
      <c r="B421" s="15"/>
      <c r="C421" s="12"/>
      <c r="D421" s="15"/>
      <c r="E421" s="15"/>
      <c r="F421" s="15"/>
      <c r="G421" s="12"/>
      <c r="H421" s="12"/>
      <c r="I421" s="12"/>
      <c r="J421" s="12"/>
      <c r="K421" s="12"/>
      <c r="L421" s="17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2"/>
      <c r="BK421" s="12"/>
      <c r="BL421" s="31"/>
    </row>
    <row r="422">
      <c r="A422" s="21" t="str">
        <f t="shared" si="2"/>
        <v/>
      </c>
      <c r="B422" s="24"/>
      <c r="C422" s="21"/>
      <c r="D422" s="24"/>
      <c r="E422" s="24"/>
      <c r="F422" s="24"/>
      <c r="G422" s="21"/>
      <c r="H422" s="21"/>
      <c r="I422" s="21"/>
      <c r="J422" s="21"/>
      <c r="K422" s="21"/>
      <c r="L422" s="26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1"/>
      <c r="BK422" s="21"/>
      <c r="BL422" s="30"/>
    </row>
    <row r="423">
      <c r="A423" s="12" t="str">
        <f t="shared" si="2"/>
        <v/>
      </c>
      <c r="B423" s="15"/>
      <c r="C423" s="12"/>
      <c r="D423" s="15"/>
      <c r="E423" s="15"/>
      <c r="F423" s="15"/>
      <c r="G423" s="12"/>
      <c r="H423" s="12"/>
      <c r="I423" s="12"/>
      <c r="J423" s="12"/>
      <c r="K423" s="12"/>
      <c r="L423" s="17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2"/>
      <c r="BK423" s="12"/>
      <c r="BL423" s="31"/>
    </row>
    <row r="424">
      <c r="A424" s="21" t="str">
        <f t="shared" si="2"/>
        <v/>
      </c>
      <c r="B424" s="24"/>
      <c r="C424" s="21"/>
      <c r="D424" s="24"/>
      <c r="E424" s="24"/>
      <c r="F424" s="24"/>
      <c r="G424" s="21"/>
      <c r="H424" s="21"/>
      <c r="I424" s="21"/>
      <c r="J424" s="21"/>
      <c r="K424" s="21"/>
      <c r="L424" s="26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1"/>
      <c r="BK424" s="21"/>
      <c r="BL424" s="30"/>
    </row>
    <row r="425">
      <c r="A425" s="12" t="str">
        <f t="shared" si="2"/>
        <v/>
      </c>
      <c r="B425" s="15"/>
      <c r="C425" s="12"/>
      <c r="D425" s="15"/>
      <c r="E425" s="15"/>
      <c r="F425" s="15"/>
      <c r="G425" s="12"/>
      <c r="H425" s="12"/>
      <c r="I425" s="12"/>
      <c r="J425" s="12"/>
      <c r="K425" s="12"/>
      <c r="L425" s="17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2"/>
      <c r="BK425" s="12"/>
      <c r="BL425" s="31"/>
    </row>
    <row r="426">
      <c r="A426" s="21" t="str">
        <f t="shared" si="2"/>
        <v/>
      </c>
      <c r="B426" s="24"/>
      <c r="C426" s="21"/>
      <c r="D426" s="24"/>
      <c r="E426" s="24"/>
      <c r="F426" s="24"/>
      <c r="G426" s="21"/>
      <c r="H426" s="21"/>
      <c r="I426" s="21"/>
      <c r="J426" s="21"/>
      <c r="K426" s="21"/>
      <c r="L426" s="26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1"/>
      <c r="BK426" s="21"/>
      <c r="BL426" s="30"/>
    </row>
    <row r="427">
      <c r="A427" s="12" t="str">
        <f t="shared" si="2"/>
        <v/>
      </c>
      <c r="B427" s="15"/>
      <c r="C427" s="12"/>
      <c r="D427" s="15"/>
      <c r="E427" s="15"/>
      <c r="F427" s="15"/>
      <c r="G427" s="12"/>
      <c r="H427" s="12"/>
      <c r="I427" s="12"/>
      <c r="J427" s="12"/>
      <c r="K427" s="12"/>
      <c r="L427" s="17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2"/>
      <c r="BK427" s="12"/>
      <c r="BL427" s="31"/>
    </row>
    <row r="428">
      <c r="A428" s="21" t="str">
        <f t="shared" si="2"/>
        <v/>
      </c>
      <c r="B428" s="24"/>
      <c r="C428" s="21"/>
      <c r="D428" s="24"/>
      <c r="E428" s="24"/>
      <c r="F428" s="24"/>
      <c r="G428" s="21"/>
      <c r="H428" s="21"/>
      <c r="I428" s="21"/>
      <c r="J428" s="21"/>
      <c r="K428" s="21"/>
      <c r="L428" s="26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1"/>
      <c r="BK428" s="21"/>
      <c r="BL428" s="30"/>
    </row>
    <row r="429">
      <c r="A429" s="12" t="str">
        <f t="shared" si="2"/>
        <v/>
      </c>
      <c r="B429" s="15"/>
      <c r="C429" s="12"/>
      <c r="D429" s="15"/>
      <c r="E429" s="15"/>
      <c r="F429" s="15"/>
      <c r="G429" s="12"/>
      <c r="H429" s="12"/>
      <c r="I429" s="12"/>
      <c r="J429" s="12"/>
      <c r="K429" s="12"/>
      <c r="L429" s="17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2"/>
      <c r="BK429" s="12"/>
      <c r="BL429" s="31"/>
    </row>
    <row r="430">
      <c r="A430" s="21" t="str">
        <f t="shared" si="2"/>
        <v/>
      </c>
      <c r="B430" s="24"/>
      <c r="C430" s="21"/>
      <c r="D430" s="24"/>
      <c r="E430" s="24"/>
      <c r="F430" s="24"/>
      <c r="G430" s="21"/>
      <c r="H430" s="21"/>
      <c r="I430" s="21"/>
      <c r="J430" s="21"/>
      <c r="K430" s="21"/>
      <c r="L430" s="26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1"/>
      <c r="BK430" s="21"/>
      <c r="BL430" s="30"/>
    </row>
    <row r="431">
      <c r="A431" s="12" t="str">
        <f t="shared" si="2"/>
        <v/>
      </c>
      <c r="B431" s="15"/>
      <c r="C431" s="12"/>
      <c r="D431" s="15"/>
      <c r="E431" s="15"/>
      <c r="F431" s="15"/>
      <c r="G431" s="12"/>
      <c r="H431" s="12"/>
      <c r="I431" s="12"/>
      <c r="J431" s="12"/>
      <c r="K431" s="12"/>
      <c r="L431" s="17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2"/>
      <c r="BK431" s="12"/>
      <c r="BL431" s="31"/>
    </row>
    <row r="432">
      <c r="A432" s="21" t="str">
        <f t="shared" si="2"/>
        <v/>
      </c>
      <c r="B432" s="24"/>
      <c r="C432" s="21"/>
      <c r="D432" s="24"/>
      <c r="E432" s="24"/>
      <c r="F432" s="24"/>
      <c r="G432" s="21"/>
      <c r="H432" s="21"/>
      <c r="I432" s="21"/>
      <c r="J432" s="21"/>
      <c r="K432" s="21"/>
      <c r="L432" s="26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1"/>
      <c r="BK432" s="21"/>
      <c r="BL432" s="30"/>
    </row>
    <row r="433">
      <c r="A433" s="12" t="str">
        <f t="shared" si="2"/>
        <v/>
      </c>
      <c r="B433" s="15"/>
      <c r="C433" s="12"/>
      <c r="D433" s="15"/>
      <c r="E433" s="15"/>
      <c r="F433" s="15"/>
      <c r="G433" s="12"/>
      <c r="H433" s="12"/>
      <c r="I433" s="12"/>
      <c r="J433" s="12"/>
      <c r="K433" s="12"/>
      <c r="L433" s="17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2"/>
      <c r="BK433" s="12"/>
      <c r="BL433" s="31"/>
    </row>
    <row r="434">
      <c r="A434" s="21" t="str">
        <f t="shared" si="2"/>
        <v/>
      </c>
      <c r="B434" s="24"/>
      <c r="C434" s="21"/>
      <c r="D434" s="24"/>
      <c r="E434" s="24"/>
      <c r="F434" s="24"/>
      <c r="G434" s="21"/>
      <c r="H434" s="21"/>
      <c r="I434" s="21"/>
      <c r="J434" s="21"/>
      <c r="K434" s="21"/>
      <c r="L434" s="26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1"/>
      <c r="BK434" s="21"/>
      <c r="BL434" s="30"/>
    </row>
    <row r="435">
      <c r="A435" s="12" t="str">
        <f t="shared" si="2"/>
        <v/>
      </c>
      <c r="B435" s="15"/>
      <c r="C435" s="12"/>
      <c r="D435" s="15"/>
      <c r="E435" s="15"/>
      <c r="F435" s="15"/>
      <c r="G435" s="12"/>
      <c r="H435" s="12"/>
      <c r="I435" s="12"/>
      <c r="J435" s="12"/>
      <c r="K435" s="12"/>
      <c r="L435" s="17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2"/>
      <c r="BK435" s="12"/>
      <c r="BL435" s="31"/>
    </row>
    <row r="436">
      <c r="A436" s="21" t="str">
        <f t="shared" si="2"/>
        <v/>
      </c>
      <c r="B436" s="24"/>
      <c r="C436" s="21"/>
      <c r="D436" s="24"/>
      <c r="E436" s="24"/>
      <c r="F436" s="24"/>
      <c r="G436" s="21"/>
      <c r="H436" s="21"/>
      <c r="I436" s="21"/>
      <c r="J436" s="21"/>
      <c r="K436" s="21"/>
      <c r="L436" s="26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1"/>
      <c r="BK436" s="21"/>
      <c r="BL436" s="30"/>
    </row>
    <row r="437">
      <c r="A437" s="12" t="str">
        <f t="shared" si="2"/>
        <v/>
      </c>
      <c r="B437" s="15"/>
      <c r="C437" s="12"/>
      <c r="D437" s="15"/>
      <c r="E437" s="15"/>
      <c r="F437" s="15"/>
      <c r="G437" s="12"/>
      <c r="H437" s="12"/>
      <c r="I437" s="12"/>
      <c r="J437" s="12"/>
      <c r="K437" s="12"/>
      <c r="L437" s="17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2"/>
      <c r="BK437" s="12"/>
      <c r="BL437" s="31"/>
    </row>
    <row r="438">
      <c r="A438" s="21" t="str">
        <f t="shared" si="2"/>
        <v/>
      </c>
      <c r="B438" s="24"/>
      <c r="C438" s="21"/>
      <c r="D438" s="24"/>
      <c r="E438" s="24"/>
      <c r="F438" s="24"/>
      <c r="G438" s="21"/>
      <c r="H438" s="21"/>
      <c r="I438" s="21"/>
      <c r="J438" s="21"/>
      <c r="K438" s="21"/>
      <c r="L438" s="26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1"/>
      <c r="BK438" s="21"/>
      <c r="BL438" s="30"/>
    </row>
    <row r="439">
      <c r="A439" s="12" t="str">
        <f t="shared" si="2"/>
        <v/>
      </c>
      <c r="B439" s="15"/>
      <c r="C439" s="12"/>
      <c r="D439" s="15"/>
      <c r="E439" s="15"/>
      <c r="F439" s="15"/>
      <c r="G439" s="12"/>
      <c r="H439" s="12"/>
      <c r="I439" s="12"/>
      <c r="J439" s="12"/>
      <c r="K439" s="12"/>
      <c r="L439" s="17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2"/>
      <c r="BK439" s="12"/>
      <c r="BL439" s="31"/>
    </row>
    <row r="440">
      <c r="A440" s="21" t="str">
        <f t="shared" si="2"/>
        <v/>
      </c>
      <c r="B440" s="24"/>
      <c r="C440" s="21"/>
      <c r="D440" s="24"/>
      <c r="E440" s="24"/>
      <c r="F440" s="24"/>
      <c r="G440" s="21"/>
      <c r="H440" s="21"/>
      <c r="I440" s="21"/>
      <c r="J440" s="21"/>
      <c r="K440" s="21"/>
      <c r="L440" s="26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1"/>
      <c r="BK440" s="21"/>
      <c r="BL440" s="30"/>
    </row>
    <row r="441">
      <c r="A441" s="12" t="str">
        <f t="shared" si="2"/>
        <v/>
      </c>
      <c r="B441" s="15"/>
      <c r="C441" s="12"/>
      <c r="D441" s="15"/>
      <c r="E441" s="15"/>
      <c r="F441" s="15"/>
      <c r="G441" s="12"/>
      <c r="H441" s="12"/>
      <c r="I441" s="12"/>
      <c r="J441" s="12"/>
      <c r="K441" s="12"/>
      <c r="L441" s="17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2"/>
      <c r="BK441" s="12"/>
      <c r="BL441" s="31"/>
    </row>
    <row r="442">
      <c r="A442" s="21" t="str">
        <f t="shared" si="2"/>
        <v/>
      </c>
      <c r="B442" s="24"/>
      <c r="C442" s="21"/>
      <c r="D442" s="24"/>
      <c r="E442" s="24"/>
      <c r="F442" s="24"/>
      <c r="G442" s="21"/>
      <c r="H442" s="21"/>
      <c r="I442" s="21"/>
      <c r="J442" s="21"/>
      <c r="K442" s="21"/>
      <c r="L442" s="26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1"/>
      <c r="BK442" s="21"/>
      <c r="BL442" s="30"/>
    </row>
    <row r="443">
      <c r="A443" s="12" t="str">
        <f t="shared" si="2"/>
        <v/>
      </c>
      <c r="B443" s="15"/>
      <c r="C443" s="12"/>
      <c r="D443" s="15"/>
      <c r="E443" s="15"/>
      <c r="F443" s="15"/>
      <c r="G443" s="12"/>
      <c r="H443" s="12"/>
      <c r="I443" s="12"/>
      <c r="J443" s="12"/>
      <c r="K443" s="12"/>
      <c r="L443" s="17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2"/>
      <c r="BK443" s="12"/>
      <c r="BL443" s="31"/>
    </row>
    <row r="444">
      <c r="A444" s="21" t="str">
        <f t="shared" si="2"/>
        <v/>
      </c>
      <c r="B444" s="24"/>
      <c r="C444" s="21"/>
      <c r="D444" s="24"/>
      <c r="E444" s="24"/>
      <c r="F444" s="24"/>
      <c r="G444" s="21"/>
      <c r="H444" s="21"/>
      <c r="I444" s="21"/>
      <c r="J444" s="21"/>
      <c r="K444" s="21"/>
      <c r="L444" s="26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1"/>
      <c r="BK444" s="21"/>
      <c r="BL444" s="30"/>
    </row>
    <row r="445">
      <c r="A445" s="12" t="str">
        <f t="shared" si="2"/>
        <v/>
      </c>
      <c r="B445" s="15"/>
      <c r="C445" s="12"/>
      <c r="D445" s="15"/>
      <c r="E445" s="15"/>
      <c r="F445" s="15"/>
      <c r="G445" s="12"/>
      <c r="H445" s="12"/>
      <c r="I445" s="12"/>
      <c r="J445" s="12"/>
      <c r="K445" s="12"/>
      <c r="L445" s="17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2"/>
      <c r="BK445" s="12"/>
      <c r="BL445" s="31"/>
    </row>
    <row r="446">
      <c r="A446" s="21" t="str">
        <f t="shared" si="2"/>
        <v/>
      </c>
      <c r="B446" s="24"/>
      <c r="C446" s="21"/>
      <c r="D446" s="24"/>
      <c r="E446" s="24"/>
      <c r="F446" s="24"/>
      <c r="G446" s="21"/>
      <c r="H446" s="21"/>
      <c r="I446" s="21"/>
      <c r="J446" s="21"/>
      <c r="K446" s="21"/>
      <c r="L446" s="26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1"/>
      <c r="BK446" s="21"/>
      <c r="BL446" s="30"/>
    </row>
    <row r="447">
      <c r="A447" s="12" t="str">
        <f t="shared" si="2"/>
        <v/>
      </c>
      <c r="B447" s="15"/>
      <c r="C447" s="12"/>
      <c r="D447" s="15"/>
      <c r="E447" s="15"/>
      <c r="F447" s="15"/>
      <c r="G447" s="12"/>
      <c r="H447" s="12"/>
      <c r="I447" s="12"/>
      <c r="J447" s="12"/>
      <c r="K447" s="12"/>
      <c r="L447" s="17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2"/>
      <c r="BK447" s="12"/>
      <c r="BL447" s="31"/>
    </row>
    <row r="448">
      <c r="A448" s="21" t="str">
        <f t="shared" si="2"/>
        <v/>
      </c>
      <c r="B448" s="24"/>
      <c r="C448" s="21"/>
      <c r="D448" s="24"/>
      <c r="E448" s="24"/>
      <c r="F448" s="24"/>
      <c r="G448" s="21"/>
      <c r="H448" s="21"/>
      <c r="I448" s="21"/>
      <c r="J448" s="21"/>
      <c r="K448" s="21"/>
      <c r="L448" s="26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4"/>
      <c r="BC448" s="24"/>
      <c r="BD448" s="24"/>
      <c r="BE448" s="24"/>
      <c r="BF448" s="24"/>
      <c r="BG448" s="24"/>
      <c r="BH448" s="24"/>
      <c r="BI448" s="24"/>
      <c r="BJ448" s="21"/>
      <c r="BK448" s="21"/>
      <c r="BL448" s="30"/>
    </row>
    <row r="449">
      <c r="A449" s="12" t="str">
        <f t="shared" si="2"/>
        <v/>
      </c>
      <c r="B449" s="15"/>
      <c r="C449" s="12"/>
      <c r="D449" s="15"/>
      <c r="E449" s="15"/>
      <c r="F449" s="15"/>
      <c r="G449" s="12"/>
      <c r="H449" s="12"/>
      <c r="I449" s="12"/>
      <c r="J449" s="12"/>
      <c r="K449" s="12"/>
      <c r="L449" s="17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2"/>
      <c r="BK449" s="12"/>
      <c r="BL449" s="31"/>
    </row>
    <row r="450">
      <c r="A450" s="21" t="str">
        <f t="shared" si="2"/>
        <v/>
      </c>
      <c r="B450" s="24"/>
      <c r="C450" s="21"/>
      <c r="D450" s="24"/>
      <c r="E450" s="24"/>
      <c r="F450" s="24"/>
      <c r="G450" s="21"/>
      <c r="H450" s="21"/>
      <c r="I450" s="21"/>
      <c r="J450" s="21"/>
      <c r="K450" s="21"/>
      <c r="L450" s="26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4"/>
      <c r="BC450" s="24"/>
      <c r="BD450" s="24"/>
      <c r="BE450" s="24"/>
      <c r="BF450" s="24"/>
      <c r="BG450" s="24"/>
      <c r="BH450" s="24"/>
      <c r="BI450" s="24"/>
      <c r="BJ450" s="21"/>
      <c r="BK450" s="21"/>
      <c r="BL450" s="30"/>
    </row>
    <row r="451">
      <c r="A451" s="4" t="str">
        <f t="shared" si="2"/>
        <v/>
      </c>
      <c r="C451" s="4"/>
      <c r="G451" s="4"/>
      <c r="H451" s="4"/>
      <c r="I451" s="4"/>
      <c r="J451" s="4"/>
      <c r="K451" s="4"/>
      <c r="L451" s="5"/>
      <c r="BJ451" s="4"/>
      <c r="BK451" s="4"/>
      <c r="BL451" s="7"/>
    </row>
    <row r="452">
      <c r="A452" s="4" t="str">
        <f t="shared" si="2"/>
        <v/>
      </c>
      <c r="C452" s="4"/>
      <c r="G452" s="4"/>
      <c r="H452" s="4"/>
      <c r="I452" s="4"/>
      <c r="J452" s="4"/>
      <c r="K452" s="4"/>
      <c r="L452" s="5"/>
      <c r="BJ452" s="4"/>
      <c r="BK452" s="4"/>
      <c r="BL452" s="7"/>
    </row>
    <row r="453">
      <c r="A453" s="4" t="str">
        <f t="shared" si="2"/>
        <v/>
      </c>
      <c r="C453" s="4"/>
      <c r="G453" s="4"/>
      <c r="H453" s="4"/>
      <c r="I453" s="4"/>
      <c r="J453" s="4"/>
      <c r="K453" s="4"/>
      <c r="L453" s="5"/>
      <c r="BJ453" s="4"/>
      <c r="BK453" s="4"/>
      <c r="BL453" s="7"/>
    </row>
    <row r="454">
      <c r="A454" s="4" t="str">
        <f t="shared" si="2"/>
        <v/>
      </c>
      <c r="C454" s="4"/>
      <c r="G454" s="4"/>
      <c r="H454" s="4"/>
      <c r="I454" s="4"/>
      <c r="J454" s="4"/>
      <c r="K454" s="4"/>
      <c r="L454" s="5"/>
      <c r="BJ454" s="4"/>
      <c r="BK454" s="4"/>
      <c r="BL454" s="7"/>
    </row>
    <row r="455">
      <c r="A455" s="4" t="str">
        <f t="shared" si="2"/>
        <v/>
      </c>
      <c r="C455" s="4"/>
      <c r="G455" s="4"/>
      <c r="H455" s="4"/>
      <c r="I455" s="4"/>
      <c r="J455" s="4"/>
      <c r="K455" s="4"/>
      <c r="L455" s="5"/>
      <c r="BJ455" s="4"/>
      <c r="BK455" s="4"/>
      <c r="BL455" s="7"/>
    </row>
    <row r="456">
      <c r="A456" s="4" t="str">
        <f t="shared" si="2"/>
        <v/>
      </c>
      <c r="C456" s="4"/>
      <c r="G456" s="4"/>
      <c r="H456" s="4"/>
      <c r="I456" s="4"/>
      <c r="J456" s="4"/>
      <c r="K456" s="4"/>
      <c r="L456" s="5"/>
      <c r="BJ456" s="4"/>
      <c r="BK456" s="4"/>
      <c r="BL456" s="7"/>
    </row>
    <row r="457">
      <c r="A457" s="4" t="str">
        <f t="shared" si="2"/>
        <v/>
      </c>
      <c r="C457" s="4"/>
      <c r="G457" s="4"/>
      <c r="H457" s="4"/>
      <c r="I457" s="4"/>
      <c r="J457" s="4"/>
      <c r="K457" s="4"/>
      <c r="L457" s="5"/>
      <c r="BJ457" s="4"/>
      <c r="BK457" s="4"/>
      <c r="BL457" s="7"/>
    </row>
    <row r="458">
      <c r="A458" s="4" t="str">
        <f t="shared" si="2"/>
        <v/>
      </c>
      <c r="C458" s="4"/>
      <c r="G458" s="4"/>
      <c r="H458" s="4"/>
      <c r="I458" s="4"/>
      <c r="J458" s="4"/>
      <c r="K458" s="4"/>
      <c r="L458" s="5"/>
      <c r="BJ458" s="4"/>
      <c r="BK458" s="4"/>
      <c r="BL458" s="7"/>
    </row>
    <row r="459">
      <c r="A459" s="4" t="str">
        <f t="shared" si="2"/>
        <v/>
      </c>
      <c r="C459" s="4"/>
      <c r="G459" s="4"/>
      <c r="H459" s="4"/>
      <c r="I459" s="4"/>
      <c r="J459" s="4"/>
      <c r="K459" s="4"/>
      <c r="L459" s="5"/>
      <c r="BJ459" s="4"/>
      <c r="BK459" s="4"/>
      <c r="BL459" s="7"/>
    </row>
    <row r="460">
      <c r="A460" s="4" t="str">
        <f t="shared" si="2"/>
        <v/>
      </c>
      <c r="C460" s="4"/>
      <c r="G460" s="4"/>
      <c r="H460" s="4"/>
      <c r="I460" s="4"/>
      <c r="J460" s="4"/>
      <c r="K460" s="4"/>
      <c r="L460" s="5"/>
      <c r="BJ460" s="4"/>
      <c r="BK460" s="4"/>
      <c r="BL460" s="7"/>
    </row>
    <row r="461">
      <c r="A461" s="4" t="str">
        <f t="shared" si="2"/>
        <v/>
      </c>
      <c r="C461" s="4"/>
      <c r="G461" s="4"/>
      <c r="H461" s="4"/>
      <c r="I461" s="4"/>
      <c r="J461" s="4"/>
      <c r="K461" s="4"/>
      <c r="L461" s="5"/>
      <c r="BJ461" s="4"/>
      <c r="BK461" s="4"/>
      <c r="BL461" s="7"/>
    </row>
    <row r="462">
      <c r="A462" s="4" t="str">
        <f t="shared" si="2"/>
        <v/>
      </c>
      <c r="C462" s="4"/>
      <c r="G462" s="4"/>
      <c r="H462" s="4"/>
      <c r="I462" s="4"/>
      <c r="J462" s="4"/>
      <c r="K462" s="4"/>
      <c r="L462" s="5"/>
      <c r="BJ462" s="4"/>
      <c r="BK462" s="4"/>
      <c r="BL462" s="7"/>
    </row>
    <row r="463">
      <c r="A463" s="4" t="str">
        <f t="shared" si="2"/>
        <v/>
      </c>
      <c r="C463" s="4"/>
      <c r="G463" s="4"/>
      <c r="H463" s="4"/>
      <c r="I463" s="4"/>
      <c r="J463" s="4"/>
      <c r="K463" s="4"/>
      <c r="L463" s="5"/>
      <c r="BJ463" s="4"/>
      <c r="BK463" s="4"/>
      <c r="BL463" s="7"/>
    </row>
    <row r="464">
      <c r="A464" s="4" t="str">
        <f t="shared" si="2"/>
        <v/>
      </c>
      <c r="C464" s="4"/>
      <c r="G464" s="4"/>
      <c r="H464" s="4"/>
      <c r="I464" s="4"/>
      <c r="J464" s="4"/>
      <c r="K464" s="4"/>
      <c r="L464" s="5"/>
      <c r="BJ464" s="4"/>
      <c r="BK464" s="4"/>
      <c r="BL464" s="7"/>
    </row>
    <row r="465">
      <c r="A465" s="4" t="str">
        <f t="shared" si="2"/>
        <v/>
      </c>
      <c r="C465" s="4"/>
      <c r="G465" s="4"/>
      <c r="H465" s="4"/>
      <c r="I465" s="4"/>
      <c r="J465" s="4"/>
      <c r="K465" s="4"/>
      <c r="L465" s="5"/>
      <c r="BJ465" s="4"/>
      <c r="BK465" s="4"/>
      <c r="BL465" s="7"/>
    </row>
    <row r="466">
      <c r="A466" s="4" t="str">
        <f t="shared" si="2"/>
        <v/>
      </c>
      <c r="C466" s="4"/>
      <c r="G466" s="4"/>
      <c r="H466" s="4"/>
      <c r="I466" s="4"/>
      <c r="J466" s="4"/>
      <c r="K466" s="4"/>
      <c r="L466" s="5"/>
      <c r="BJ466" s="4"/>
      <c r="BK466" s="4"/>
      <c r="BL466" s="7"/>
    </row>
    <row r="467">
      <c r="A467" s="4" t="str">
        <f t="shared" si="2"/>
        <v/>
      </c>
      <c r="C467" s="4"/>
      <c r="G467" s="4"/>
      <c r="H467" s="4"/>
      <c r="I467" s="4"/>
      <c r="J467" s="4"/>
      <c r="K467" s="4"/>
      <c r="L467" s="5"/>
      <c r="BJ467" s="4"/>
      <c r="BK467" s="4"/>
      <c r="BL467" s="7"/>
    </row>
    <row r="468">
      <c r="A468" s="4" t="str">
        <f t="shared" si="2"/>
        <v/>
      </c>
      <c r="C468" s="4"/>
      <c r="G468" s="4"/>
      <c r="H468" s="4"/>
      <c r="I468" s="4"/>
      <c r="J468" s="4"/>
      <c r="K468" s="4"/>
      <c r="L468" s="5"/>
      <c r="BJ468" s="4"/>
      <c r="BK468" s="4"/>
      <c r="BL468" s="7"/>
    </row>
    <row r="469">
      <c r="A469" s="4" t="str">
        <f t="shared" si="2"/>
        <v/>
      </c>
      <c r="C469" s="4"/>
      <c r="G469" s="4"/>
      <c r="H469" s="4"/>
      <c r="I469" s="4"/>
      <c r="J469" s="4"/>
      <c r="K469" s="4"/>
      <c r="L469" s="5"/>
      <c r="BJ469" s="4"/>
      <c r="BK469" s="4"/>
      <c r="BL469" s="7"/>
    </row>
    <row r="470">
      <c r="A470" s="4" t="str">
        <f t="shared" si="2"/>
        <v/>
      </c>
      <c r="C470" s="4"/>
      <c r="G470" s="4"/>
      <c r="H470" s="4"/>
      <c r="I470" s="4"/>
      <c r="J470" s="4"/>
      <c r="K470" s="4"/>
      <c r="L470" s="5"/>
      <c r="BJ470" s="4"/>
      <c r="BK470" s="4"/>
      <c r="BL470" s="7"/>
    </row>
    <row r="471">
      <c r="A471" s="4" t="str">
        <f t="shared" si="2"/>
        <v/>
      </c>
      <c r="C471" s="4"/>
      <c r="G471" s="4"/>
      <c r="H471" s="4"/>
      <c r="I471" s="4"/>
      <c r="J471" s="4"/>
      <c r="K471" s="4"/>
      <c r="L471" s="5"/>
      <c r="BJ471" s="4"/>
      <c r="BK471" s="4"/>
      <c r="BL471" s="7"/>
    </row>
    <row r="472">
      <c r="A472" s="4" t="str">
        <f t="shared" si="2"/>
        <v/>
      </c>
      <c r="C472" s="4"/>
      <c r="G472" s="4"/>
      <c r="H472" s="4"/>
      <c r="I472" s="4"/>
      <c r="J472" s="4"/>
      <c r="K472" s="4"/>
      <c r="L472" s="5"/>
      <c r="BJ472" s="4"/>
      <c r="BK472" s="4"/>
      <c r="BL472" s="7"/>
    </row>
    <row r="473">
      <c r="A473" s="4" t="str">
        <f t="shared" si="2"/>
        <v/>
      </c>
      <c r="C473" s="4"/>
      <c r="G473" s="4"/>
      <c r="H473" s="4"/>
      <c r="I473" s="4"/>
      <c r="J473" s="4"/>
      <c r="K473" s="4"/>
      <c r="L473" s="5"/>
      <c r="BJ473" s="4"/>
      <c r="BK473" s="4"/>
      <c r="BL473" s="7"/>
    </row>
    <row r="474">
      <c r="A474" s="4" t="str">
        <f t="shared" si="2"/>
        <v/>
      </c>
      <c r="C474" s="4"/>
      <c r="G474" s="4"/>
      <c r="H474" s="4"/>
      <c r="I474" s="4"/>
      <c r="J474" s="4"/>
      <c r="K474" s="4"/>
      <c r="L474" s="5"/>
      <c r="BJ474" s="4"/>
      <c r="BK474" s="4"/>
      <c r="BL474" s="7"/>
    </row>
    <row r="475">
      <c r="A475" s="4" t="str">
        <f t="shared" si="2"/>
        <v/>
      </c>
      <c r="C475" s="4"/>
      <c r="G475" s="4"/>
      <c r="H475" s="4"/>
      <c r="I475" s="4"/>
      <c r="J475" s="4"/>
      <c r="K475" s="4"/>
      <c r="L475" s="5"/>
      <c r="BJ475" s="4"/>
      <c r="BK475" s="4"/>
      <c r="BL475" s="7"/>
    </row>
    <row r="476">
      <c r="A476" s="4" t="str">
        <f t="shared" si="2"/>
        <v/>
      </c>
      <c r="C476" s="4"/>
      <c r="G476" s="4"/>
      <c r="H476" s="4"/>
      <c r="I476" s="4"/>
      <c r="J476" s="4"/>
      <c r="K476" s="4"/>
      <c r="L476" s="5"/>
      <c r="BJ476" s="4"/>
      <c r="BK476" s="4"/>
      <c r="BL476" s="7"/>
    </row>
    <row r="477">
      <c r="A477" s="4" t="str">
        <f t="shared" si="2"/>
        <v/>
      </c>
      <c r="C477" s="4"/>
      <c r="G477" s="4"/>
      <c r="H477" s="4"/>
      <c r="I477" s="4"/>
      <c r="J477" s="4"/>
      <c r="K477" s="4"/>
      <c r="L477" s="5"/>
      <c r="BJ477" s="4"/>
      <c r="BK477" s="4"/>
      <c r="BL477" s="7"/>
    </row>
    <row r="478">
      <c r="A478" s="4" t="str">
        <f t="shared" si="2"/>
        <v/>
      </c>
      <c r="C478" s="4"/>
      <c r="G478" s="4"/>
      <c r="H478" s="4"/>
      <c r="I478" s="4"/>
      <c r="J478" s="4"/>
      <c r="K478" s="4"/>
      <c r="L478" s="5"/>
      <c r="BJ478" s="4"/>
      <c r="BK478" s="4"/>
      <c r="BL478" s="7"/>
    </row>
    <row r="479">
      <c r="A479" s="4" t="str">
        <f t="shared" si="2"/>
        <v/>
      </c>
      <c r="C479" s="4"/>
      <c r="G479" s="4"/>
      <c r="H479" s="4"/>
      <c r="I479" s="4"/>
      <c r="J479" s="4"/>
      <c r="K479" s="4"/>
      <c r="L479" s="5"/>
      <c r="BJ479" s="4"/>
      <c r="BK479" s="4"/>
      <c r="BL479" s="7"/>
    </row>
    <row r="480">
      <c r="A480" s="4" t="str">
        <f t="shared" si="2"/>
        <v/>
      </c>
      <c r="C480" s="4"/>
      <c r="G480" s="4"/>
      <c r="H480" s="4"/>
      <c r="I480" s="4"/>
      <c r="J480" s="4"/>
      <c r="K480" s="4"/>
      <c r="L480" s="5"/>
      <c r="BJ480" s="4"/>
      <c r="BK480" s="4"/>
      <c r="BL480" s="7"/>
    </row>
    <row r="481">
      <c r="A481" s="4" t="str">
        <f t="shared" si="2"/>
        <v/>
      </c>
      <c r="C481" s="4"/>
      <c r="G481" s="4"/>
      <c r="H481" s="4"/>
      <c r="I481" s="4"/>
      <c r="J481" s="4"/>
      <c r="K481" s="4"/>
      <c r="L481" s="5"/>
      <c r="BJ481" s="4"/>
      <c r="BK481" s="4"/>
      <c r="BL481" s="7"/>
    </row>
    <row r="482">
      <c r="A482" s="4" t="str">
        <f t="shared" si="2"/>
        <v/>
      </c>
      <c r="C482" s="4"/>
      <c r="G482" s="4"/>
      <c r="H482" s="4"/>
      <c r="I482" s="4"/>
      <c r="J482" s="4"/>
      <c r="K482" s="4"/>
      <c r="L482" s="5"/>
      <c r="BJ482" s="4"/>
      <c r="BK482" s="4"/>
      <c r="BL482" s="7"/>
    </row>
    <row r="483">
      <c r="A483" s="4" t="str">
        <f t="shared" si="2"/>
        <v/>
      </c>
      <c r="C483" s="4"/>
      <c r="G483" s="4"/>
      <c r="H483" s="4"/>
      <c r="I483" s="4"/>
      <c r="J483" s="4"/>
      <c r="K483" s="4"/>
      <c r="L483" s="5"/>
      <c r="BJ483" s="4"/>
      <c r="BK483" s="4"/>
      <c r="BL483" s="7"/>
    </row>
    <row r="484">
      <c r="A484" s="4" t="str">
        <f t="shared" si="2"/>
        <v/>
      </c>
      <c r="C484" s="4"/>
      <c r="G484" s="4"/>
      <c r="H484" s="4"/>
      <c r="I484" s="4"/>
      <c r="J484" s="4"/>
      <c r="K484" s="4"/>
      <c r="L484" s="5"/>
      <c r="BJ484" s="4"/>
      <c r="BK484" s="4"/>
      <c r="BL484" s="7"/>
    </row>
    <row r="485">
      <c r="A485" s="4" t="str">
        <f t="shared" si="2"/>
        <v/>
      </c>
      <c r="C485" s="4"/>
      <c r="G485" s="4"/>
      <c r="H485" s="4"/>
      <c r="I485" s="4"/>
      <c r="J485" s="4"/>
      <c r="K485" s="4"/>
      <c r="L485" s="5"/>
      <c r="BJ485" s="4"/>
      <c r="BK485" s="4"/>
      <c r="BL485" s="7"/>
    </row>
    <row r="486">
      <c r="A486" s="4" t="str">
        <f t="shared" si="2"/>
        <v/>
      </c>
      <c r="C486" s="4"/>
      <c r="G486" s="4"/>
      <c r="H486" s="4"/>
      <c r="I486" s="4"/>
      <c r="J486" s="4"/>
      <c r="K486" s="4"/>
      <c r="L486" s="5"/>
      <c r="BJ486" s="4"/>
      <c r="BK486" s="4"/>
      <c r="BL486" s="7"/>
    </row>
    <row r="487">
      <c r="A487" s="4" t="str">
        <f t="shared" si="2"/>
        <v/>
      </c>
      <c r="C487" s="4"/>
      <c r="G487" s="4"/>
      <c r="H487" s="4"/>
      <c r="I487" s="4"/>
      <c r="J487" s="4"/>
      <c r="K487" s="4"/>
      <c r="L487" s="5"/>
      <c r="BJ487" s="4"/>
      <c r="BK487" s="4"/>
      <c r="BL487" s="7"/>
    </row>
    <row r="488">
      <c r="A488" s="4" t="str">
        <f t="shared" si="2"/>
        <v/>
      </c>
      <c r="C488" s="4"/>
      <c r="G488" s="4"/>
      <c r="H488" s="4"/>
      <c r="I488" s="4"/>
      <c r="J488" s="4"/>
      <c r="K488" s="4"/>
      <c r="L488" s="5"/>
      <c r="BJ488" s="4"/>
      <c r="BK488" s="4"/>
      <c r="BL488" s="7"/>
    </row>
    <row r="489">
      <c r="A489" s="4" t="str">
        <f t="shared" si="2"/>
        <v/>
      </c>
      <c r="C489" s="4"/>
      <c r="G489" s="4"/>
      <c r="H489" s="4"/>
      <c r="I489" s="4"/>
      <c r="J489" s="4"/>
      <c r="K489" s="4"/>
      <c r="L489" s="5"/>
      <c r="BJ489" s="4"/>
      <c r="BK489" s="4"/>
      <c r="BL489" s="7"/>
    </row>
    <row r="490">
      <c r="A490" s="4" t="str">
        <f t="shared" si="2"/>
        <v/>
      </c>
      <c r="C490" s="4"/>
      <c r="G490" s="4"/>
      <c r="H490" s="4"/>
      <c r="I490" s="4"/>
      <c r="J490" s="4"/>
      <c r="K490" s="4"/>
      <c r="L490" s="5"/>
      <c r="BJ490" s="4"/>
      <c r="BK490" s="4"/>
      <c r="BL490" s="7"/>
    </row>
    <row r="491">
      <c r="A491" s="4" t="str">
        <f t="shared" si="2"/>
        <v/>
      </c>
      <c r="C491" s="4"/>
      <c r="G491" s="4"/>
      <c r="H491" s="4"/>
      <c r="I491" s="4"/>
      <c r="J491" s="4"/>
      <c r="K491" s="4"/>
      <c r="L491" s="5"/>
      <c r="BJ491" s="4"/>
      <c r="BK491" s="4"/>
      <c r="BL491" s="7"/>
    </row>
    <row r="492">
      <c r="A492" s="4" t="str">
        <f t="shared" si="2"/>
        <v/>
      </c>
      <c r="C492" s="4"/>
      <c r="G492" s="4"/>
      <c r="H492" s="4"/>
      <c r="I492" s="4"/>
      <c r="J492" s="4"/>
      <c r="K492" s="4"/>
      <c r="L492" s="5"/>
      <c r="BJ492" s="4"/>
      <c r="BK492" s="4"/>
      <c r="BL492" s="7"/>
    </row>
    <row r="493">
      <c r="A493" s="4" t="str">
        <f t="shared" si="2"/>
        <v/>
      </c>
      <c r="C493" s="4"/>
      <c r="G493" s="4"/>
      <c r="H493" s="4"/>
      <c r="I493" s="4"/>
      <c r="J493" s="4"/>
      <c r="K493" s="4"/>
      <c r="L493" s="5"/>
      <c r="BJ493" s="4"/>
      <c r="BK493" s="4"/>
      <c r="BL493" s="7"/>
    </row>
    <row r="494">
      <c r="A494" s="4" t="str">
        <f t="shared" si="2"/>
        <v/>
      </c>
      <c r="C494" s="4"/>
      <c r="G494" s="4"/>
      <c r="H494" s="4"/>
      <c r="I494" s="4"/>
      <c r="J494" s="4"/>
      <c r="K494" s="4"/>
      <c r="L494" s="5"/>
      <c r="BJ494" s="4"/>
      <c r="BK494" s="4"/>
      <c r="BL494" s="7"/>
    </row>
    <row r="495">
      <c r="A495" s="4" t="str">
        <f t="shared" si="2"/>
        <v/>
      </c>
      <c r="C495" s="4"/>
      <c r="G495" s="4"/>
      <c r="H495" s="4"/>
      <c r="I495" s="4"/>
      <c r="J495" s="4"/>
      <c r="K495" s="4"/>
      <c r="L495" s="5"/>
      <c r="BJ495" s="4"/>
      <c r="BK495" s="4"/>
      <c r="BL495" s="7"/>
    </row>
    <row r="496">
      <c r="A496" s="4" t="str">
        <f t="shared" si="2"/>
        <v/>
      </c>
      <c r="C496" s="4"/>
      <c r="G496" s="4"/>
      <c r="H496" s="4"/>
      <c r="I496" s="4"/>
      <c r="J496" s="4"/>
      <c r="K496" s="4"/>
      <c r="L496" s="5"/>
      <c r="BJ496" s="4"/>
      <c r="BK496" s="4"/>
      <c r="BL496" s="7"/>
    </row>
    <row r="497">
      <c r="A497" s="4" t="str">
        <f t="shared" si="2"/>
        <v/>
      </c>
      <c r="C497" s="4"/>
      <c r="G497" s="4"/>
      <c r="H497" s="4"/>
      <c r="I497" s="4"/>
      <c r="J497" s="4"/>
      <c r="K497" s="4"/>
      <c r="L497" s="5"/>
      <c r="BJ497" s="4"/>
      <c r="BK497" s="4"/>
      <c r="BL497" s="7"/>
    </row>
    <row r="498">
      <c r="A498" s="4" t="str">
        <f t="shared" si="2"/>
        <v/>
      </c>
      <c r="C498" s="4"/>
      <c r="G498" s="4"/>
      <c r="H498" s="4"/>
      <c r="I498" s="4"/>
      <c r="J498" s="4"/>
      <c r="K498" s="4"/>
      <c r="L498" s="5"/>
      <c r="BJ498" s="4"/>
      <c r="BK498" s="4"/>
      <c r="BL498" s="7"/>
    </row>
    <row r="499">
      <c r="A499" s="4" t="str">
        <f t="shared" si="2"/>
        <v/>
      </c>
      <c r="C499" s="4"/>
      <c r="G499" s="4"/>
      <c r="H499" s="4"/>
      <c r="I499" s="4"/>
      <c r="J499" s="4"/>
      <c r="K499" s="4"/>
      <c r="L499" s="5"/>
      <c r="BJ499" s="4"/>
      <c r="BK499" s="4"/>
      <c r="BL499" s="7"/>
    </row>
    <row r="500">
      <c r="A500" s="4" t="str">
        <f t="shared" si="2"/>
        <v/>
      </c>
      <c r="C500" s="4"/>
      <c r="G500" s="4"/>
      <c r="H500" s="4"/>
      <c r="I500" s="4"/>
      <c r="J500" s="4"/>
      <c r="K500" s="4"/>
      <c r="L500" s="5"/>
      <c r="BJ500" s="4"/>
      <c r="BK500" s="4"/>
      <c r="BL500" s="7"/>
    </row>
    <row r="501">
      <c r="A501" s="4" t="str">
        <f t="shared" si="2"/>
        <v/>
      </c>
      <c r="C501" s="4"/>
      <c r="G501" s="4"/>
      <c r="H501" s="4"/>
      <c r="I501" s="4"/>
      <c r="J501" s="4"/>
      <c r="K501" s="4"/>
      <c r="L501" s="5"/>
      <c r="BJ501" s="4"/>
      <c r="BK501" s="4"/>
      <c r="BL501" s="7"/>
    </row>
    <row r="502">
      <c r="A502" s="4" t="str">
        <f t="shared" si="2"/>
        <v/>
      </c>
      <c r="C502" s="4"/>
      <c r="G502" s="4"/>
      <c r="H502" s="4"/>
      <c r="I502" s="4"/>
      <c r="J502" s="4"/>
      <c r="K502" s="4"/>
      <c r="L502" s="5"/>
      <c r="BJ502" s="4"/>
      <c r="BK502" s="4"/>
      <c r="BL502" s="7"/>
    </row>
    <row r="503">
      <c r="A503" s="4" t="str">
        <f t="shared" si="2"/>
        <v/>
      </c>
      <c r="C503" s="4"/>
      <c r="G503" s="4"/>
      <c r="H503" s="4"/>
      <c r="I503" s="4"/>
      <c r="J503" s="4"/>
      <c r="K503" s="4"/>
      <c r="L503" s="5"/>
      <c r="BJ503" s="4"/>
      <c r="BK503" s="4"/>
      <c r="BL503" s="7"/>
    </row>
    <row r="504">
      <c r="A504" s="4" t="str">
        <f t="shared" si="2"/>
        <v/>
      </c>
      <c r="C504" s="4"/>
      <c r="G504" s="4"/>
      <c r="H504" s="4"/>
      <c r="I504" s="4"/>
      <c r="J504" s="4"/>
      <c r="K504" s="4"/>
      <c r="L504" s="5"/>
      <c r="BJ504" s="4"/>
      <c r="BK504" s="4"/>
      <c r="BL504" s="7"/>
    </row>
    <row r="505">
      <c r="A505" s="4" t="str">
        <f t="shared" si="2"/>
        <v/>
      </c>
      <c r="C505" s="4"/>
      <c r="G505" s="4"/>
      <c r="H505" s="4"/>
      <c r="I505" s="4"/>
      <c r="J505" s="4"/>
      <c r="K505" s="4"/>
      <c r="L505" s="5"/>
      <c r="BJ505" s="4"/>
      <c r="BK505" s="4"/>
      <c r="BL505" s="7"/>
    </row>
    <row r="506">
      <c r="A506" s="4" t="str">
        <f t="shared" si="2"/>
        <v/>
      </c>
      <c r="C506" s="4"/>
      <c r="G506" s="4"/>
      <c r="H506" s="4"/>
      <c r="I506" s="4"/>
      <c r="J506" s="4"/>
      <c r="K506" s="4"/>
      <c r="L506" s="5"/>
      <c r="BJ506" s="4"/>
      <c r="BK506" s="4"/>
      <c r="BL506" s="7"/>
    </row>
    <row r="507">
      <c r="A507" s="4" t="str">
        <f t="shared" si="2"/>
        <v/>
      </c>
      <c r="C507" s="4"/>
      <c r="G507" s="4"/>
      <c r="H507" s="4"/>
      <c r="I507" s="4"/>
      <c r="J507" s="4"/>
      <c r="K507" s="4"/>
      <c r="L507" s="5"/>
      <c r="BJ507" s="4"/>
      <c r="BK507" s="4"/>
      <c r="BL507" s="7"/>
    </row>
    <row r="508">
      <c r="A508" s="4" t="str">
        <f t="shared" si="2"/>
        <v/>
      </c>
      <c r="C508" s="4"/>
      <c r="G508" s="4"/>
      <c r="H508" s="4"/>
      <c r="I508" s="4"/>
      <c r="J508" s="4"/>
      <c r="K508" s="4"/>
      <c r="L508" s="5"/>
      <c r="BJ508" s="4"/>
      <c r="BK508" s="4"/>
      <c r="BL508" s="7"/>
    </row>
    <row r="509">
      <c r="A509" s="4" t="str">
        <f t="shared" si="2"/>
        <v/>
      </c>
      <c r="C509" s="4"/>
      <c r="G509" s="4"/>
      <c r="H509" s="4"/>
      <c r="I509" s="4"/>
      <c r="J509" s="4"/>
      <c r="K509" s="4"/>
      <c r="L509" s="5"/>
      <c r="BJ509" s="4"/>
      <c r="BK509" s="4"/>
      <c r="BL509" s="7"/>
    </row>
    <row r="510">
      <c r="A510" s="4" t="str">
        <f t="shared" si="2"/>
        <v/>
      </c>
      <c r="C510" s="4"/>
      <c r="G510" s="4"/>
      <c r="H510" s="4"/>
      <c r="I510" s="4"/>
      <c r="J510" s="4"/>
      <c r="K510" s="4"/>
      <c r="L510" s="5"/>
      <c r="BJ510" s="4"/>
      <c r="BK510" s="4"/>
      <c r="BL510" s="7"/>
    </row>
    <row r="511">
      <c r="A511" s="4" t="str">
        <f t="shared" si="2"/>
        <v/>
      </c>
      <c r="C511" s="4"/>
      <c r="G511" s="4"/>
      <c r="H511" s="4"/>
      <c r="I511" s="4"/>
      <c r="J511" s="4"/>
      <c r="K511" s="4"/>
      <c r="L511" s="5"/>
      <c r="BJ511" s="4"/>
      <c r="BK511" s="4"/>
      <c r="BL511" s="7"/>
    </row>
    <row r="512">
      <c r="A512" s="4" t="str">
        <f t="shared" si="2"/>
        <v/>
      </c>
      <c r="C512" s="4"/>
      <c r="G512" s="4"/>
      <c r="H512" s="4"/>
      <c r="I512" s="4"/>
      <c r="J512" s="4"/>
      <c r="K512" s="4"/>
      <c r="L512" s="5"/>
      <c r="BJ512" s="4"/>
      <c r="BK512" s="4"/>
      <c r="BL512" s="7"/>
    </row>
    <row r="513">
      <c r="A513" s="4" t="str">
        <f t="shared" si="2"/>
        <v/>
      </c>
      <c r="C513" s="4"/>
      <c r="G513" s="4"/>
      <c r="H513" s="4"/>
      <c r="I513" s="4"/>
      <c r="J513" s="4"/>
      <c r="K513" s="4"/>
      <c r="L513" s="5"/>
      <c r="BJ513" s="4"/>
      <c r="BK513" s="4"/>
      <c r="BL513" s="7"/>
    </row>
    <row r="514">
      <c r="A514" s="4" t="str">
        <f t="shared" si="2"/>
        <v/>
      </c>
      <c r="C514" s="4"/>
      <c r="G514" s="4"/>
      <c r="H514" s="4"/>
      <c r="I514" s="4"/>
      <c r="J514" s="4"/>
      <c r="K514" s="4"/>
      <c r="L514" s="5"/>
      <c r="BJ514" s="4"/>
      <c r="BK514" s="4"/>
      <c r="BL514" s="7"/>
    </row>
    <row r="515">
      <c r="A515" s="4" t="str">
        <f t="shared" si="2"/>
        <v/>
      </c>
      <c r="C515" s="4"/>
      <c r="G515" s="4"/>
      <c r="H515" s="4"/>
      <c r="I515" s="4"/>
      <c r="J515" s="4"/>
      <c r="K515" s="4"/>
      <c r="L515" s="5"/>
      <c r="BJ515" s="4"/>
      <c r="BK515" s="4"/>
      <c r="BL515" s="7"/>
    </row>
    <row r="516">
      <c r="A516" s="4" t="str">
        <f t="shared" si="2"/>
        <v/>
      </c>
      <c r="C516" s="4"/>
      <c r="G516" s="4"/>
      <c r="H516" s="4"/>
      <c r="I516" s="4"/>
      <c r="J516" s="4"/>
      <c r="K516" s="4"/>
      <c r="L516" s="5"/>
      <c r="BJ516" s="4"/>
      <c r="BK516" s="4"/>
      <c r="BL516" s="7"/>
    </row>
    <row r="517">
      <c r="A517" s="4" t="str">
        <f t="shared" si="2"/>
        <v/>
      </c>
      <c r="C517" s="4"/>
      <c r="G517" s="4"/>
      <c r="H517" s="4"/>
      <c r="I517" s="4"/>
      <c r="J517" s="4"/>
      <c r="K517" s="4"/>
      <c r="L517" s="5"/>
      <c r="BJ517" s="4"/>
      <c r="BK517" s="4"/>
      <c r="BL517" s="7"/>
    </row>
    <row r="518">
      <c r="A518" s="4" t="str">
        <f t="shared" si="2"/>
        <v/>
      </c>
      <c r="C518" s="4"/>
      <c r="G518" s="4"/>
      <c r="H518" s="4"/>
      <c r="I518" s="4"/>
      <c r="J518" s="4"/>
      <c r="K518" s="4"/>
      <c r="L518" s="5"/>
      <c r="BJ518" s="4"/>
      <c r="BK518" s="4"/>
      <c r="BL518" s="7"/>
    </row>
    <row r="519">
      <c r="A519" s="4" t="str">
        <f t="shared" si="2"/>
        <v/>
      </c>
      <c r="C519" s="4"/>
      <c r="G519" s="4"/>
      <c r="H519" s="4"/>
      <c r="I519" s="4"/>
      <c r="J519" s="4"/>
      <c r="K519" s="4"/>
      <c r="L519" s="5"/>
      <c r="BJ519" s="4"/>
      <c r="BK519" s="4"/>
      <c r="BL519" s="7"/>
    </row>
    <row r="520">
      <c r="A520" s="4" t="str">
        <f t="shared" si="2"/>
        <v/>
      </c>
      <c r="C520" s="4"/>
      <c r="G520" s="4"/>
      <c r="H520" s="4"/>
      <c r="I520" s="4"/>
      <c r="J520" s="4"/>
      <c r="K520" s="4"/>
      <c r="L520" s="5"/>
      <c r="BJ520" s="4"/>
      <c r="BK520" s="4"/>
      <c r="BL520" s="7"/>
    </row>
    <row r="521">
      <c r="A521" s="4" t="str">
        <f t="shared" si="2"/>
        <v/>
      </c>
      <c r="C521" s="4"/>
      <c r="G521" s="4"/>
      <c r="H521" s="4"/>
      <c r="I521" s="4"/>
      <c r="J521" s="4"/>
      <c r="K521" s="4"/>
      <c r="L521" s="5"/>
      <c r="BJ521" s="4"/>
      <c r="BK521" s="4"/>
      <c r="BL521" s="7"/>
    </row>
    <row r="522">
      <c r="A522" s="4" t="str">
        <f t="shared" si="2"/>
        <v/>
      </c>
      <c r="C522" s="4"/>
      <c r="G522" s="4"/>
      <c r="H522" s="4"/>
      <c r="I522" s="4"/>
      <c r="J522" s="4"/>
      <c r="K522" s="4"/>
      <c r="L522" s="5"/>
      <c r="BJ522" s="4"/>
      <c r="BK522" s="4"/>
      <c r="BL522" s="7"/>
    </row>
    <row r="523">
      <c r="A523" s="4" t="str">
        <f t="shared" si="2"/>
        <v/>
      </c>
      <c r="C523" s="4"/>
      <c r="G523" s="4"/>
      <c r="H523" s="4"/>
      <c r="I523" s="4"/>
      <c r="J523" s="4"/>
      <c r="K523" s="4"/>
      <c r="L523" s="5"/>
      <c r="BJ523" s="4"/>
      <c r="BK523" s="4"/>
      <c r="BL523" s="7"/>
    </row>
    <row r="524">
      <c r="A524" s="4" t="str">
        <f t="shared" si="2"/>
        <v/>
      </c>
      <c r="C524" s="4"/>
      <c r="G524" s="4"/>
      <c r="H524" s="4"/>
      <c r="I524" s="4"/>
      <c r="J524" s="4"/>
      <c r="K524" s="4"/>
      <c r="L524" s="5"/>
      <c r="BJ524" s="4"/>
      <c r="BK524" s="4"/>
      <c r="BL524" s="7"/>
    </row>
    <row r="525">
      <c r="A525" s="4" t="str">
        <f t="shared" si="2"/>
        <v/>
      </c>
      <c r="C525" s="4"/>
      <c r="G525" s="4"/>
      <c r="H525" s="4"/>
      <c r="I525" s="4"/>
      <c r="J525" s="4"/>
      <c r="K525" s="4"/>
      <c r="L525" s="5"/>
      <c r="BJ525" s="4"/>
      <c r="BK525" s="4"/>
      <c r="BL525" s="7"/>
    </row>
    <row r="526">
      <c r="A526" s="4" t="str">
        <f t="shared" si="2"/>
        <v/>
      </c>
      <c r="C526" s="4"/>
      <c r="G526" s="4"/>
      <c r="H526" s="4"/>
      <c r="I526" s="4"/>
      <c r="J526" s="4"/>
      <c r="K526" s="4"/>
      <c r="L526" s="5"/>
      <c r="BJ526" s="4"/>
      <c r="BK526" s="4"/>
      <c r="BL526" s="7"/>
    </row>
    <row r="527">
      <c r="A527" s="4" t="str">
        <f t="shared" si="2"/>
        <v/>
      </c>
      <c r="C527" s="4"/>
      <c r="G527" s="4"/>
      <c r="H527" s="4"/>
      <c r="I527" s="4"/>
      <c r="J527" s="4"/>
      <c r="K527" s="4"/>
      <c r="L527" s="5"/>
      <c r="BJ527" s="4"/>
      <c r="BK527" s="4"/>
      <c r="BL527" s="7"/>
    </row>
    <row r="528">
      <c r="A528" s="4" t="str">
        <f t="shared" si="2"/>
        <v/>
      </c>
      <c r="C528" s="4"/>
      <c r="G528" s="4"/>
      <c r="H528" s="4"/>
      <c r="I528" s="4"/>
      <c r="J528" s="4"/>
      <c r="K528" s="4"/>
      <c r="L528" s="5"/>
      <c r="BJ528" s="4"/>
      <c r="BK528" s="4"/>
      <c r="BL528" s="7"/>
    </row>
    <row r="529">
      <c r="A529" s="4" t="str">
        <f t="shared" si="2"/>
        <v/>
      </c>
      <c r="C529" s="4"/>
      <c r="G529" s="4"/>
      <c r="H529" s="4"/>
      <c r="I529" s="4"/>
      <c r="J529" s="4"/>
      <c r="K529" s="4"/>
      <c r="L529" s="5"/>
      <c r="BJ529" s="4"/>
      <c r="BK529" s="4"/>
      <c r="BL529" s="7"/>
    </row>
    <row r="530">
      <c r="A530" s="4" t="str">
        <f t="shared" si="2"/>
        <v/>
      </c>
      <c r="C530" s="4"/>
      <c r="G530" s="4"/>
      <c r="H530" s="4"/>
      <c r="I530" s="4"/>
      <c r="J530" s="4"/>
      <c r="K530" s="4"/>
      <c r="L530" s="5"/>
      <c r="BJ530" s="4"/>
      <c r="BK530" s="4"/>
      <c r="BL530" s="7"/>
    </row>
    <row r="531">
      <c r="A531" s="4" t="str">
        <f t="shared" si="2"/>
        <v/>
      </c>
      <c r="C531" s="4"/>
      <c r="G531" s="4"/>
      <c r="H531" s="4"/>
      <c r="I531" s="4"/>
      <c r="J531" s="4"/>
      <c r="K531" s="4"/>
      <c r="L531" s="5"/>
      <c r="BJ531" s="4"/>
      <c r="BK531" s="4"/>
      <c r="BL531" s="7"/>
    </row>
    <row r="532">
      <c r="A532" s="4" t="str">
        <f t="shared" si="2"/>
        <v/>
      </c>
      <c r="C532" s="4"/>
      <c r="G532" s="4"/>
      <c r="H532" s="4"/>
      <c r="I532" s="4"/>
      <c r="J532" s="4"/>
      <c r="K532" s="4"/>
      <c r="L532" s="5"/>
      <c r="BJ532" s="4"/>
      <c r="BK532" s="4"/>
      <c r="BL532" s="7"/>
    </row>
    <row r="533">
      <c r="A533" s="4" t="str">
        <f t="shared" si="2"/>
        <v/>
      </c>
      <c r="C533" s="4"/>
      <c r="G533" s="4"/>
      <c r="H533" s="4"/>
      <c r="I533" s="4"/>
      <c r="J533" s="4"/>
      <c r="K533" s="4"/>
      <c r="L533" s="5"/>
      <c r="BJ533" s="4"/>
      <c r="BK533" s="4"/>
      <c r="BL533" s="7"/>
    </row>
    <row r="534">
      <c r="A534" s="4" t="str">
        <f t="shared" si="2"/>
        <v/>
      </c>
      <c r="C534" s="4"/>
      <c r="G534" s="4"/>
      <c r="H534" s="4"/>
      <c r="I534" s="4"/>
      <c r="J534" s="4"/>
      <c r="K534" s="4"/>
      <c r="L534" s="5"/>
      <c r="BJ534" s="4"/>
      <c r="BK534" s="4"/>
      <c r="BL534" s="7"/>
    </row>
    <row r="535">
      <c r="A535" s="4" t="str">
        <f t="shared" si="2"/>
        <v/>
      </c>
      <c r="C535" s="4"/>
      <c r="G535" s="4"/>
      <c r="H535" s="4"/>
      <c r="I535" s="4"/>
      <c r="J535" s="4"/>
      <c r="K535" s="4"/>
      <c r="L535" s="5"/>
      <c r="BJ535" s="4"/>
      <c r="BK535" s="4"/>
      <c r="BL535" s="7"/>
    </row>
    <row r="536">
      <c r="A536" s="4" t="str">
        <f t="shared" si="2"/>
        <v/>
      </c>
      <c r="C536" s="4"/>
      <c r="G536" s="4"/>
      <c r="H536" s="4"/>
      <c r="I536" s="4"/>
      <c r="J536" s="4"/>
      <c r="K536" s="4"/>
      <c r="L536" s="5"/>
      <c r="BJ536" s="4"/>
      <c r="BK536" s="4"/>
      <c r="BL536" s="7"/>
    </row>
    <row r="537">
      <c r="A537" s="4" t="str">
        <f t="shared" si="2"/>
        <v/>
      </c>
      <c r="C537" s="4"/>
      <c r="G537" s="4"/>
      <c r="H537" s="4"/>
      <c r="I537" s="4"/>
      <c r="J537" s="4"/>
      <c r="K537" s="4"/>
      <c r="L537" s="5"/>
      <c r="BJ537" s="4"/>
      <c r="BK537" s="4"/>
      <c r="BL537" s="7"/>
    </row>
    <row r="538">
      <c r="A538" s="4" t="str">
        <f t="shared" si="2"/>
        <v/>
      </c>
      <c r="C538" s="4"/>
      <c r="G538" s="4"/>
      <c r="H538" s="4"/>
      <c r="I538" s="4"/>
      <c r="J538" s="4"/>
      <c r="K538" s="4"/>
      <c r="L538" s="5"/>
      <c r="BJ538" s="4"/>
      <c r="BK538" s="4"/>
      <c r="BL538" s="7"/>
    </row>
    <row r="539">
      <c r="A539" s="4" t="str">
        <f t="shared" si="2"/>
        <v/>
      </c>
      <c r="C539" s="4"/>
      <c r="G539" s="4"/>
      <c r="H539" s="4"/>
      <c r="I539" s="4"/>
      <c r="J539" s="4"/>
      <c r="K539" s="4"/>
      <c r="L539" s="5"/>
      <c r="BJ539" s="4"/>
      <c r="BK539" s="4"/>
      <c r="BL539" s="7"/>
    </row>
    <row r="540">
      <c r="A540" s="4" t="str">
        <f t="shared" si="2"/>
        <v/>
      </c>
      <c r="C540" s="4"/>
      <c r="G540" s="4"/>
      <c r="H540" s="4"/>
      <c r="I540" s="4"/>
      <c r="J540" s="4"/>
      <c r="K540" s="4"/>
      <c r="L540" s="5"/>
      <c r="BJ540" s="4"/>
      <c r="BK540" s="4"/>
      <c r="BL540" s="7"/>
    </row>
    <row r="541">
      <c r="A541" s="4" t="str">
        <f t="shared" si="2"/>
        <v/>
      </c>
      <c r="C541" s="4"/>
      <c r="G541" s="4"/>
      <c r="H541" s="4"/>
      <c r="I541" s="4"/>
      <c r="J541" s="4"/>
      <c r="K541" s="4"/>
      <c r="L541" s="5"/>
      <c r="BJ541" s="4"/>
      <c r="BK541" s="4"/>
      <c r="BL541" s="7"/>
    </row>
    <row r="542">
      <c r="A542" s="4" t="str">
        <f t="shared" si="2"/>
        <v/>
      </c>
      <c r="C542" s="4"/>
      <c r="G542" s="4"/>
      <c r="H542" s="4"/>
      <c r="I542" s="4"/>
      <c r="J542" s="4"/>
      <c r="K542" s="4"/>
      <c r="L542" s="5"/>
      <c r="BJ542" s="4"/>
      <c r="BK542" s="4"/>
      <c r="BL542" s="7"/>
    </row>
    <row r="543">
      <c r="A543" s="4" t="str">
        <f t="shared" si="2"/>
        <v/>
      </c>
      <c r="C543" s="4"/>
      <c r="G543" s="4"/>
      <c r="H543" s="4"/>
      <c r="I543" s="4"/>
      <c r="J543" s="4"/>
      <c r="K543" s="4"/>
      <c r="L543" s="5"/>
      <c r="BJ543" s="4"/>
      <c r="BK543" s="4"/>
      <c r="BL543" s="7"/>
    </row>
    <row r="544">
      <c r="A544" s="4" t="str">
        <f t="shared" si="2"/>
        <v/>
      </c>
      <c r="C544" s="4"/>
      <c r="G544" s="4"/>
      <c r="H544" s="4"/>
      <c r="I544" s="4"/>
      <c r="J544" s="4"/>
      <c r="K544" s="4"/>
      <c r="L544" s="5"/>
      <c r="BJ544" s="4"/>
      <c r="BK544" s="4"/>
      <c r="BL544" s="7"/>
    </row>
    <row r="545">
      <c r="A545" s="4" t="str">
        <f t="shared" si="2"/>
        <v/>
      </c>
      <c r="C545" s="4"/>
      <c r="G545" s="4"/>
      <c r="H545" s="4"/>
      <c r="I545" s="4"/>
      <c r="J545" s="4"/>
      <c r="K545" s="4"/>
      <c r="L545" s="5"/>
      <c r="BJ545" s="4"/>
      <c r="BK545" s="4"/>
      <c r="BL545" s="7"/>
    </row>
    <row r="546">
      <c r="A546" s="4" t="str">
        <f t="shared" si="2"/>
        <v/>
      </c>
      <c r="C546" s="4"/>
      <c r="G546" s="4"/>
      <c r="H546" s="4"/>
      <c r="I546" s="4"/>
      <c r="J546" s="4"/>
      <c r="K546" s="4"/>
      <c r="L546" s="5"/>
      <c r="BJ546" s="4"/>
      <c r="BK546" s="4"/>
      <c r="BL546" s="7"/>
    </row>
    <row r="547">
      <c r="A547" s="4" t="str">
        <f t="shared" si="2"/>
        <v/>
      </c>
      <c r="C547" s="4"/>
      <c r="G547" s="4"/>
      <c r="H547" s="4"/>
      <c r="I547" s="4"/>
      <c r="J547" s="4"/>
      <c r="K547" s="4"/>
      <c r="L547" s="5"/>
      <c r="BJ547" s="4"/>
      <c r="BK547" s="4"/>
      <c r="BL547" s="7"/>
    </row>
    <row r="548">
      <c r="A548" s="4" t="str">
        <f t="shared" si="2"/>
        <v/>
      </c>
      <c r="C548" s="4"/>
      <c r="G548" s="4"/>
      <c r="H548" s="4"/>
      <c r="I548" s="4"/>
      <c r="J548" s="4"/>
      <c r="K548" s="4"/>
      <c r="L548" s="5"/>
      <c r="BJ548" s="4"/>
      <c r="BK548" s="4"/>
      <c r="BL548" s="7"/>
    </row>
    <row r="549">
      <c r="A549" s="4" t="str">
        <f t="shared" si="2"/>
        <v/>
      </c>
      <c r="C549" s="4"/>
      <c r="G549" s="4"/>
      <c r="H549" s="4"/>
      <c r="I549" s="4"/>
      <c r="J549" s="4"/>
      <c r="K549" s="4"/>
      <c r="L549" s="5"/>
      <c r="BJ549" s="4"/>
      <c r="BK549" s="4"/>
      <c r="BL549" s="7"/>
    </row>
    <row r="550">
      <c r="A550" s="4" t="str">
        <f t="shared" si="2"/>
        <v/>
      </c>
      <c r="C550" s="4"/>
      <c r="G550" s="4"/>
      <c r="H550" s="4"/>
      <c r="I550" s="4"/>
      <c r="J550" s="4"/>
      <c r="K550" s="4"/>
      <c r="L550" s="5"/>
      <c r="BJ550" s="4"/>
      <c r="BK550" s="4"/>
      <c r="BL550" s="7"/>
    </row>
    <row r="551">
      <c r="A551" s="4" t="str">
        <f t="shared" si="2"/>
        <v/>
      </c>
      <c r="C551" s="4"/>
      <c r="G551" s="4"/>
      <c r="H551" s="4"/>
      <c r="I551" s="4"/>
      <c r="J551" s="4"/>
      <c r="K551" s="4"/>
      <c r="L551" s="5"/>
      <c r="BJ551" s="4"/>
      <c r="BK551" s="4"/>
      <c r="BL551" s="7"/>
    </row>
    <row r="552">
      <c r="A552" s="4" t="str">
        <f t="shared" si="2"/>
        <v/>
      </c>
      <c r="C552" s="4"/>
      <c r="G552" s="4"/>
      <c r="H552" s="4"/>
      <c r="I552" s="4"/>
      <c r="J552" s="4"/>
      <c r="K552" s="4"/>
      <c r="L552" s="5"/>
      <c r="BJ552" s="4"/>
      <c r="BK552" s="4"/>
      <c r="BL552" s="7"/>
    </row>
    <row r="553">
      <c r="A553" s="4" t="str">
        <f t="shared" si="2"/>
        <v/>
      </c>
      <c r="C553" s="4"/>
      <c r="G553" s="4"/>
      <c r="H553" s="4"/>
      <c r="I553" s="4"/>
      <c r="J553" s="4"/>
      <c r="K553" s="4"/>
      <c r="L553" s="5"/>
      <c r="BJ553" s="4"/>
      <c r="BK553" s="4"/>
      <c r="BL553" s="7"/>
    </row>
    <row r="554">
      <c r="A554" s="4" t="str">
        <f t="shared" si="2"/>
        <v/>
      </c>
      <c r="C554" s="4"/>
      <c r="G554" s="4"/>
      <c r="H554" s="4"/>
      <c r="I554" s="4"/>
      <c r="J554" s="4"/>
      <c r="K554" s="4"/>
      <c r="L554" s="5"/>
      <c r="BJ554" s="4"/>
      <c r="BK554" s="4"/>
      <c r="BL554" s="7"/>
    </row>
    <row r="555">
      <c r="A555" s="4" t="str">
        <f t="shared" si="2"/>
        <v/>
      </c>
      <c r="C555" s="4"/>
      <c r="G555" s="4"/>
      <c r="H555" s="4"/>
      <c r="I555" s="4"/>
      <c r="J555" s="4"/>
      <c r="K555" s="4"/>
      <c r="L555" s="5"/>
      <c r="BJ555" s="4"/>
      <c r="BK555" s="4"/>
      <c r="BL555" s="7"/>
    </row>
    <row r="556">
      <c r="A556" s="4" t="str">
        <f t="shared" si="2"/>
        <v/>
      </c>
      <c r="C556" s="4"/>
      <c r="G556" s="4"/>
      <c r="H556" s="4"/>
      <c r="I556" s="4"/>
      <c r="J556" s="4"/>
      <c r="K556" s="4"/>
      <c r="L556" s="5"/>
      <c r="BJ556" s="4"/>
      <c r="BK556" s="4"/>
      <c r="BL556" s="7"/>
    </row>
    <row r="557">
      <c r="A557" s="4" t="str">
        <f t="shared" si="2"/>
        <v/>
      </c>
      <c r="C557" s="4"/>
      <c r="G557" s="4"/>
      <c r="H557" s="4"/>
      <c r="I557" s="4"/>
      <c r="J557" s="4"/>
      <c r="K557" s="4"/>
      <c r="L557" s="5"/>
      <c r="BJ557" s="4"/>
      <c r="BK557" s="4"/>
      <c r="BL557" s="7"/>
    </row>
    <row r="558">
      <c r="A558" s="4" t="str">
        <f t="shared" si="2"/>
        <v/>
      </c>
      <c r="C558" s="4"/>
      <c r="G558" s="4"/>
      <c r="H558" s="4"/>
      <c r="I558" s="4"/>
      <c r="J558" s="4"/>
      <c r="K558" s="4"/>
      <c r="L558" s="5"/>
      <c r="BJ558" s="4"/>
      <c r="BK558" s="4"/>
      <c r="BL558" s="7"/>
    </row>
    <row r="559">
      <c r="A559" s="4" t="str">
        <f t="shared" si="2"/>
        <v/>
      </c>
      <c r="C559" s="4"/>
      <c r="G559" s="4"/>
      <c r="H559" s="4"/>
      <c r="I559" s="4"/>
      <c r="J559" s="4"/>
      <c r="K559" s="4"/>
      <c r="L559" s="5"/>
      <c r="BJ559" s="4"/>
      <c r="BK559" s="4"/>
      <c r="BL559" s="7"/>
    </row>
    <row r="560">
      <c r="A560" s="4" t="str">
        <f t="shared" si="2"/>
        <v/>
      </c>
      <c r="C560" s="4"/>
      <c r="G560" s="4"/>
      <c r="H560" s="4"/>
      <c r="I560" s="4"/>
      <c r="J560" s="4"/>
      <c r="K560" s="4"/>
      <c r="L560" s="5"/>
      <c r="BJ560" s="4"/>
      <c r="BK560" s="4"/>
      <c r="BL560" s="7"/>
    </row>
    <row r="561">
      <c r="A561" s="4" t="str">
        <f t="shared" si="2"/>
        <v/>
      </c>
      <c r="C561" s="4"/>
      <c r="G561" s="4"/>
      <c r="H561" s="4"/>
      <c r="I561" s="4"/>
      <c r="J561" s="4"/>
      <c r="K561" s="4"/>
      <c r="L561" s="5"/>
      <c r="BJ561" s="4"/>
      <c r="BK561" s="4"/>
      <c r="BL561" s="7"/>
    </row>
    <row r="562">
      <c r="A562" s="4" t="str">
        <f t="shared" si="2"/>
        <v/>
      </c>
      <c r="C562" s="4"/>
      <c r="G562" s="4"/>
      <c r="H562" s="4"/>
      <c r="I562" s="4"/>
      <c r="J562" s="4"/>
      <c r="K562" s="4"/>
      <c r="L562" s="5"/>
      <c r="BJ562" s="4"/>
      <c r="BK562" s="4"/>
      <c r="BL562" s="7"/>
    </row>
    <row r="563">
      <c r="A563" s="4" t="str">
        <f t="shared" si="2"/>
        <v/>
      </c>
      <c r="C563" s="4"/>
      <c r="G563" s="4"/>
      <c r="H563" s="4"/>
      <c r="I563" s="4"/>
      <c r="J563" s="4"/>
      <c r="K563" s="4"/>
      <c r="L563" s="5"/>
      <c r="BJ563" s="4"/>
      <c r="BK563" s="4"/>
      <c r="BL563" s="7"/>
    </row>
    <row r="564">
      <c r="A564" s="4" t="str">
        <f t="shared" si="2"/>
        <v/>
      </c>
      <c r="C564" s="4"/>
      <c r="G564" s="4"/>
      <c r="H564" s="4"/>
      <c r="I564" s="4"/>
      <c r="J564" s="4"/>
      <c r="K564" s="4"/>
      <c r="L564" s="5"/>
      <c r="BJ564" s="4"/>
      <c r="BK564" s="4"/>
      <c r="BL564" s="7"/>
    </row>
    <row r="565">
      <c r="A565" s="4" t="str">
        <f t="shared" si="2"/>
        <v/>
      </c>
      <c r="C565" s="4"/>
      <c r="G565" s="4"/>
      <c r="H565" s="4"/>
      <c r="I565" s="4"/>
      <c r="J565" s="4"/>
      <c r="K565" s="4"/>
      <c r="L565" s="5"/>
      <c r="BJ565" s="4"/>
      <c r="BK565" s="4"/>
      <c r="BL565" s="7"/>
    </row>
    <row r="566">
      <c r="A566" s="4" t="str">
        <f t="shared" si="2"/>
        <v/>
      </c>
      <c r="C566" s="4"/>
      <c r="G566" s="4"/>
      <c r="H566" s="4"/>
      <c r="I566" s="4"/>
      <c r="J566" s="4"/>
      <c r="K566" s="4"/>
      <c r="L566" s="5"/>
      <c r="BJ566" s="4"/>
      <c r="BK566" s="4"/>
      <c r="BL566" s="7"/>
    </row>
    <row r="567">
      <c r="A567" s="4" t="str">
        <f t="shared" si="2"/>
        <v/>
      </c>
      <c r="C567" s="4"/>
      <c r="G567" s="4"/>
      <c r="H567" s="4"/>
      <c r="I567" s="4"/>
      <c r="J567" s="4"/>
      <c r="K567" s="4"/>
      <c r="L567" s="5"/>
      <c r="BJ567" s="4"/>
      <c r="BK567" s="4"/>
      <c r="BL567" s="7"/>
    </row>
    <row r="568">
      <c r="A568" s="4" t="str">
        <f t="shared" si="2"/>
        <v/>
      </c>
      <c r="C568" s="4"/>
      <c r="G568" s="4"/>
      <c r="H568" s="4"/>
      <c r="I568" s="4"/>
      <c r="J568" s="4"/>
      <c r="K568" s="4"/>
      <c r="L568" s="5"/>
      <c r="BJ568" s="4"/>
      <c r="BK568" s="4"/>
      <c r="BL568" s="7"/>
    </row>
    <row r="569">
      <c r="A569" s="4" t="str">
        <f t="shared" si="2"/>
        <v/>
      </c>
      <c r="C569" s="4"/>
      <c r="G569" s="4"/>
      <c r="H569" s="4"/>
      <c r="I569" s="4"/>
      <c r="J569" s="4"/>
      <c r="K569" s="4"/>
      <c r="L569" s="5"/>
      <c r="BJ569" s="4"/>
      <c r="BK569" s="4"/>
      <c r="BL569" s="7"/>
    </row>
    <row r="570">
      <c r="A570" s="4" t="str">
        <f t="shared" si="2"/>
        <v/>
      </c>
      <c r="C570" s="4"/>
      <c r="G570" s="4"/>
      <c r="H570" s="4"/>
      <c r="I570" s="4"/>
      <c r="J570" s="4"/>
      <c r="K570" s="4"/>
      <c r="L570" s="5"/>
      <c r="BJ570" s="4"/>
      <c r="BK570" s="4"/>
      <c r="BL570" s="7"/>
    </row>
    <row r="571">
      <c r="A571" s="4" t="str">
        <f t="shared" si="2"/>
        <v/>
      </c>
      <c r="C571" s="4"/>
      <c r="G571" s="4"/>
      <c r="H571" s="4"/>
      <c r="I571" s="4"/>
      <c r="J571" s="4"/>
      <c r="K571" s="4"/>
      <c r="L571" s="5"/>
      <c r="BJ571" s="4"/>
      <c r="BK571" s="4"/>
      <c r="BL571" s="7"/>
    </row>
    <row r="572">
      <c r="A572" s="4" t="str">
        <f t="shared" si="2"/>
        <v/>
      </c>
      <c r="C572" s="4"/>
      <c r="G572" s="4"/>
      <c r="H572" s="4"/>
      <c r="I572" s="4"/>
      <c r="J572" s="4"/>
      <c r="K572" s="4"/>
      <c r="L572" s="5"/>
      <c r="BJ572" s="4"/>
      <c r="BK572" s="4"/>
      <c r="BL572" s="7"/>
    </row>
    <row r="573">
      <c r="A573" s="4" t="str">
        <f t="shared" si="2"/>
        <v/>
      </c>
      <c r="C573" s="4"/>
      <c r="G573" s="4"/>
      <c r="H573" s="4"/>
      <c r="I573" s="4"/>
      <c r="J573" s="4"/>
      <c r="K573" s="4"/>
      <c r="L573" s="5"/>
      <c r="BJ573" s="4"/>
      <c r="BK573" s="4"/>
      <c r="BL573" s="7"/>
    </row>
    <row r="574">
      <c r="A574" s="4" t="str">
        <f t="shared" si="2"/>
        <v/>
      </c>
      <c r="C574" s="4"/>
      <c r="G574" s="4"/>
      <c r="H574" s="4"/>
      <c r="I574" s="4"/>
      <c r="J574" s="4"/>
      <c r="K574" s="4"/>
      <c r="L574" s="5"/>
      <c r="BJ574" s="4"/>
      <c r="BK574" s="4"/>
      <c r="BL574" s="7"/>
    </row>
    <row r="575">
      <c r="A575" s="4" t="str">
        <f t="shared" si="2"/>
        <v/>
      </c>
      <c r="C575" s="4"/>
      <c r="G575" s="4"/>
      <c r="H575" s="4"/>
      <c r="I575" s="4"/>
      <c r="J575" s="4"/>
      <c r="K575" s="4"/>
      <c r="L575" s="5"/>
      <c r="BJ575" s="4"/>
      <c r="BK575" s="4"/>
      <c r="BL575" s="7"/>
    </row>
    <row r="576">
      <c r="A576" s="4" t="str">
        <f t="shared" si="2"/>
        <v/>
      </c>
      <c r="C576" s="4"/>
      <c r="G576" s="4"/>
      <c r="H576" s="4"/>
      <c r="I576" s="4"/>
      <c r="J576" s="4"/>
      <c r="K576" s="4"/>
      <c r="L576" s="5"/>
      <c r="BJ576" s="4"/>
      <c r="BK576" s="4"/>
      <c r="BL576" s="7"/>
    </row>
    <row r="577">
      <c r="A577" s="4" t="str">
        <f t="shared" si="2"/>
        <v/>
      </c>
      <c r="C577" s="4"/>
      <c r="G577" s="4"/>
      <c r="H577" s="4"/>
      <c r="I577" s="4"/>
      <c r="J577" s="4"/>
      <c r="K577" s="4"/>
      <c r="L577" s="5"/>
      <c r="BJ577" s="4"/>
      <c r="BK577" s="4"/>
      <c r="BL577" s="7"/>
    </row>
    <row r="578">
      <c r="A578" s="4" t="str">
        <f t="shared" si="2"/>
        <v/>
      </c>
      <c r="C578" s="4"/>
      <c r="G578" s="4"/>
      <c r="H578" s="4"/>
      <c r="I578" s="4"/>
      <c r="J578" s="4"/>
      <c r="K578" s="4"/>
      <c r="L578" s="5"/>
      <c r="BJ578" s="4"/>
      <c r="BK578" s="4"/>
      <c r="BL578" s="7"/>
    </row>
    <row r="579">
      <c r="A579" s="4" t="str">
        <f t="shared" si="2"/>
        <v/>
      </c>
      <c r="C579" s="4"/>
      <c r="G579" s="4"/>
      <c r="H579" s="4"/>
      <c r="I579" s="4"/>
      <c r="J579" s="4"/>
      <c r="K579" s="4"/>
      <c r="L579" s="5"/>
      <c r="BJ579" s="4"/>
      <c r="BK579" s="4"/>
      <c r="BL579" s="7"/>
    </row>
    <row r="580">
      <c r="A580" s="4" t="str">
        <f t="shared" si="2"/>
        <v/>
      </c>
      <c r="C580" s="4"/>
      <c r="G580" s="4"/>
      <c r="H580" s="4"/>
      <c r="I580" s="4"/>
      <c r="J580" s="4"/>
      <c r="K580" s="4"/>
      <c r="L580" s="5"/>
      <c r="BJ580" s="4"/>
      <c r="BK580" s="4"/>
      <c r="BL580" s="7"/>
    </row>
    <row r="581">
      <c r="A581" s="4" t="str">
        <f t="shared" si="2"/>
        <v/>
      </c>
      <c r="C581" s="4"/>
      <c r="G581" s="4"/>
      <c r="H581" s="4"/>
      <c r="I581" s="4"/>
      <c r="J581" s="4"/>
      <c r="K581" s="4"/>
      <c r="L581" s="5"/>
      <c r="BJ581" s="4"/>
      <c r="BK581" s="4"/>
      <c r="BL581" s="7"/>
    </row>
    <row r="582">
      <c r="A582" s="4" t="str">
        <f t="shared" si="2"/>
        <v/>
      </c>
      <c r="C582" s="4"/>
      <c r="G582" s="4"/>
      <c r="H582" s="4"/>
      <c r="I582" s="4"/>
      <c r="J582" s="4"/>
      <c r="K582" s="4"/>
      <c r="L582" s="5"/>
      <c r="BJ582" s="4"/>
      <c r="BK582" s="4"/>
      <c r="BL582" s="7"/>
    </row>
    <row r="583">
      <c r="A583" s="4" t="str">
        <f t="shared" si="2"/>
        <v/>
      </c>
      <c r="C583" s="4"/>
      <c r="G583" s="4"/>
      <c r="H583" s="4"/>
      <c r="I583" s="4"/>
      <c r="J583" s="4"/>
      <c r="K583" s="4"/>
      <c r="L583" s="5"/>
      <c r="BJ583" s="4"/>
      <c r="BK583" s="4"/>
      <c r="BL583" s="7"/>
    </row>
    <row r="584">
      <c r="A584" s="4" t="str">
        <f t="shared" si="2"/>
        <v/>
      </c>
      <c r="C584" s="4"/>
      <c r="G584" s="4"/>
      <c r="H584" s="4"/>
      <c r="I584" s="4"/>
      <c r="J584" s="4"/>
      <c r="K584" s="4"/>
      <c r="L584" s="5"/>
      <c r="BJ584" s="4"/>
      <c r="BK584" s="4"/>
      <c r="BL584" s="7"/>
    </row>
    <row r="585">
      <c r="A585" s="4" t="str">
        <f t="shared" si="2"/>
        <v/>
      </c>
      <c r="C585" s="4"/>
      <c r="G585" s="4"/>
      <c r="H585" s="4"/>
      <c r="I585" s="4"/>
      <c r="J585" s="4"/>
      <c r="K585" s="4"/>
      <c r="L585" s="5"/>
      <c r="BJ585" s="4"/>
      <c r="BK585" s="4"/>
      <c r="BL585" s="7"/>
    </row>
    <row r="586">
      <c r="A586" s="4" t="str">
        <f t="shared" si="2"/>
        <v/>
      </c>
      <c r="C586" s="4"/>
      <c r="G586" s="4"/>
      <c r="H586" s="4"/>
      <c r="I586" s="4"/>
      <c r="J586" s="4"/>
      <c r="K586" s="4"/>
      <c r="L586" s="5"/>
      <c r="BJ586" s="4"/>
      <c r="BK586" s="4"/>
      <c r="BL586" s="7"/>
    </row>
    <row r="587">
      <c r="A587" s="4" t="str">
        <f t="shared" si="2"/>
        <v/>
      </c>
      <c r="C587" s="4"/>
      <c r="G587" s="4"/>
      <c r="H587" s="4"/>
      <c r="I587" s="4"/>
      <c r="J587" s="4"/>
      <c r="K587" s="4"/>
      <c r="L587" s="5"/>
      <c r="BJ587" s="4"/>
      <c r="BK587" s="4"/>
      <c r="BL587" s="7"/>
    </row>
    <row r="588">
      <c r="A588" s="4" t="str">
        <f t="shared" si="2"/>
        <v/>
      </c>
      <c r="C588" s="4"/>
      <c r="G588" s="4"/>
      <c r="H588" s="4"/>
      <c r="I588" s="4"/>
      <c r="J588" s="4"/>
      <c r="K588" s="4"/>
      <c r="L588" s="5"/>
      <c r="BJ588" s="4"/>
      <c r="BK588" s="4"/>
      <c r="BL588" s="7"/>
    </row>
    <row r="589">
      <c r="A589" s="4" t="str">
        <f t="shared" si="2"/>
        <v/>
      </c>
      <c r="C589" s="4"/>
      <c r="G589" s="4"/>
      <c r="H589" s="4"/>
      <c r="I589" s="4"/>
      <c r="J589" s="4"/>
      <c r="K589" s="4"/>
      <c r="L589" s="5"/>
      <c r="BJ589" s="4"/>
      <c r="BK589" s="4"/>
      <c r="BL589" s="7"/>
    </row>
    <row r="590">
      <c r="A590" s="4" t="str">
        <f t="shared" si="2"/>
        <v/>
      </c>
      <c r="C590" s="4"/>
      <c r="G590" s="4"/>
      <c r="H590" s="4"/>
      <c r="I590" s="4"/>
      <c r="J590" s="4"/>
      <c r="K590" s="4"/>
      <c r="L590" s="5"/>
      <c r="BJ590" s="4"/>
      <c r="BK590" s="4"/>
      <c r="BL590" s="7"/>
    </row>
    <row r="591">
      <c r="A591" s="4" t="str">
        <f t="shared" si="2"/>
        <v/>
      </c>
      <c r="C591" s="4"/>
      <c r="G591" s="4"/>
      <c r="H591" s="4"/>
      <c r="I591" s="4"/>
      <c r="J591" s="4"/>
      <c r="K591" s="4"/>
      <c r="L591" s="5"/>
      <c r="BJ591" s="4"/>
      <c r="BK591" s="4"/>
      <c r="BL591" s="7"/>
    </row>
    <row r="592">
      <c r="A592" s="4" t="str">
        <f t="shared" si="2"/>
        <v/>
      </c>
      <c r="C592" s="4"/>
      <c r="G592" s="4"/>
      <c r="H592" s="4"/>
      <c r="I592" s="4"/>
      <c r="J592" s="4"/>
      <c r="K592" s="4"/>
      <c r="L592" s="5"/>
      <c r="BJ592" s="4"/>
      <c r="BK592" s="4"/>
      <c r="BL592" s="7"/>
    </row>
    <row r="593">
      <c r="A593" s="4" t="str">
        <f t="shared" si="2"/>
        <v/>
      </c>
      <c r="C593" s="4"/>
      <c r="G593" s="4"/>
      <c r="H593" s="4"/>
      <c r="I593" s="4"/>
      <c r="J593" s="4"/>
      <c r="K593" s="4"/>
      <c r="L593" s="5"/>
      <c r="BJ593" s="4"/>
      <c r="BK593" s="4"/>
      <c r="BL593" s="7"/>
    </row>
    <row r="594">
      <c r="A594" s="4" t="str">
        <f t="shared" si="2"/>
        <v/>
      </c>
      <c r="C594" s="4"/>
      <c r="G594" s="4"/>
      <c r="H594" s="4"/>
      <c r="I594" s="4"/>
      <c r="J594" s="4"/>
      <c r="K594" s="4"/>
      <c r="L594" s="5"/>
      <c r="BJ594" s="4"/>
      <c r="BK594" s="4"/>
      <c r="BL594" s="7"/>
    </row>
    <row r="595">
      <c r="A595" s="4" t="str">
        <f t="shared" si="2"/>
        <v/>
      </c>
      <c r="C595" s="4"/>
      <c r="G595" s="4"/>
      <c r="H595" s="4"/>
      <c r="I595" s="4"/>
      <c r="J595" s="4"/>
      <c r="K595" s="4"/>
      <c r="L595" s="5"/>
      <c r="BJ595" s="4"/>
      <c r="BK595" s="4"/>
      <c r="BL595" s="7"/>
    </row>
    <row r="596">
      <c r="A596" s="4" t="str">
        <f t="shared" si="2"/>
        <v/>
      </c>
      <c r="C596" s="4"/>
      <c r="G596" s="4"/>
      <c r="H596" s="4"/>
      <c r="I596" s="4"/>
      <c r="J596" s="4"/>
      <c r="K596" s="4"/>
      <c r="L596" s="5"/>
      <c r="BJ596" s="4"/>
      <c r="BK596" s="4"/>
      <c r="BL596" s="7"/>
    </row>
    <row r="597">
      <c r="A597" s="4" t="str">
        <f t="shared" si="2"/>
        <v/>
      </c>
      <c r="C597" s="4"/>
      <c r="G597" s="4"/>
      <c r="H597" s="4"/>
      <c r="I597" s="4"/>
      <c r="J597" s="4"/>
      <c r="K597" s="4"/>
      <c r="L597" s="5"/>
      <c r="BJ597" s="4"/>
      <c r="BK597" s="4"/>
      <c r="BL597" s="7"/>
    </row>
    <row r="598">
      <c r="A598" s="4" t="str">
        <f t="shared" si="2"/>
        <v/>
      </c>
      <c r="C598" s="4"/>
      <c r="G598" s="4"/>
      <c r="H598" s="4"/>
      <c r="I598" s="4"/>
      <c r="J598" s="4"/>
      <c r="K598" s="4"/>
      <c r="L598" s="5"/>
      <c r="BJ598" s="4"/>
      <c r="BK598" s="4"/>
      <c r="BL598" s="7"/>
    </row>
    <row r="599">
      <c r="A599" s="4" t="str">
        <f t="shared" si="2"/>
        <v/>
      </c>
      <c r="C599" s="4"/>
      <c r="G599" s="4"/>
      <c r="H599" s="4"/>
      <c r="I599" s="4"/>
      <c r="J599" s="4"/>
      <c r="K599" s="4"/>
      <c r="L599" s="5"/>
      <c r="BJ599" s="4"/>
      <c r="BK599" s="4"/>
      <c r="BL599" s="7"/>
    </row>
    <row r="600">
      <c r="A600" s="4" t="str">
        <f t="shared" si="2"/>
        <v/>
      </c>
      <c r="C600" s="4"/>
      <c r="G600" s="4"/>
      <c r="H600" s="4"/>
      <c r="I600" s="4"/>
      <c r="J600" s="4"/>
      <c r="K600" s="4"/>
      <c r="L600" s="5"/>
      <c r="BJ600" s="4"/>
      <c r="BK600" s="4"/>
      <c r="BL600" s="7"/>
    </row>
    <row r="601">
      <c r="A601" s="4" t="str">
        <f t="shared" si="2"/>
        <v/>
      </c>
      <c r="C601" s="4"/>
      <c r="G601" s="4"/>
      <c r="H601" s="4"/>
      <c r="I601" s="4"/>
      <c r="J601" s="4"/>
      <c r="K601" s="4"/>
      <c r="L601" s="5"/>
      <c r="BJ601" s="4"/>
      <c r="BK601" s="4"/>
      <c r="BL601" s="7"/>
    </row>
    <row r="602">
      <c r="A602" s="4" t="str">
        <f t="shared" si="2"/>
        <v/>
      </c>
      <c r="C602" s="4"/>
      <c r="G602" s="4"/>
      <c r="H602" s="4"/>
      <c r="I602" s="4"/>
      <c r="J602" s="4"/>
      <c r="K602" s="4"/>
      <c r="L602" s="5"/>
      <c r="BJ602" s="4"/>
      <c r="BK602" s="4"/>
      <c r="BL602" s="7"/>
    </row>
    <row r="603">
      <c r="A603" s="4" t="str">
        <f t="shared" si="2"/>
        <v/>
      </c>
      <c r="C603" s="4"/>
      <c r="G603" s="4"/>
      <c r="H603" s="4"/>
      <c r="I603" s="4"/>
      <c r="J603" s="4"/>
      <c r="K603" s="4"/>
      <c r="L603" s="5"/>
      <c r="BJ603" s="4"/>
      <c r="BK603" s="4"/>
      <c r="BL603" s="7"/>
    </row>
    <row r="604">
      <c r="A604" s="4" t="str">
        <f t="shared" si="2"/>
        <v/>
      </c>
      <c r="C604" s="4"/>
      <c r="G604" s="4"/>
      <c r="H604" s="4"/>
      <c r="I604" s="4"/>
      <c r="J604" s="4"/>
      <c r="K604" s="4"/>
      <c r="L604" s="5"/>
      <c r="BJ604" s="4"/>
      <c r="BK604" s="4"/>
      <c r="BL604" s="7"/>
    </row>
    <row r="605">
      <c r="A605" s="4" t="str">
        <f t="shared" si="2"/>
        <v/>
      </c>
      <c r="C605" s="4"/>
      <c r="G605" s="4"/>
      <c r="H605" s="4"/>
      <c r="I605" s="4"/>
      <c r="J605" s="4"/>
      <c r="K605" s="4"/>
      <c r="L605" s="5"/>
      <c r="BJ605" s="4"/>
      <c r="BK605" s="4"/>
      <c r="BL605" s="7"/>
    </row>
    <row r="606">
      <c r="A606" s="4" t="str">
        <f t="shared" si="2"/>
        <v/>
      </c>
      <c r="C606" s="4"/>
      <c r="G606" s="4"/>
      <c r="H606" s="4"/>
      <c r="I606" s="4"/>
      <c r="J606" s="4"/>
      <c r="K606" s="4"/>
      <c r="L606" s="5"/>
      <c r="BJ606" s="4"/>
      <c r="BK606" s="4"/>
      <c r="BL606" s="7"/>
    </row>
    <row r="607">
      <c r="A607" s="4" t="str">
        <f t="shared" si="2"/>
        <v/>
      </c>
      <c r="C607" s="4"/>
      <c r="G607" s="4"/>
      <c r="H607" s="4"/>
      <c r="I607" s="4"/>
      <c r="J607" s="4"/>
      <c r="K607" s="4"/>
      <c r="L607" s="5"/>
      <c r="BJ607" s="4"/>
      <c r="BK607" s="4"/>
      <c r="BL607" s="7"/>
    </row>
    <row r="608">
      <c r="A608" s="4" t="str">
        <f t="shared" si="2"/>
        <v/>
      </c>
      <c r="C608" s="4"/>
      <c r="G608" s="4"/>
      <c r="H608" s="4"/>
      <c r="I608" s="4"/>
      <c r="J608" s="4"/>
      <c r="K608" s="4"/>
      <c r="L608" s="5"/>
      <c r="BJ608" s="4"/>
      <c r="BK608" s="4"/>
      <c r="BL608" s="7"/>
    </row>
    <row r="609">
      <c r="A609" s="4" t="str">
        <f t="shared" si="2"/>
        <v/>
      </c>
      <c r="C609" s="4"/>
      <c r="G609" s="4"/>
      <c r="H609" s="4"/>
      <c r="I609" s="4"/>
      <c r="J609" s="4"/>
      <c r="K609" s="4"/>
      <c r="L609" s="5"/>
      <c r="BJ609" s="4"/>
      <c r="BK609" s="4"/>
      <c r="BL609" s="7"/>
    </row>
    <row r="610">
      <c r="A610" s="4" t="str">
        <f t="shared" si="2"/>
        <v/>
      </c>
      <c r="C610" s="4"/>
      <c r="G610" s="4"/>
      <c r="H610" s="4"/>
      <c r="I610" s="4"/>
      <c r="J610" s="4"/>
      <c r="K610" s="4"/>
      <c r="L610" s="5"/>
      <c r="BJ610" s="4"/>
      <c r="BK610" s="4"/>
      <c r="BL610" s="7"/>
    </row>
    <row r="611">
      <c r="A611" s="4" t="str">
        <f t="shared" si="2"/>
        <v/>
      </c>
      <c r="C611" s="4"/>
      <c r="G611" s="4"/>
      <c r="H611" s="4"/>
      <c r="I611" s="4"/>
      <c r="J611" s="4"/>
      <c r="K611" s="4"/>
      <c r="L611" s="5"/>
      <c r="BJ611" s="4"/>
      <c r="BK611" s="4"/>
      <c r="BL611" s="7"/>
    </row>
    <row r="612">
      <c r="A612" s="4" t="str">
        <f t="shared" si="2"/>
        <v/>
      </c>
      <c r="C612" s="4"/>
      <c r="G612" s="4"/>
      <c r="H612" s="4"/>
      <c r="I612" s="4"/>
      <c r="J612" s="4"/>
      <c r="K612" s="4"/>
      <c r="L612" s="5"/>
      <c r="BJ612" s="4"/>
      <c r="BK612" s="4"/>
      <c r="BL612" s="7"/>
    </row>
    <row r="613">
      <c r="A613" s="4" t="str">
        <f t="shared" si="2"/>
        <v/>
      </c>
      <c r="C613" s="4"/>
      <c r="G613" s="4"/>
      <c r="H613" s="4"/>
      <c r="I613" s="4"/>
      <c r="J613" s="4"/>
      <c r="K613" s="4"/>
      <c r="L613" s="5"/>
      <c r="BJ613" s="4"/>
      <c r="BK613" s="4"/>
      <c r="BL613" s="7"/>
    </row>
    <row r="614">
      <c r="A614" s="4" t="str">
        <f t="shared" si="2"/>
        <v/>
      </c>
      <c r="C614" s="4"/>
      <c r="G614" s="4"/>
      <c r="H614" s="4"/>
      <c r="I614" s="4"/>
      <c r="J614" s="4"/>
      <c r="K614" s="4"/>
      <c r="L614" s="5"/>
      <c r="BJ614" s="4"/>
      <c r="BK614" s="4"/>
      <c r="BL614" s="7"/>
    </row>
    <row r="615">
      <c r="A615" s="4" t="str">
        <f t="shared" si="2"/>
        <v/>
      </c>
      <c r="C615" s="4"/>
      <c r="G615" s="4"/>
      <c r="H615" s="4"/>
      <c r="I615" s="4"/>
      <c r="J615" s="4"/>
      <c r="K615" s="4"/>
      <c r="L615" s="5"/>
      <c r="BJ615" s="4"/>
      <c r="BK615" s="4"/>
      <c r="BL615" s="7"/>
    </row>
    <row r="616">
      <c r="A616" s="4" t="str">
        <f t="shared" si="2"/>
        <v/>
      </c>
      <c r="C616" s="4"/>
      <c r="G616" s="4"/>
      <c r="H616" s="4"/>
      <c r="I616" s="4"/>
      <c r="J616" s="4"/>
      <c r="K616" s="4"/>
      <c r="L616" s="5"/>
      <c r="BJ616" s="4"/>
      <c r="BK616" s="4"/>
      <c r="BL616" s="7"/>
    </row>
    <row r="617">
      <c r="A617" s="4" t="str">
        <f t="shared" si="2"/>
        <v/>
      </c>
      <c r="C617" s="4"/>
      <c r="G617" s="4"/>
      <c r="H617" s="4"/>
      <c r="I617" s="4"/>
      <c r="J617" s="4"/>
      <c r="K617" s="4"/>
      <c r="L617" s="5"/>
      <c r="BJ617" s="4"/>
      <c r="BK617" s="4"/>
      <c r="BL617" s="7"/>
    </row>
    <row r="618">
      <c r="A618" s="4" t="str">
        <f t="shared" si="2"/>
        <v/>
      </c>
      <c r="C618" s="4"/>
      <c r="G618" s="4"/>
      <c r="H618" s="4"/>
      <c r="I618" s="4"/>
      <c r="J618" s="4"/>
      <c r="K618" s="4"/>
      <c r="L618" s="5"/>
      <c r="BJ618" s="4"/>
      <c r="BK618" s="4"/>
      <c r="BL618" s="7"/>
    </row>
    <row r="619">
      <c r="A619" s="4" t="str">
        <f t="shared" si="2"/>
        <v/>
      </c>
      <c r="C619" s="4"/>
      <c r="G619" s="4"/>
      <c r="H619" s="4"/>
      <c r="I619" s="4"/>
      <c r="J619" s="4"/>
      <c r="K619" s="4"/>
      <c r="L619" s="5"/>
      <c r="BJ619" s="4"/>
      <c r="BK619" s="4"/>
      <c r="BL619" s="7"/>
    </row>
    <row r="620">
      <c r="A620" s="4" t="str">
        <f t="shared" si="2"/>
        <v/>
      </c>
      <c r="C620" s="4"/>
      <c r="G620" s="4"/>
      <c r="H620" s="4"/>
      <c r="I620" s="4"/>
      <c r="J620" s="4"/>
      <c r="K620" s="4"/>
      <c r="L620" s="5"/>
      <c r="BJ620" s="4"/>
      <c r="BK620" s="4"/>
      <c r="BL620" s="7"/>
    </row>
    <row r="621">
      <c r="A621" s="4" t="str">
        <f t="shared" si="2"/>
        <v/>
      </c>
      <c r="C621" s="4"/>
      <c r="G621" s="4"/>
      <c r="H621" s="4"/>
      <c r="I621" s="4"/>
      <c r="J621" s="4"/>
      <c r="K621" s="4"/>
      <c r="L621" s="5"/>
      <c r="BJ621" s="4"/>
      <c r="BK621" s="4"/>
      <c r="BL621" s="7"/>
    </row>
    <row r="622">
      <c r="A622" s="4" t="str">
        <f t="shared" si="2"/>
        <v/>
      </c>
      <c r="C622" s="4"/>
      <c r="G622" s="4"/>
      <c r="H622" s="4"/>
      <c r="I622" s="4"/>
      <c r="J622" s="4"/>
      <c r="K622" s="4"/>
      <c r="L622" s="5"/>
      <c r="BJ622" s="4"/>
      <c r="BK622" s="4"/>
      <c r="BL622" s="7"/>
    </row>
    <row r="623">
      <c r="A623" s="4" t="str">
        <f t="shared" si="2"/>
        <v/>
      </c>
      <c r="C623" s="4"/>
      <c r="G623" s="4"/>
      <c r="H623" s="4"/>
      <c r="I623" s="4"/>
      <c r="J623" s="4"/>
      <c r="K623" s="4"/>
      <c r="L623" s="5"/>
      <c r="BJ623" s="4"/>
      <c r="BK623" s="4"/>
      <c r="BL623" s="7"/>
    </row>
    <row r="624">
      <c r="A624" s="4" t="str">
        <f t="shared" si="2"/>
        <v/>
      </c>
      <c r="C624" s="4"/>
      <c r="G624" s="4"/>
      <c r="H624" s="4"/>
      <c r="I624" s="4"/>
      <c r="J624" s="4"/>
      <c r="K624" s="4"/>
      <c r="L624" s="5"/>
      <c r="BJ624" s="4"/>
      <c r="BK624" s="4"/>
      <c r="BL624" s="7"/>
    </row>
    <row r="625">
      <c r="A625" s="4" t="str">
        <f t="shared" si="2"/>
        <v/>
      </c>
      <c r="C625" s="4"/>
      <c r="G625" s="4"/>
      <c r="H625" s="4"/>
      <c r="I625" s="4"/>
      <c r="J625" s="4"/>
      <c r="K625" s="4"/>
      <c r="L625" s="5"/>
      <c r="BJ625" s="4"/>
      <c r="BK625" s="4"/>
      <c r="BL625" s="7"/>
    </row>
    <row r="626">
      <c r="A626" s="4" t="str">
        <f t="shared" si="2"/>
        <v/>
      </c>
      <c r="C626" s="4"/>
      <c r="G626" s="4"/>
      <c r="H626" s="4"/>
      <c r="I626" s="4"/>
      <c r="J626" s="4"/>
      <c r="K626" s="4"/>
      <c r="L626" s="5"/>
      <c r="BJ626" s="4"/>
      <c r="BK626" s="4"/>
      <c r="BL626" s="7"/>
    </row>
    <row r="627">
      <c r="A627" s="4" t="str">
        <f t="shared" si="2"/>
        <v/>
      </c>
      <c r="C627" s="4"/>
      <c r="G627" s="4"/>
      <c r="H627" s="4"/>
      <c r="I627" s="4"/>
      <c r="J627" s="4"/>
      <c r="K627" s="4"/>
      <c r="L627" s="5"/>
      <c r="BJ627" s="4"/>
      <c r="BK627" s="4"/>
      <c r="BL627" s="7"/>
    </row>
    <row r="628">
      <c r="A628" s="4" t="str">
        <f t="shared" si="2"/>
        <v/>
      </c>
      <c r="C628" s="4"/>
      <c r="G628" s="4"/>
      <c r="H628" s="4"/>
      <c r="I628" s="4"/>
      <c r="J628" s="4"/>
      <c r="K628" s="4"/>
      <c r="L628" s="5"/>
      <c r="BJ628" s="4"/>
      <c r="BK628" s="4"/>
      <c r="BL628" s="7"/>
    </row>
    <row r="629">
      <c r="A629" s="4" t="str">
        <f t="shared" si="2"/>
        <v/>
      </c>
      <c r="C629" s="4"/>
      <c r="G629" s="4"/>
      <c r="H629" s="4"/>
      <c r="I629" s="4"/>
      <c r="J629" s="4"/>
      <c r="K629" s="4"/>
      <c r="L629" s="5"/>
      <c r="BJ629" s="4"/>
      <c r="BK629" s="4"/>
      <c r="BL629" s="7"/>
    </row>
    <row r="630">
      <c r="A630" s="4" t="str">
        <f t="shared" si="2"/>
        <v/>
      </c>
      <c r="C630" s="4"/>
      <c r="G630" s="4"/>
      <c r="H630" s="4"/>
      <c r="I630" s="4"/>
      <c r="J630" s="4"/>
      <c r="K630" s="4"/>
      <c r="L630" s="5"/>
      <c r="BJ630" s="4"/>
      <c r="BK630" s="4"/>
      <c r="BL630" s="7"/>
    </row>
    <row r="631">
      <c r="A631" s="4" t="str">
        <f t="shared" si="2"/>
        <v/>
      </c>
      <c r="C631" s="4"/>
      <c r="G631" s="4"/>
      <c r="H631" s="4"/>
      <c r="I631" s="4"/>
      <c r="J631" s="4"/>
      <c r="K631" s="4"/>
      <c r="L631" s="5"/>
      <c r="BJ631" s="4"/>
      <c r="BK631" s="4"/>
      <c r="BL631" s="7"/>
    </row>
    <row r="632">
      <c r="A632" s="4" t="str">
        <f t="shared" si="2"/>
        <v/>
      </c>
      <c r="C632" s="4"/>
      <c r="G632" s="4"/>
      <c r="H632" s="4"/>
      <c r="I632" s="4"/>
      <c r="J632" s="4"/>
      <c r="K632" s="4"/>
      <c r="L632" s="5"/>
      <c r="BJ632" s="4"/>
      <c r="BK632" s="4"/>
      <c r="BL632" s="7"/>
    </row>
    <row r="633">
      <c r="A633" s="4" t="str">
        <f t="shared" si="2"/>
        <v/>
      </c>
      <c r="C633" s="4"/>
      <c r="G633" s="4"/>
      <c r="H633" s="4"/>
      <c r="I633" s="4"/>
      <c r="J633" s="4"/>
      <c r="K633" s="4"/>
      <c r="L633" s="5"/>
      <c r="BJ633" s="4"/>
      <c r="BK633" s="4"/>
      <c r="BL633" s="7"/>
    </row>
    <row r="634">
      <c r="A634" s="4" t="str">
        <f t="shared" si="2"/>
        <v/>
      </c>
      <c r="C634" s="4"/>
      <c r="G634" s="4"/>
      <c r="H634" s="4"/>
      <c r="I634" s="4"/>
      <c r="J634" s="4"/>
      <c r="K634" s="4"/>
      <c r="L634" s="5"/>
      <c r="BJ634" s="4"/>
      <c r="BK634" s="4"/>
      <c r="BL634" s="7"/>
    </row>
    <row r="635">
      <c r="A635" s="4" t="str">
        <f t="shared" si="2"/>
        <v/>
      </c>
      <c r="C635" s="4"/>
      <c r="G635" s="4"/>
      <c r="H635" s="4"/>
      <c r="I635" s="4"/>
      <c r="J635" s="4"/>
      <c r="K635" s="4"/>
      <c r="L635" s="5"/>
      <c r="BJ635" s="4"/>
      <c r="BK635" s="4"/>
      <c r="BL635" s="7"/>
    </row>
    <row r="636">
      <c r="A636" s="4" t="str">
        <f t="shared" si="2"/>
        <v/>
      </c>
      <c r="C636" s="4"/>
      <c r="G636" s="4"/>
      <c r="H636" s="4"/>
      <c r="I636" s="4"/>
      <c r="J636" s="4"/>
      <c r="K636" s="4"/>
      <c r="L636" s="5"/>
      <c r="BJ636" s="4"/>
      <c r="BK636" s="4"/>
      <c r="BL636" s="7"/>
    </row>
    <row r="637">
      <c r="A637" s="4" t="str">
        <f t="shared" si="2"/>
        <v/>
      </c>
      <c r="C637" s="4"/>
      <c r="G637" s="4"/>
      <c r="H637" s="4"/>
      <c r="I637" s="4"/>
      <c r="J637" s="4"/>
      <c r="K637" s="4"/>
      <c r="L637" s="5"/>
      <c r="BJ637" s="4"/>
      <c r="BK637" s="4"/>
      <c r="BL637" s="7"/>
    </row>
    <row r="638">
      <c r="A638" s="4" t="str">
        <f t="shared" si="2"/>
        <v/>
      </c>
      <c r="C638" s="4"/>
      <c r="G638" s="4"/>
      <c r="H638" s="4"/>
      <c r="I638" s="4"/>
      <c r="J638" s="4"/>
      <c r="K638" s="4"/>
      <c r="L638" s="5"/>
      <c r="BJ638" s="4"/>
      <c r="BK638" s="4"/>
      <c r="BL638" s="7"/>
    </row>
    <row r="639">
      <c r="A639" s="4" t="str">
        <f t="shared" si="2"/>
        <v/>
      </c>
      <c r="C639" s="4"/>
      <c r="G639" s="4"/>
      <c r="H639" s="4"/>
      <c r="I639" s="4"/>
      <c r="J639" s="4"/>
      <c r="K639" s="4"/>
      <c r="L639" s="5"/>
      <c r="BJ639" s="4"/>
      <c r="BK639" s="4"/>
      <c r="BL639" s="7"/>
    </row>
    <row r="640">
      <c r="A640" s="4" t="str">
        <f t="shared" si="2"/>
        <v/>
      </c>
      <c r="C640" s="4"/>
      <c r="G640" s="4"/>
      <c r="H640" s="4"/>
      <c r="I640" s="4"/>
      <c r="J640" s="4"/>
      <c r="K640" s="4"/>
      <c r="L640" s="5"/>
      <c r="BJ640" s="4"/>
      <c r="BK640" s="4"/>
      <c r="BL640" s="7"/>
    </row>
    <row r="641">
      <c r="A641" s="4" t="str">
        <f t="shared" si="2"/>
        <v/>
      </c>
      <c r="C641" s="4"/>
      <c r="G641" s="4"/>
      <c r="H641" s="4"/>
      <c r="I641" s="4"/>
      <c r="J641" s="4"/>
      <c r="K641" s="4"/>
      <c r="L641" s="5"/>
      <c r="BJ641" s="4"/>
      <c r="BK641" s="4"/>
      <c r="BL641" s="7"/>
    </row>
    <row r="642">
      <c r="A642" s="4" t="str">
        <f t="shared" si="2"/>
        <v/>
      </c>
      <c r="C642" s="4"/>
      <c r="G642" s="4"/>
      <c r="H642" s="4"/>
      <c r="I642" s="4"/>
      <c r="J642" s="4"/>
      <c r="K642" s="4"/>
      <c r="L642" s="5"/>
      <c r="BJ642" s="4"/>
      <c r="BK642" s="4"/>
      <c r="BL642" s="7"/>
    </row>
    <row r="643">
      <c r="A643" s="4" t="str">
        <f t="shared" si="2"/>
        <v/>
      </c>
      <c r="C643" s="4"/>
      <c r="G643" s="4"/>
      <c r="H643" s="4"/>
      <c r="I643" s="4"/>
      <c r="J643" s="4"/>
      <c r="K643" s="4"/>
      <c r="L643" s="5"/>
      <c r="BJ643" s="4"/>
      <c r="BK643" s="4"/>
      <c r="BL643" s="7"/>
    </row>
    <row r="644">
      <c r="A644" s="4" t="str">
        <f t="shared" si="2"/>
        <v/>
      </c>
      <c r="C644" s="4"/>
      <c r="G644" s="4"/>
      <c r="H644" s="4"/>
      <c r="I644" s="4"/>
      <c r="J644" s="4"/>
      <c r="K644" s="4"/>
      <c r="L644" s="5"/>
      <c r="BJ644" s="4"/>
      <c r="BK644" s="4"/>
      <c r="BL644" s="7"/>
    </row>
    <row r="645">
      <c r="A645" s="4" t="str">
        <f t="shared" si="2"/>
        <v/>
      </c>
      <c r="C645" s="4"/>
      <c r="G645" s="4"/>
      <c r="H645" s="4"/>
      <c r="I645" s="4"/>
      <c r="J645" s="4"/>
      <c r="K645" s="4"/>
      <c r="L645" s="5"/>
      <c r="BJ645" s="4"/>
      <c r="BK645" s="4"/>
      <c r="BL645" s="7"/>
    </row>
    <row r="646">
      <c r="A646" s="4" t="str">
        <f t="shared" si="2"/>
        <v/>
      </c>
      <c r="C646" s="4"/>
      <c r="G646" s="4"/>
      <c r="H646" s="4"/>
      <c r="I646" s="4"/>
      <c r="J646" s="4"/>
      <c r="K646" s="4"/>
      <c r="L646" s="5"/>
      <c r="BJ646" s="4"/>
      <c r="BK646" s="4"/>
      <c r="BL646" s="7"/>
    </row>
    <row r="647">
      <c r="A647" s="4" t="str">
        <f t="shared" si="2"/>
        <v/>
      </c>
      <c r="C647" s="4"/>
      <c r="G647" s="4"/>
      <c r="H647" s="4"/>
      <c r="I647" s="4"/>
      <c r="J647" s="4"/>
      <c r="K647" s="4"/>
      <c r="L647" s="5"/>
      <c r="BJ647" s="4"/>
      <c r="BK647" s="4"/>
      <c r="BL647" s="7"/>
    </row>
    <row r="648">
      <c r="A648" s="4" t="str">
        <f t="shared" si="2"/>
        <v/>
      </c>
      <c r="C648" s="4"/>
      <c r="G648" s="4"/>
      <c r="H648" s="4"/>
      <c r="I648" s="4"/>
      <c r="J648" s="4"/>
      <c r="K648" s="4"/>
      <c r="L648" s="5"/>
      <c r="BJ648" s="4"/>
      <c r="BK648" s="4"/>
      <c r="BL648" s="7"/>
    </row>
    <row r="649">
      <c r="A649" s="4" t="str">
        <f t="shared" si="2"/>
        <v/>
      </c>
      <c r="C649" s="4"/>
      <c r="G649" s="4"/>
      <c r="H649" s="4"/>
      <c r="I649" s="4"/>
      <c r="J649" s="4"/>
      <c r="K649" s="4"/>
      <c r="L649" s="5"/>
      <c r="BJ649" s="4"/>
      <c r="BK649" s="4"/>
      <c r="BL649" s="7"/>
    </row>
    <row r="650">
      <c r="A650" s="4" t="str">
        <f t="shared" si="2"/>
        <v/>
      </c>
      <c r="C650" s="4"/>
      <c r="G650" s="4"/>
      <c r="H650" s="4"/>
      <c r="I650" s="4"/>
      <c r="J650" s="4"/>
      <c r="K650" s="4"/>
      <c r="L650" s="5"/>
      <c r="BJ650" s="4"/>
      <c r="BK650" s="4"/>
      <c r="BL650" s="7"/>
    </row>
    <row r="651">
      <c r="A651" s="4" t="str">
        <f t="shared" si="2"/>
        <v/>
      </c>
      <c r="C651" s="4"/>
      <c r="G651" s="4"/>
      <c r="H651" s="4"/>
      <c r="I651" s="4"/>
      <c r="J651" s="4"/>
      <c r="K651" s="4"/>
      <c r="L651" s="5"/>
      <c r="BJ651" s="4"/>
      <c r="BK651" s="4"/>
      <c r="BL651" s="7"/>
    </row>
    <row r="652">
      <c r="A652" s="4" t="str">
        <f t="shared" si="2"/>
        <v/>
      </c>
      <c r="C652" s="4"/>
      <c r="G652" s="4"/>
      <c r="H652" s="4"/>
      <c r="I652" s="4"/>
      <c r="J652" s="4"/>
      <c r="K652" s="4"/>
      <c r="L652" s="5"/>
      <c r="BJ652" s="4"/>
      <c r="BK652" s="4"/>
      <c r="BL652" s="7"/>
    </row>
    <row r="653">
      <c r="A653" s="4" t="str">
        <f t="shared" si="2"/>
        <v/>
      </c>
      <c r="C653" s="4"/>
      <c r="G653" s="4"/>
      <c r="H653" s="4"/>
      <c r="I653" s="4"/>
      <c r="J653" s="4"/>
      <c r="K653" s="4"/>
      <c r="L653" s="5"/>
      <c r="BJ653" s="4"/>
      <c r="BK653" s="4"/>
      <c r="BL653" s="7"/>
    </row>
    <row r="654">
      <c r="A654" s="4" t="str">
        <f t="shared" si="2"/>
        <v/>
      </c>
      <c r="C654" s="4"/>
      <c r="G654" s="4"/>
      <c r="H654" s="4"/>
      <c r="I654" s="4"/>
      <c r="J654" s="4"/>
      <c r="K654" s="4"/>
      <c r="L654" s="5"/>
      <c r="BJ654" s="4"/>
      <c r="BK654" s="4"/>
      <c r="BL654" s="7"/>
    </row>
    <row r="655">
      <c r="A655" s="4" t="str">
        <f t="shared" si="2"/>
        <v/>
      </c>
      <c r="C655" s="4"/>
      <c r="G655" s="4"/>
      <c r="H655" s="4"/>
      <c r="I655" s="4"/>
      <c r="J655" s="4"/>
      <c r="K655" s="4"/>
      <c r="L655" s="5"/>
      <c r="BJ655" s="4"/>
      <c r="BK655" s="4"/>
      <c r="BL655" s="7"/>
    </row>
    <row r="656">
      <c r="A656" s="4" t="str">
        <f t="shared" si="2"/>
        <v/>
      </c>
      <c r="C656" s="4"/>
      <c r="G656" s="4"/>
      <c r="H656" s="4"/>
      <c r="I656" s="4"/>
      <c r="J656" s="4"/>
      <c r="K656" s="4"/>
      <c r="L656" s="5"/>
      <c r="BJ656" s="4"/>
      <c r="BK656" s="4"/>
      <c r="BL656" s="7"/>
    </row>
    <row r="657">
      <c r="A657" s="4" t="str">
        <f t="shared" si="2"/>
        <v/>
      </c>
      <c r="C657" s="4"/>
      <c r="G657" s="4"/>
      <c r="H657" s="4"/>
      <c r="I657" s="4"/>
      <c r="J657" s="4"/>
      <c r="K657" s="4"/>
      <c r="L657" s="5"/>
      <c r="BJ657" s="4"/>
      <c r="BK657" s="4"/>
      <c r="BL657" s="7"/>
    </row>
    <row r="658">
      <c r="A658" s="4" t="str">
        <f t="shared" si="2"/>
        <v/>
      </c>
      <c r="C658" s="4"/>
      <c r="G658" s="4"/>
      <c r="H658" s="4"/>
      <c r="I658" s="4"/>
      <c r="J658" s="4"/>
      <c r="K658" s="4"/>
      <c r="L658" s="5"/>
      <c r="BJ658" s="4"/>
      <c r="BK658" s="4"/>
      <c r="BL658" s="7"/>
    </row>
    <row r="659">
      <c r="A659" s="4" t="str">
        <f t="shared" si="2"/>
        <v/>
      </c>
      <c r="C659" s="4"/>
      <c r="G659" s="4"/>
      <c r="H659" s="4"/>
      <c r="I659" s="4"/>
      <c r="J659" s="4"/>
      <c r="K659" s="4"/>
      <c r="L659" s="5"/>
      <c r="BJ659" s="4"/>
      <c r="BK659" s="4"/>
      <c r="BL659" s="7"/>
    </row>
    <row r="660">
      <c r="A660" s="4" t="str">
        <f t="shared" si="2"/>
        <v/>
      </c>
      <c r="C660" s="4"/>
      <c r="G660" s="4"/>
      <c r="H660" s="4"/>
      <c r="I660" s="4"/>
      <c r="J660" s="4"/>
      <c r="K660" s="4"/>
      <c r="L660" s="5"/>
      <c r="BJ660" s="4"/>
      <c r="BK660" s="4"/>
      <c r="BL660" s="7"/>
    </row>
    <row r="661">
      <c r="A661" s="4" t="str">
        <f t="shared" si="2"/>
        <v/>
      </c>
      <c r="C661" s="4"/>
      <c r="G661" s="4"/>
      <c r="H661" s="4"/>
      <c r="I661" s="4"/>
      <c r="J661" s="4"/>
      <c r="K661" s="4"/>
      <c r="L661" s="5"/>
      <c r="BJ661" s="4"/>
      <c r="BK661" s="4"/>
      <c r="BL661" s="7"/>
    </row>
    <row r="662">
      <c r="A662" s="4" t="str">
        <f t="shared" si="2"/>
        <v/>
      </c>
      <c r="C662" s="4"/>
      <c r="G662" s="4"/>
      <c r="H662" s="4"/>
      <c r="I662" s="4"/>
      <c r="J662" s="4"/>
      <c r="K662" s="4"/>
      <c r="L662" s="5"/>
      <c r="BJ662" s="4"/>
      <c r="BK662" s="4"/>
      <c r="BL662" s="7"/>
    </row>
    <row r="663">
      <c r="A663" s="4" t="str">
        <f t="shared" si="2"/>
        <v/>
      </c>
      <c r="C663" s="4"/>
      <c r="G663" s="4"/>
      <c r="H663" s="4"/>
      <c r="I663" s="4"/>
      <c r="J663" s="4"/>
      <c r="K663" s="4"/>
      <c r="L663" s="5"/>
      <c r="BJ663" s="4"/>
      <c r="BK663" s="4"/>
      <c r="BL663" s="7"/>
    </row>
    <row r="664">
      <c r="A664" s="4" t="str">
        <f t="shared" si="2"/>
        <v/>
      </c>
      <c r="C664" s="4"/>
      <c r="G664" s="4"/>
      <c r="H664" s="4"/>
      <c r="I664" s="4"/>
      <c r="J664" s="4"/>
      <c r="K664" s="4"/>
      <c r="L664" s="5"/>
      <c r="BJ664" s="4"/>
      <c r="BK664" s="4"/>
      <c r="BL664" s="7"/>
    </row>
    <row r="665">
      <c r="A665" s="4" t="str">
        <f t="shared" si="2"/>
        <v/>
      </c>
      <c r="C665" s="4"/>
      <c r="G665" s="4"/>
      <c r="H665" s="4"/>
      <c r="I665" s="4"/>
      <c r="J665" s="4"/>
      <c r="K665" s="4"/>
      <c r="L665" s="5"/>
      <c r="BJ665" s="4"/>
      <c r="BK665" s="4"/>
      <c r="BL665" s="7"/>
    </row>
    <row r="666">
      <c r="A666" s="4" t="str">
        <f t="shared" si="2"/>
        <v/>
      </c>
      <c r="C666" s="4"/>
      <c r="G666" s="4"/>
      <c r="H666" s="4"/>
      <c r="I666" s="4"/>
      <c r="J666" s="4"/>
      <c r="K666" s="4"/>
      <c r="L666" s="5"/>
      <c r="BJ666" s="4"/>
      <c r="BK666" s="4"/>
      <c r="BL666" s="7"/>
    </row>
    <row r="667">
      <c r="A667" s="4" t="str">
        <f t="shared" si="2"/>
        <v/>
      </c>
      <c r="C667" s="4"/>
      <c r="G667" s="4"/>
      <c r="H667" s="4"/>
      <c r="I667" s="4"/>
      <c r="J667" s="4"/>
      <c r="K667" s="4"/>
      <c r="L667" s="5"/>
      <c r="BJ667" s="4"/>
      <c r="BK667" s="4"/>
      <c r="BL667" s="7"/>
    </row>
    <row r="668">
      <c r="A668" s="4" t="str">
        <f t="shared" si="2"/>
        <v/>
      </c>
      <c r="C668" s="4"/>
      <c r="G668" s="4"/>
      <c r="H668" s="4"/>
      <c r="I668" s="4"/>
      <c r="J668" s="4"/>
      <c r="K668" s="4"/>
      <c r="L668" s="5"/>
      <c r="BJ668" s="4"/>
      <c r="BK668" s="4"/>
      <c r="BL668" s="7"/>
    </row>
    <row r="669">
      <c r="A669" s="4" t="str">
        <f t="shared" si="2"/>
        <v/>
      </c>
      <c r="C669" s="4"/>
      <c r="G669" s="4"/>
      <c r="H669" s="4"/>
      <c r="I669" s="4"/>
      <c r="J669" s="4"/>
      <c r="K669" s="4"/>
      <c r="L669" s="5"/>
      <c r="BJ669" s="4"/>
      <c r="BK669" s="4"/>
      <c r="BL669" s="7"/>
    </row>
    <row r="670">
      <c r="A670" s="4" t="str">
        <f t="shared" si="2"/>
        <v/>
      </c>
      <c r="C670" s="4"/>
      <c r="G670" s="4"/>
      <c r="H670" s="4"/>
      <c r="I670" s="4"/>
      <c r="J670" s="4"/>
      <c r="K670" s="4"/>
      <c r="L670" s="5"/>
      <c r="BJ670" s="4"/>
      <c r="BK670" s="4"/>
      <c r="BL670" s="7"/>
    </row>
    <row r="671">
      <c r="A671" s="4" t="str">
        <f t="shared" si="2"/>
        <v/>
      </c>
      <c r="C671" s="4"/>
      <c r="G671" s="4"/>
      <c r="H671" s="4"/>
      <c r="I671" s="4"/>
      <c r="J671" s="4"/>
      <c r="K671" s="4"/>
      <c r="L671" s="5"/>
      <c r="BJ671" s="4"/>
      <c r="BK671" s="4"/>
      <c r="BL671" s="7"/>
    </row>
    <row r="672">
      <c r="A672" s="4" t="str">
        <f t="shared" si="2"/>
        <v/>
      </c>
      <c r="C672" s="4"/>
      <c r="G672" s="4"/>
      <c r="H672" s="4"/>
      <c r="I672" s="4"/>
      <c r="J672" s="4"/>
      <c r="K672" s="4"/>
      <c r="L672" s="5"/>
      <c r="BJ672" s="4"/>
      <c r="BK672" s="4"/>
      <c r="BL672" s="7"/>
    </row>
    <row r="673">
      <c r="A673" s="4" t="str">
        <f t="shared" si="2"/>
        <v/>
      </c>
      <c r="C673" s="4"/>
      <c r="G673" s="4"/>
      <c r="H673" s="4"/>
      <c r="I673" s="4"/>
      <c r="J673" s="4"/>
      <c r="K673" s="4"/>
      <c r="L673" s="5"/>
      <c r="BJ673" s="4"/>
      <c r="BK673" s="4"/>
      <c r="BL673" s="7"/>
    </row>
    <row r="674">
      <c r="A674" s="4" t="str">
        <f t="shared" si="2"/>
        <v/>
      </c>
      <c r="C674" s="4"/>
      <c r="G674" s="4"/>
      <c r="H674" s="4"/>
      <c r="I674" s="4"/>
      <c r="J674" s="4"/>
      <c r="K674" s="4"/>
      <c r="L674" s="5"/>
      <c r="BJ674" s="4"/>
      <c r="BK674" s="4"/>
      <c r="BL674" s="7"/>
    </row>
    <row r="675">
      <c r="A675" s="4" t="str">
        <f t="shared" si="2"/>
        <v/>
      </c>
      <c r="C675" s="4"/>
      <c r="G675" s="4"/>
      <c r="H675" s="4"/>
      <c r="I675" s="4"/>
      <c r="J675" s="4"/>
      <c r="K675" s="4"/>
      <c r="L675" s="5"/>
      <c r="BJ675" s="4"/>
      <c r="BK675" s="4"/>
      <c r="BL675" s="7"/>
    </row>
    <row r="676">
      <c r="A676" s="4" t="str">
        <f t="shared" si="2"/>
        <v/>
      </c>
      <c r="C676" s="4"/>
      <c r="G676" s="4"/>
      <c r="H676" s="4"/>
      <c r="I676" s="4"/>
      <c r="J676" s="4"/>
      <c r="K676" s="4"/>
      <c r="L676" s="5"/>
      <c r="BJ676" s="4"/>
      <c r="BK676" s="4"/>
      <c r="BL676" s="7"/>
    </row>
    <row r="677">
      <c r="A677" s="4" t="str">
        <f t="shared" si="2"/>
        <v/>
      </c>
      <c r="C677" s="4"/>
      <c r="G677" s="4"/>
      <c r="H677" s="4"/>
      <c r="I677" s="4"/>
      <c r="J677" s="4"/>
      <c r="K677" s="4"/>
      <c r="L677" s="5"/>
      <c r="BJ677" s="4"/>
      <c r="BK677" s="4"/>
      <c r="BL677" s="7"/>
    </row>
    <row r="678">
      <c r="A678" s="4" t="str">
        <f t="shared" si="2"/>
        <v/>
      </c>
      <c r="C678" s="4"/>
      <c r="G678" s="4"/>
      <c r="H678" s="4"/>
      <c r="I678" s="4"/>
      <c r="J678" s="4"/>
      <c r="K678" s="4"/>
      <c r="L678" s="5"/>
      <c r="BJ678" s="4"/>
      <c r="BK678" s="4"/>
      <c r="BL678" s="7"/>
    </row>
    <row r="679">
      <c r="A679" s="4" t="str">
        <f t="shared" si="2"/>
        <v/>
      </c>
      <c r="C679" s="4"/>
      <c r="G679" s="4"/>
      <c r="H679" s="4"/>
      <c r="I679" s="4"/>
      <c r="J679" s="4"/>
      <c r="K679" s="4"/>
      <c r="L679" s="5"/>
      <c r="BJ679" s="4"/>
      <c r="BK679" s="4"/>
      <c r="BL679" s="7"/>
    </row>
    <row r="680">
      <c r="A680" s="4" t="str">
        <f t="shared" si="2"/>
        <v/>
      </c>
      <c r="C680" s="4"/>
      <c r="G680" s="4"/>
      <c r="H680" s="4"/>
      <c r="I680" s="4"/>
      <c r="J680" s="4"/>
      <c r="K680" s="4"/>
      <c r="L680" s="5"/>
      <c r="BJ680" s="4"/>
      <c r="BK680" s="4"/>
      <c r="BL680" s="7"/>
    </row>
    <row r="681">
      <c r="A681" s="4" t="str">
        <f t="shared" si="2"/>
        <v/>
      </c>
      <c r="C681" s="4"/>
      <c r="G681" s="4"/>
      <c r="H681" s="4"/>
      <c r="I681" s="4"/>
      <c r="J681" s="4"/>
      <c r="K681" s="4"/>
      <c r="L681" s="5"/>
      <c r="BJ681" s="4"/>
      <c r="BK681" s="4"/>
      <c r="BL681" s="7"/>
    </row>
    <row r="682">
      <c r="A682" s="4" t="str">
        <f t="shared" si="2"/>
        <v/>
      </c>
      <c r="C682" s="4"/>
      <c r="G682" s="4"/>
      <c r="H682" s="4"/>
      <c r="I682" s="4"/>
      <c r="J682" s="4"/>
      <c r="K682" s="4"/>
      <c r="L682" s="5"/>
      <c r="BJ682" s="4"/>
      <c r="BK682" s="4"/>
      <c r="BL682" s="7"/>
    </row>
    <row r="683">
      <c r="A683" s="4" t="str">
        <f t="shared" si="2"/>
        <v/>
      </c>
      <c r="C683" s="4"/>
      <c r="G683" s="4"/>
      <c r="H683" s="4"/>
      <c r="I683" s="4"/>
      <c r="J683" s="4"/>
      <c r="K683" s="4"/>
      <c r="L683" s="5"/>
      <c r="BJ683" s="4"/>
      <c r="BK683" s="4"/>
      <c r="BL683" s="7"/>
    </row>
    <row r="684">
      <c r="A684" s="4" t="str">
        <f t="shared" si="2"/>
        <v/>
      </c>
      <c r="C684" s="4"/>
      <c r="G684" s="4"/>
      <c r="H684" s="4"/>
      <c r="I684" s="4"/>
      <c r="J684" s="4"/>
      <c r="K684" s="4"/>
      <c r="L684" s="5"/>
      <c r="BJ684" s="4"/>
      <c r="BK684" s="4"/>
      <c r="BL684" s="7"/>
    </row>
    <row r="685">
      <c r="A685" s="4" t="str">
        <f t="shared" si="2"/>
        <v/>
      </c>
      <c r="C685" s="4"/>
      <c r="G685" s="4"/>
      <c r="H685" s="4"/>
      <c r="I685" s="4"/>
      <c r="J685" s="4"/>
      <c r="K685" s="4"/>
      <c r="L685" s="5"/>
      <c r="BJ685" s="4"/>
      <c r="BK685" s="4"/>
      <c r="BL685" s="7"/>
    </row>
    <row r="686">
      <c r="A686" s="4" t="str">
        <f t="shared" si="2"/>
        <v/>
      </c>
      <c r="C686" s="4"/>
      <c r="G686" s="4"/>
      <c r="H686" s="4"/>
      <c r="I686" s="4"/>
      <c r="J686" s="4"/>
      <c r="K686" s="4"/>
      <c r="L686" s="5"/>
      <c r="BJ686" s="4"/>
      <c r="BK686" s="4"/>
      <c r="BL686" s="7"/>
    </row>
    <row r="687">
      <c r="A687" s="4" t="str">
        <f t="shared" si="2"/>
        <v/>
      </c>
      <c r="C687" s="4"/>
      <c r="G687" s="4"/>
      <c r="H687" s="4"/>
      <c r="I687" s="4"/>
      <c r="J687" s="4"/>
      <c r="K687" s="4"/>
      <c r="L687" s="5"/>
      <c r="BJ687" s="4"/>
      <c r="BK687" s="4"/>
      <c r="BL687" s="7"/>
    </row>
    <row r="688">
      <c r="A688" s="4" t="str">
        <f t="shared" si="2"/>
        <v/>
      </c>
      <c r="C688" s="4"/>
      <c r="G688" s="4"/>
      <c r="H688" s="4"/>
      <c r="I688" s="4"/>
      <c r="J688" s="4"/>
      <c r="K688" s="4"/>
      <c r="L688" s="5"/>
      <c r="BJ688" s="4"/>
      <c r="BK688" s="4"/>
      <c r="BL688" s="7"/>
    </row>
    <row r="689">
      <c r="A689" s="4" t="str">
        <f t="shared" si="2"/>
        <v/>
      </c>
      <c r="C689" s="4"/>
      <c r="G689" s="4"/>
      <c r="H689" s="4"/>
      <c r="I689" s="4"/>
      <c r="J689" s="4"/>
      <c r="K689" s="4"/>
      <c r="L689" s="5"/>
      <c r="BJ689" s="4"/>
      <c r="BK689" s="4"/>
      <c r="BL689" s="7"/>
    </row>
    <row r="690">
      <c r="A690" s="4" t="str">
        <f t="shared" si="2"/>
        <v/>
      </c>
      <c r="C690" s="4"/>
      <c r="G690" s="4"/>
      <c r="H690" s="4"/>
      <c r="I690" s="4"/>
      <c r="J690" s="4"/>
      <c r="K690" s="4"/>
      <c r="L690" s="5"/>
      <c r="BJ690" s="4"/>
      <c r="BK690" s="4"/>
      <c r="BL690" s="7"/>
    </row>
    <row r="691">
      <c r="A691" s="4" t="str">
        <f t="shared" si="2"/>
        <v/>
      </c>
      <c r="C691" s="4"/>
      <c r="G691" s="4"/>
      <c r="H691" s="4"/>
      <c r="I691" s="4"/>
      <c r="J691" s="4"/>
      <c r="K691" s="4"/>
      <c r="L691" s="5"/>
      <c r="BJ691" s="4"/>
      <c r="BK691" s="4"/>
      <c r="BL691" s="7"/>
    </row>
    <row r="692">
      <c r="A692" s="4" t="str">
        <f t="shared" si="2"/>
        <v/>
      </c>
      <c r="C692" s="4"/>
      <c r="G692" s="4"/>
      <c r="H692" s="4"/>
      <c r="I692" s="4"/>
      <c r="J692" s="4"/>
      <c r="K692" s="4"/>
      <c r="L692" s="5"/>
      <c r="BJ692" s="4"/>
      <c r="BK692" s="4"/>
      <c r="BL692" s="7"/>
    </row>
    <row r="693">
      <c r="A693" s="4" t="str">
        <f t="shared" si="2"/>
        <v/>
      </c>
      <c r="C693" s="4"/>
      <c r="G693" s="4"/>
      <c r="H693" s="4"/>
      <c r="I693" s="4"/>
      <c r="J693" s="4"/>
      <c r="K693" s="4"/>
      <c r="L693" s="5"/>
      <c r="BJ693" s="4"/>
      <c r="BK693" s="4"/>
      <c r="BL693" s="7"/>
    </row>
    <row r="694">
      <c r="A694" s="4" t="str">
        <f t="shared" si="2"/>
        <v/>
      </c>
      <c r="C694" s="4"/>
      <c r="G694" s="4"/>
      <c r="H694" s="4"/>
      <c r="I694" s="4"/>
      <c r="J694" s="4"/>
      <c r="K694" s="4"/>
      <c r="L694" s="5"/>
      <c r="BJ694" s="4"/>
      <c r="BK694" s="4"/>
      <c r="BL694" s="7"/>
    </row>
    <row r="695">
      <c r="A695" s="4" t="str">
        <f t="shared" si="2"/>
        <v/>
      </c>
      <c r="C695" s="4"/>
      <c r="G695" s="4"/>
      <c r="H695" s="4"/>
      <c r="I695" s="4"/>
      <c r="J695" s="4"/>
      <c r="K695" s="4"/>
      <c r="L695" s="5"/>
      <c r="BJ695" s="4"/>
      <c r="BK695" s="4"/>
      <c r="BL695" s="7"/>
    </row>
    <row r="696">
      <c r="A696" s="4" t="str">
        <f t="shared" si="2"/>
        <v/>
      </c>
      <c r="C696" s="4"/>
      <c r="G696" s="4"/>
      <c r="H696" s="4"/>
      <c r="I696" s="4"/>
      <c r="J696" s="4"/>
      <c r="K696" s="4"/>
      <c r="L696" s="5"/>
      <c r="BJ696" s="4"/>
      <c r="BK696" s="4"/>
      <c r="BL696" s="7"/>
    </row>
    <row r="697">
      <c r="A697" s="4" t="str">
        <f t="shared" si="2"/>
        <v/>
      </c>
      <c r="C697" s="4"/>
      <c r="G697" s="4"/>
      <c r="H697" s="4"/>
      <c r="I697" s="4"/>
      <c r="J697" s="4"/>
      <c r="K697" s="4"/>
      <c r="L697" s="5"/>
      <c r="BJ697" s="4"/>
      <c r="BK697" s="4"/>
      <c r="BL697" s="7"/>
    </row>
    <row r="698">
      <c r="A698" s="4" t="str">
        <f t="shared" si="2"/>
        <v/>
      </c>
      <c r="C698" s="4"/>
      <c r="G698" s="4"/>
      <c r="H698" s="4"/>
      <c r="I698" s="4"/>
      <c r="J698" s="4"/>
      <c r="K698" s="4"/>
      <c r="L698" s="5"/>
      <c r="BJ698" s="4"/>
      <c r="BK698" s="4"/>
      <c r="BL698" s="7"/>
    </row>
    <row r="699">
      <c r="A699" s="4" t="str">
        <f t="shared" si="2"/>
        <v/>
      </c>
      <c r="C699" s="4"/>
      <c r="G699" s="4"/>
      <c r="H699" s="4"/>
      <c r="I699" s="4"/>
      <c r="J699" s="4"/>
      <c r="K699" s="4"/>
      <c r="L699" s="5"/>
      <c r="BJ699" s="4"/>
      <c r="BK699" s="4"/>
      <c r="BL699" s="7"/>
    </row>
    <row r="700">
      <c r="A700" s="4" t="str">
        <f t="shared" si="2"/>
        <v/>
      </c>
      <c r="C700" s="4"/>
      <c r="G700" s="4"/>
      <c r="H700" s="4"/>
      <c r="I700" s="4"/>
      <c r="J700" s="4"/>
      <c r="K700" s="4"/>
      <c r="L700" s="5"/>
      <c r="BJ700" s="4"/>
      <c r="BK700" s="4"/>
      <c r="BL700" s="7"/>
    </row>
    <row r="701">
      <c r="A701" s="4" t="str">
        <f t="shared" si="2"/>
        <v/>
      </c>
      <c r="C701" s="4"/>
      <c r="G701" s="4"/>
      <c r="H701" s="4"/>
      <c r="I701" s="4"/>
      <c r="J701" s="4"/>
      <c r="K701" s="4"/>
      <c r="L701" s="5"/>
      <c r="BJ701" s="4"/>
      <c r="BK701" s="4"/>
      <c r="BL701" s="7"/>
    </row>
    <row r="702">
      <c r="A702" s="4" t="str">
        <f t="shared" si="2"/>
        <v/>
      </c>
      <c r="C702" s="4"/>
      <c r="G702" s="4"/>
      <c r="H702" s="4"/>
      <c r="I702" s="4"/>
      <c r="J702" s="4"/>
      <c r="K702" s="4"/>
      <c r="L702" s="5"/>
      <c r="BJ702" s="4"/>
      <c r="BK702" s="4"/>
      <c r="BL702" s="7"/>
    </row>
    <row r="703">
      <c r="A703" s="4" t="str">
        <f t="shared" si="2"/>
        <v/>
      </c>
      <c r="C703" s="4"/>
      <c r="G703" s="4"/>
      <c r="H703" s="4"/>
      <c r="I703" s="4"/>
      <c r="J703" s="4"/>
      <c r="K703" s="4"/>
      <c r="L703" s="5"/>
      <c r="BJ703" s="4"/>
      <c r="BK703" s="4"/>
      <c r="BL703" s="7"/>
    </row>
    <row r="704">
      <c r="A704" s="4" t="str">
        <f t="shared" si="2"/>
        <v/>
      </c>
      <c r="C704" s="4"/>
      <c r="G704" s="4"/>
      <c r="H704" s="4"/>
      <c r="I704" s="4"/>
      <c r="J704" s="4"/>
      <c r="K704" s="4"/>
      <c r="L704" s="5"/>
      <c r="BJ704" s="4"/>
      <c r="BK704" s="4"/>
      <c r="BL704" s="7"/>
    </row>
    <row r="705">
      <c r="A705" s="4" t="str">
        <f t="shared" si="2"/>
        <v/>
      </c>
      <c r="C705" s="4"/>
      <c r="G705" s="4"/>
      <c r="H705" s="4"/>
      <c r="I705" s="4"/>
      <c r="J705" s="4"/>
      <c r="K705" s="4"/>
      <c r="L705" s="5"/>
      <c r="BJ705" s="4"/>
      <c r="BK705" s="4"/>
      <c r="BL705" s="7"/>
    </row>
    <row r="706">
      <c r="A706" s="4" t="str">
        <f t="shared" si="2"/>
        <v/>
      </c>
      <c r="C706" s="4"/>
      <c r="G706" s="4"/>
      <c r="H706" s="4"/>
      <c r="I706" s="4"/>
      <c r="J706" s="4"/>
      <c r="K706" s="4"/>
      <c r="L706" s="5"/>
      <c r="BJ706" s="4"/>
      <c r="BK706" s="4"/>
      <c r="BL706" s="7"/>
    </row>
    <row r="707">
      <c r="A707" s="4" t="str">
        <f t="shared" si="2"/>
        <v/>
      </c>
      <c r="C707" s="4"/>
      <c r="G707" s="4"/>
      <c r="H707" s="4"/>
      <c r="I707" s="4"/>
      <c r="J707" s="4"/>
      <c r="K707" s="4"/>
      <c r="L707" s="5"/>
      <c r="BJ707" s="4"/>
      <c r="BK707" s="4"/>
      <c r="BL707" s="7"/>
    </row>
    <row r="708">
      <c r="A708" s="4" t="str">
        <f t="shared" si="2"/>
        <v/>
      </c>
      <c r="C708" s="4"/>
      <c r="G708" s="4"/>
      <c r="H708" s="4"/>
      <c r="I708" s="4"/>
      <c r="J708" s="4"/>
      <c r="K708" s="4"/>
      <c r="L708" s="5"/>
      <c r="BJ708" s="4"/>
      <c r="BK708" s="4"/>
      <c r="BL708" s="7"/>
    </row>
    <row r="709">
      <c r="A709" s="4" t="str">
        <f t="shared" si="2"/>
        <v/>
      </c>
      <c r="C709" s="4"/>
      <c r="G709" s="4"/>
      <c r="H709" s="4"/>
      <c r="I709" s="4"/>
      <c r="J709" s="4"/>
      <c r="K709" s="4"/>
      <c r="L709" s="5"/>
      <c r="BJ709" s="4"/>
      <c r="BK709" s="4"/>
      <c r="BL709" s="7"/>
    </row>
    <row r="710">
      <c r="A710" s="4" t="str">
        <f t="shared" si="2"/>
        <v/>
      </c>
      <c r="C710" s="4"/>
      <c r="G710" s="4"/>
      <c r="H710" s="4"/>
      <c r="I710" s="4"/>
      <c r="J710" s="4"/>
      <c r="K710" s="4"/>
      <c r="L710" s="5"/>
      <c r="BJ710" s="4"/>
      <c r="BK710" s="4"/>
      <c r="BL710" s="7"/>
    </row>
    <row r="711">
      <c r="A711" s="4" t="str">
        <f t="shared" si="2"/>
        <v/>
      </c>
      <c r="C711" s="4"/>
      <c r="G711" s="4"/>
      <c r="H711" s="4"/>
      <c r="I711" s="4"/>
      <c r="J711" s="4"/>
      <c r="K711" s="4"/>
      <c r="L711" s="5"/>
      <c r="BJ711" s="4"/>
      <c r="BK711" s="4"/>
      <c r="BL711" s="7"/>
    </row>
    <row r="712">
      <c r="A712" s="4" t="str">
        <f t="shared" si="2"/>
        <v/>
      </c>
      <c r="C712" s="4"/>
      <c r="G712" s="4"/>
      <c r="H712" s="4"/>
      <c r="I712" s="4"/>
      <c r="J712" s="4"/>
      <c r="K712" s="4"/>
      <c r="L712" s="5"/>
      <c r="BJ712" s="4"/>
      <c r="BK712" s="4"/>
      <c r="BL712" s="7"/>
    </row>
    <row r="713">
      <c r="A713" s="4"/>
      <c r="C713" s="4"/>
      <c r="G713" s="4"/>
      <c r="H713" s="4"/>
      <c r="I713" s="4"/>
      <c r="J713" s="4"/>
      <c r="K713" s="4"/>
      <c r="L713" s="5"/>
      <c r="BJ713" s="4"/>
      <c r="BK713" s="4"/>
      <c r="BL713" s="7"/>
    </row>
    <row r="714">
      <c r="A714" s="4"/>
      <c r="C714" s="4"/>
      <c r="G714" s="4"/>
      <c r="H714" s="4"/>
      <c r="I714" s="4"/>
      <c r="J714" s="4"/>
      <c r="K714" s="4"/>
      <c r="L714" s="5"/>
      <c r="BJ714" s="4"/>
      <c r="BK714" s="4"/>
      <c r="BL714" s="7"/>
    </row>
    <row r="715">
      <c r="A715" s="4"/>
      <c r="C715" s="4"/>
      <c r="G715" s="4"/>
      <c r="H715" s="4"/>
      <c r="I715" s="4"/>
      <c r="J715" s="4"/>
      <c r="K715" s="4"/>
      <c r="L715" s="5"/>
      <c r="BJ715" s="4"/>
      <c r="BK715" s="4"/>
      <c r="BL715" s="7"/>
    </row>
    <row r="716">
      <c r="A716" s="4"/>
      <c r="C716" s="4"/>
      <c r="G716" s="4"/>
      <c r="H716" s="4"/>
      <c r="I716" s="4"/>
      <c r="J716" s="4"/>
      <c r="K716" s="4"/>
      <c r="L716" s="5"/>
      <c r="BJ716" s="4"/>
      <c r="BK716" s="4"/>
      <c r="BL716" s="7"/>
    </row>
    <row r="717">
      <c r="A717" s="4"/>
      <c r="C717" s="4"/>
      <c r="G717" s="4"/>
      <c r="H717" s="4"/>
      <c r="I717" s="4"/>
      <c r="J717" s="4"/>
      <c r="K717" s="4"/>
      <c r="L717" s="5"/>
      <c r="BJ717" s="4"/>
      <c r="BK717" s="4"/>
      <c r="BL717" s="7"/>
    </row>
    <row r="718">
      <c r="A718" s="4"/>
      <c r="C718" s="4"/>
      <c r="G718" s="4"/>
      <c r="H718" s="4"/>
      <c r="I718" s="4"/>
      <c r="J718" s="4"/>
      <c r="K718" s="4"/>
      <c r="L718" s="5"/>
      <c r="BJ718" s="4"/>
      <c r="BK718" s="4"/>
      <c r="BL718" s="7"/>
    </row>
    <row r="719">
      <c r="A719" s="4"/>
      <c r="C719" s="4"/>
      <c r="G719" s="4"/>
      <c r="H719" s="4"/>
      <c r="I719" s="4"/>
      <c r="J719" s="4"/>
      <c r="K719" s="4"/>
      <c r="L719" s="5"/>
      <c r="BJ719" s="4"/>
      <c r="BK719" s="4"/>
      <c r="BL719" s="7"/>
    </row>
    <row r="720">
      <c r="A720" s="4"/>
      <c r="C720" s="4"/>
      <c r="G720" s="4"/>
      <c r="H720" s="4"/>
      <c r="I720" s="4"/>
      <c r="J720" s="4"/>
      <c r="K720" s="4"/>
      <c r="L720" s="5"/>
      <c r="BJ720" s="4"/>
      <c r="BK720" s="4"/>
      <c r="BL720" s="7"/>
    </row>
    <row r="721">
      <c r="A721" s="4"/>
      <c r="C721" s="4"/>
      <c r="G721" s="4"/>
      <c r="H721" s="4"/>
      <c r="I721" s="4"/>
      <c r="J721" s="4"/>
      <c r="K721" s="4"/>
      <c r="L721" s="5"/>
      <c r="BJ721" s="4"/>
      <c r="BK721" s="4"/>
      <c r="BL721" s="7"/>
    </row>
    <row r="722">
      <c r="A722" s="4"/>
      <c r="C722" s="4"/>
      <c r="G722" s="4"/>
      <c r="H722" s="4"/>
      <c r="I722" s="4"/>
      <c r="J722" s="4"/>
      <c r="K722" s="4"/>
      <c r="L722" s="5"/>
      <c r="BJ722" s="4"/>
      <c r="BK722" s="4"/>
      <c r="BL722" s="7"/>
    </row>
    <row r="723">
      <c r="A723" s="4"/>
      <c r="C723" s="4"/>
      <c r="G723" s="4"/>
      <c r="H723" s="4"/>
      <c r="I723" s="4"/>
      <c r="J723" s="4"/>
      <c r="K723" s="4"/>
      <c r="L723" s="5"/>
      <c r="BJ723" s="4"/>
      <c r="BK723" s="4"/>
      <c r="BL723" s="7"/>
    </row>
    <row r="724">
      <c r="A724" s="4"/>
      <c r="C724" s="4"/>
      <c r="G724" s="4"/>
      <c r="H724" s="4"/>
      <c r="I724" s="4"/>
      <c r="J724" s="4"/>
      <c r="K724" s="4"/>
      <c r="L724" s="5"/>
      <c r="BJ724" s="4"/>
      <c r="BK724" s="4"/>
      <c r="BL724" s="7"/>
    </row>
    <row r="725">
      <c r="A725" s="4"/>
      <c r="C725" s="4"/>
      <c r="G725" s="4"/>
      <c r="H725" s="4"/>
      <c r="I725" s="4"/>
      <c r="J725" s="4"/>
      <c r="K725" s="4"/>
      <c r="L725" s="5"/>
      <c r="BJ725" s="4"/>
      <c r="BK725" s="4"/>
      <c r="BL725" s="7"/>
    </row>
    <row r="726">
      <c r="A726" s="4"/>
      <c r="C726" s="4"/>
      <c r="G726" s="4"/>
      <c r="H726" s="4"/>
      <c r="I726" s="4"/>
      <c r="J726" s="4"/>
      <c r="K726" s="4"/>
      <c r="L726" s="5"/>
      <c r="BJ726" s="4"/>
      <c r="BK726" s="4"/>
      <c r="BL726" s="7"/>
    </row>
    <row r="727">
      <c r="A727" s="4"/>
      <c r="C727" s="4"/>
      <c r="G727" s="4"/>
      <c r="H727" s="4"/>
      <c r="I727" s="4"/>
      <c r="J727" s="4"/>
      <c r="K727" s="4"/>
      <c r="L727" s="5"/>
      <c r="BJ727" s="4"/>
      <c r="BK727" s="4"/>
      <c r="BL727" s="7"/>
    </row>
    <row r="728">
      <c r="A728" s="4"/>
      <c r="C728" s="4"/>
      <c r="G728" s="4"/>
      <c r="H728" s="4"/>
      <c r="I728" s="4"/>
      <c r="J728" s="4"/>
      <c r="K728" s="4"/>
      <c r="L728" s="5"/>
      <c r="BJ728" s="4"/>
      <c r="BK728" s="4"/>
      <c r="BL728" s="7"/>
    </row>
    <row r="729">
      <c r="A729" s="4"/>
      <c r="C729" s="4"/>
      <c r="G729" s="4"/>
      <c r="H729" s="4"/>
      <c r="I729" s="4"/>
      <c r="J729" s="4"/>
      <c r="K729" s="4"/>
      <c r="L729" s="5"/>
      <c r="BJ729" s="4"/>
      <c r="BK729" s="4"/>
      <c r="BL729" s="7"/>
    </row>
    <row r="730">
      <c r="A730" s="4"/>
      <c r="C730" s="4"/>
      <c r="G730" s="4"/>
      <c r="H730" s="4"/>
      <c r="I730" s="4"/>
      <c r="J730" s="4"/>
      <c r="K730" s="4"/>
      <c r="L730" s="5"/>
      <c r="BJ730" s="4"/>
      <c r="BK730" s="4"/>
      <c r="BL730" s="7"/>
    </row>
    <row r="731">
      <c r="A731" s="4"/>
      <c r="C731" s="4"/>
      <c r="G731" s="4"/>
      <c r="H731" s="4"/>
      <c r="I731" s="4"/>
      <c r="J731" s="4"/>
      <c r="K731" s="4"/>
      <c r="L731" s="5"/>
      <c r="BJ731" s="4"/>
      <c r="BK731" s="4"/>
      <c r="BL731" s="7"/>
    </row>
    <row r="732">
      <c r="A732" s="4"/>
      <c r="C732" s="4"/>
      <c r="G732" s="4"/>
      <c r="H732" s="4"/>
      <c r="I732" s="4"/>
      <c r="J732" s="4"/>
      <c r="K732" s="4"/>
      <c r="L732" s="5"/>
      <c r="BJ732" s="4"/>
      <c r="BK732" s="4"/>
      <c r="BL732" s="7"/>
    </row>
    <row r="733">
      <c r="A733" s="4"/>
      <c r="C733" s="4"/>
      <c r="G733" s="4"/>
      <c r="H733" s="4"/>
      <c r="I733" s="4"/>
      <c r="J733" s="4"/>
      <c r="K733" s="4"/>
      <c r="L733" s="5"/>
      <c r="BJ733" s="4"/>
      <c r="BK733" s="4"/>
      <c r="BL733" s="7"/>
    </row>
    <row r="734">
      <c r="A734" s="4"/>
      <c r="C734" s="4"/>
      <c r="G734" s="4"/>
      <c r="H734" s="4"/>
      <c r="I734" s="4"/>
      <c r="J734" s="4"/>
      <c r="K734" s="4"/>
      <c r="L734" s="5"/>
      <c r="BJ734" s="4"/>
      <c r="BK734" s="4"/>
      <c r="BL734" s="7"/>
    </row>
    <row r="735">
      <c r="A735" s="4"/>
      <c r="C735" s="4"/>
      <c r="G735" s="4"/>
      <c r="H735" s="4"/>
      <c r="I735" s="4"/>
      <c r="J735" s="4"/>
      <c r="K735" s="4"/>
      <c r="L735" s="5"/>
      <c r="BJ735" s="4"/>
      <c r="BK735" s="4"/>
      <c r="BL735" s="7"/>
    </row>
    <row r="736">
      <c r="A736" s="4"/>
      <c r="C736" s="4"/>
      <c r="G736" s="4"/>
      <c r="H736" s="4"/>
      <c r="I736" s="4"/>
      <c r="J736" s="4"/>
      <c r="K736" s="4"/>
      <c r="L736" s="5"/>
      <c r="BJ736" s="4"/>
      <c r="BK736" s="4"/>
      <c r="BL736" s="7"/>
    </row>
    <row r="737">
      <c r="A737" s="4"/>
      <c r="C737" s="4"/>
      <c r="G737" s="4"/>
      <c r="H737" s="4"/>
      <c r="I737" s="4"/>
      <c r="J737" s="4"/>
      <c r="K737" s="4"/>
      <c r="L737" s="5"/>
      <c r="BJ737" s="4"/>
      <c r="BK737" s="4"/>
      <c r="BL737" s="7"/>
    </row>
    <row r="738">
      <c r="A738" s="4"/>
      <c r="C738" s="4"/>
      <c r="G738" s="4"/>
      <c r="H738" s="4"/>
      <c r="I738" s="4"/>
      <c r="J738" s="4"/>
      <c r="K738" s="4"/>
      <c r="L738" s="5"/>
      <c r="BJ738" s="4"/>
      <c r="BK738" s="4"/>
      <c r="BL738" s="7"/>
    </row>
    <row r="739">
      <c r="A739" s="4"/>
      <c r="C739" s="4"/>
      <c r="G739" s="4"/>
      <c r="H739" s="4"/>
      <c r="I739" s="4"/>
      <c r="J739" s="4"/>
      <c r="K739" s="4"/>
      <c r="L739" s="5"/>
      <c r="BJ739" s="4"/>
      <c r="BK739" s="4"/>
      <c r="BL739" s="7"/>
    </row>
    <row r="740">
      <c r="A740" s="4"/>
      <c r="C740" s="4"/>
      <c r="G740" s="4"/>
      <c r="H740" s="4"/>
      <c r="I740" s="4"/>
      <c r="J740" s="4"/>
      <c r="K740" s="4"/>
      <c r="L740" s="5"/>
      <c r="BJ740" s="4"/>
      <c r="BK740" s="4"/>
      <c r="BL740" s="7"/>
    </row>
    <row r="741">
      <c r="A741" s="4"/>
      <c r="C741" s="4"/>
      <c r="G741" s="4"/>
      <c r="H741" s="4"/>
      <c r="I741" s="4"/>
      <c r="J741" s="4"/>
      <c r="K741" s="4"/>
      <c r="L741" s="5"/>
      <c r="BJ741" s="4"/>
      <c r="BK741" s="4"/>
      <c r="BL741" s="7"/>
    </row>
    <row r="742">
      <c r="A742" s="4"/>
      <c r="C742" s="4"/>
      <c r="G742" s="4"/>
      <c r="H742" s="4"/>
      <c r="I742" s="4"/>
      <c r="J742" s="4"/>
      <c r="K742" s="4"/>
      <c r="L742" s="5"/>
      <c r="BJ742" s="4"/>
      <c r="BK742" s="4"/>
      <c r="BL742" s="7"/>
    </row>
    <row r="743">
      <c r="A743" s="4"/>
      <c r="C743" s="4"/>
      <c r="G743" s="4"/>
      <c r="H743" s="4"/>
      <c r="I743" s="4"/>
      <c r="J743" s="4"/>
      <c r="K743" s="4"/>
      <c r="L743" s="5"/>
      <c r="BJ743" s="4"/>
      <c r="BK743" s="4"/>
      <c r="BL743" s="7"/>
    </row>
    <row r="744">
      <c r="A744" s="4"/>
      <c r="C744" s="4"/>
      <c r="G744" s="4"/>
      <c r="H744" s="4"/>
      <c r="I744" s="4"/>
      <c r="J744" s="4"/>
      <c r="K744" s="4"/>
      <c r="L744" s="5"/>
      <c r="BJ744" s="4"/>
      <c r="BK744" s="4"/>
      <c r="BL744" s="7"/>
    </row>
    <row r="745">
      <c r="A745" s="4"/>
      <c r="C745" s="4"/>
      <c r="G745" s="4"/>
      <c r="H745" s="4"/>
      <c r="I745" s="4"/>
      <c r="J745" s="4"/>
      <c r="K745" s="4"/>
      <c r="L745" s="5"/>
      <c r="BJ745" s="4"/>
      <c r="BK745" s="4"/>
      <c r="BL745" s="7"/>
    </row>
    <row r="746">
      <c r="A746" s="4"/>
      <c r="C746" s="4"/>
      <c r="G746" s="4"/>
      <c r="H746" s="4"/>
      <c r="I746" s="4"/>
      <c r="J746" s="4"/>
      <c r="K746" s="4"/>
      <c r="L746" s="5"/>
      <c r="BJ746" s="4"/>
      <c r="BK746" s="4"/>
      <c r="BL746" s="7"/>
    </row>
    <row r="747">
      <c r="A747" s="4"/>
      <c r="C747" s="4"/>
      <c r="G747" s="4"/>
      <c r="H747" s="4"/>
      <c r="I747" s="4"/>
      <c r="J747" s="4"/>
      <c r="K747" s="4"/>
      <c r="L747" s="5"/>
      <c r="BJ747" s="4"/>
      <c r="BK747" s="4"/>
      <c r="BL747" s="7"/>
    </row>
    <row r="748">
      <c r="A748" s="4"/>
      <c r="C748" s="4"/>
      <c r="G748" s="4"/>
      <c r="H748" s="4"/>
      <c r="I748" s="4"/>
      <c r="J748" s="4"/>
      <c r="K748" s="4"/>
      <c r="L748" s="5"/>
      <c r="BJ748" s="4"/>
      <c r="BK748" s="4"/>
      <c r="BL748" s="7"/>
    </row>
    <row r="749">
      <c r="A749" s="4"/>
      <c r="C749" s="4"/>
      <c r="G749" s="4"/>
      <c r="H749" s="4"/>
      <c r="I749" s="4"/>
      <c r="J749" s="4"/>
      <c r="K749" s="4"/>
      <c r="L749" s="5"/>
      <c r="BJ749" s="4"/>
      <c r="BK749" s="4"/>
      <c r="BL749" s="7"/>
    </row>
    <row r="750">
      <c r="A750" s="4"/>
      <c r="C750" s="4"/>
      <c r="G750" s="4"/>
      <c r="H750" s="4"/>
      <c r="I750" s="4"/>
      <c r="J750" s="4"/>
      <c r="K750" s="4"/>
      <c r="L750" s="5"/>
      <c r="BJ750" s="4"/>
      <c r="BK750" s="4"/>
      <c r="BL750" s="7"/>
    </row>
    <row r="751">
      <c r="A751" s="4"/>
      <c r="C751" s="4"/>
      <c r="G751" s="4"/>
      <c r="H751" s="4"/>
      <c r="I751" s="4"/>
      <c r="J751" s="4"/>
      <c r="K751" s="4"/>
      <c r="L751" s="5"/>
      <c r="BJ751" s="4"/>
      <c r="BK751" s="4"/>
      <c r="BL751" s="7"/>
    </row>
    <row r="752">
      <c r="A752" s="4"/>
      <c r="C752" s="4"/>
      <c r="G752" s="4"/>
      <c r="H752" s="4"/>
      <c r="I752" s="4"/>
      <c r="J752" s="4"/>
      <c r="K752" s="4"/>
      <c r="L752" s="5"/>
      <c r="BJ752" s="4"/>
      <c r="BK752" s="4"/>
      <c r="BL752" s="7"/>
    </row>
    <row r="753">
      <c r="A753" s="4"/>
      <c r="C753" s="4"/>
      <c r="G753" s="4"/>
      <c r="H753" s="4"/>
      <c r="I753" s="4"/>
      <c r="J753" s="4"/>
      <c r="K753" s="4"/>
      <c r="L753" s="5"/>
      <c r="BJ753" s="4"/>
      <c r="BK753" s="4"/>
      <c r="BL753" s="7"/>
    </row>
    <row r="754">
      <c r="A754" s="4"/>
      <c r="C754" s="4"/>
      <c r="G754" s="4"/>
      <c r="H754" s="4"/>
      <c r="I754" s="4"/>
      <c r="J754" s="4"/>
      <c r="K754" s="4"/>
      <c r="L754" s="5"/>
      <c r="BJ754" s="4"/>
      <c r="BK754" s="4"/>
      <c r="BL754" s="7"/>
    </row>
    <row r="755">
      <c r="A755" s="4"/>
      <c r="C755" s="4"/>
      <c r="G755" s="4"/>
      <c r="H755" s="4"/>
      <c r="I755" s="4"/>
      <c r="J755" s="4"/>
      <c r="K755" s="4"/>
      <c r="L755" s="5"/>
      <c r="BJ755" s="4"/>
      <c r="BK755" s="4"/>
      <c r="BL755" s="7"/>
    </row>
    <row r="756">
      <c r="A756" s="4"/>
      <c r="C756" s="4"/>
      <c r="G756" s="4"/>
      <c r="H756" s="4"/>
      <c r="I756" s="4"/>
      <c r="J756" s="4"/>
      <c r="K756" s="4"/>
      <c r="L756" s="5"/>
      <c r="BJ756" s="4"/>
      <c r="BK756" s="4"/>
      <c r="BL756" s="7"/>
    </row>
    <row r="757">
      <c r="A757" s="4"/>
      <c r="C757" s="4"/>
      <c r="G757" s="4"/>
      <c r="H757" s="4"/>
      <c r="I757" s="4"/>
      <c r="J757" s="4"/>
      <c r="K757" s="4"/>
      <c r="L757" s="5"/>
      <c r="BJ757" s="4"/>
      <c r="BK757" s="4"/>
      <c r="BL757" s="7"/>
    </row>
    <row r="758">
      <c r="A758" s="4"/>
      <c r="C758" s="4"/>
      <c r="G758" s="4"/>
      <c r="H758" s="4"/>
      <c r="I758" s="4"/>
      <c r="J758" s="4"/>
      <c r="K758" s="4"/>
      <c r="L758" s="5"/>
      <c r="BJ758" s="4"/>
      <c r="BK758" s="4"/>
      <c r="BL758" s="7"/>
    </row>
    <row r="759">
      <c r="A759" s="4"/>
      <c r="C759" s="4"/>
      <c r="G759" s="4"/>
      <c r="H759" s="4"/>
      <c r="I759" s="4"/>
      <c r="J759" s="4"/>
      <c r="K759" s="4"/>
      <c r="L759" s="5"/>
      <c r="BJ759" s="4"/>
      <c r="BK759" s="4"/>
      <c r="BL759" s="7"/>
    </row>
    <row r="760">
      <c r="A760" s="4"/>
      <c r="C760" s="4"/>
      <c r="G760" s="4"/>
      <c r="H760" s="4"/>
      <c r="I760" s="4"/>
      <c r="J760" s="4"/>
      <c r="K760" s="4"/>
      <c r="L760" s="5"/>
      <c r="BJ760" s="4"/>
      <c r="BK760" s="4"/>
      <c r="BL760" s="7"/>
    </row>
    <row r="761">
      <c r="A761" s="4"/>
      <c r="C761" s="4"/>
      <c r="G761" s="4"/>
      <c r="H761" s="4"/>
      <c r="I761" s="4"/>
      <c r="J761" s="4"/>
      <c r="K761" s="4"/>
      <c r="L761" s="5"/>
      <c r="BJ761" s="4"/>
      <c r="BK761" s="4"/>
      <c r="BL761" s="7"/>
    </row>
    <row r="762">
      <c r="A762" s="4"/>
      <c r="C762" s="4"/>
      <c r="G762" s="4"/>
      <c r="H762" s="4"/>
      <c r="I762" s="4"/>
      <c r="J762" s="4"/>
      <c r="K762" s="4"/>
      <c r="L762" s="5"/>
      <c r="BJ762" s="4"/>
      <c r="BK762" s="4"/>
      <c r="BL762" s="7"/>
    </row>
    <row r="763">
      <c r="A763" s="4"/>
      <c r="C763" s="4"/>
      <c r="G763" s="4"/>
      <c r="H763" s="4"/>
      <c r="I763" s="4"/>
      <c r="J763" s="4"/>
      <c r="K763" s="4"/>
      <c r="L763" s="5"/>
      <c r="BJ763" s="4"/>
      <c r="BK763" s="4"/>
      <c r="BL763" s="7"/>
    </row>
    <row r="764">
      <c r="A764" s="4"/>
      <c r="C764" s="4"/>
      <c r="G764" s="4"/>
      <c r="H764" s="4"/>
      <c r="I764" s="4"/>
      <c r="J764" s="4"/>
      <c r="K764" s="4"/>
      <c r="L764" s="5"/>
      <c r="BJ764" s="4"/>
      <c r="BK764" s="4"/>
      <c r="BL764" s="7"/>
    </row>
    <row r="765">
      <c r="A765" s="4"/>
      <c r="C765" s="4"/>
      <c r="G765" s="4"/>
      <c r="H765" s="4"/>
      <c r="I765" s="4"/>
      <c r="J765" s="4"/>
      <c r="K765" s="4"/>
      <c r="L765" s="5"/>
      <c r="BJ765" s="4"/>
      <c r="BK765" s="4"/>
      <c r="BL765" s="7"/>
    </row>
    <row r="766">
      <c r="A766" s="4"/>
      <c r="C766" s="4"/>
      <c r="G766" s="4"/>
      <c r="H766" s="4"/>
      <c r="I766" s="4"/>
      <c r="J766" s="4"/>
      <c r="K766" s="4"/>
      <c r="L766" s="5"/>
      <c r="BJ766" s="4"/>
      <c r="BK766" s="4"/>
      <c r="BL766" s="7"/>
    </row>
    <row r="767">
      <c r="A767" s="4"/>
      <c r="C767" s="4"/>
      <c r="G767" s="4"/>
      <c r="H767" s="4"/>
      <c r="I767" s="4"/>
      <c r="J767" s="4"/>
      <c r="K767" s="4"/>
      <c r="L767" s="5"/>
      <c r="BJ767" s="4"/>
      <c r="BK767" s="4"/>
      <c r="BL767" s="7"/>
    </row>
    <row r="768">
      <c r="A768" s="4"/>
      <c r="C768" s="4"/>
      <c r="G768" s="4"/>
      <c r="H768" s="4"/>
      <c r="I768" s="4"/>
      <c r="J768" s="4"/>
      <c r="K768" s="4"/>
      <c r="L768" s="5"/>
      <c r="BJ768" s="4"/>
      <c r="BK768" s="4"/>
      <c r="BL768" s="7"/>
    </row>
    <row r="769">
      <c r="A769" s="4"/>
      <c r="C769" s="4"/>
      <c r="G769" s="4"/>
      <c r="H769" s="4"/>
      <c r="I769" s="4"/>
      <c r="J769" s="4"/>
      <c r="K769" s="4"/>
      <c r="L769" s="5"/>
      <c r="BJ769" s="4"/>
      <c r="BK769" s="4"/>
      <c r="BL769" s="7"/>
    </row>
    <row r="770">
      <c r="A770" s="4"/>
      <c r="C770" s="4"/>
      <c r="G770" s="4"/>
      <c r="H770" s="4"/>
      <c r="I770" s="4"/>
      <c r="J770" s="4"/>
      <c r="K770" s="4"/>
      <c r="L770" s="5"/>
      <c r="BJ770" s="4"/>
      <c r="BK770" s="4"/>
      <c r="BL770" s="7"/>
    </row>
    <row r="771">
      <c r="A771" s="4"/>
      <c r="C771" s="4"/>
      <c r="G771" s="4"/>
      <c r="H771" s="4"/>
      <c r="I771" s="4"/>
      <c r="J771" s="4"/>
      <c r="K771" s="4"/>
      <c r="L771" s="5"/>
      <c r="BJ771" s="4"/>
      <c r="BK771" s="4"/>
      <c r="BL771" s="7"/>
    </row>
    <row r="772">
      <c r="A772" s="4"/>
      <c r="C772" s="4"/>
      <c r="G772" s="4"/>
      <c r="H772" s="4"/>
      <c r="I772" s="4"/>
      <c r="J772" s="4"/>
      <c r="K772" s="4"/>
      <c r="L772" s="5"/>
      <c r="BJ772" s="4"/>
      <c r="BK772" s="4"/>
      <c r="BL772" s="7"/>
    </row>
    <row r="773">
      <c r="A773" s="4"/>
      <c r="C773" s="4"/>
      <c r="G773" s="4"/>
      <c r="H773" s="4"/>
      <c r="I773" s="4"/>
      <c r="J773" s="4"/>
      <c r="K773" s="4"/>
      <c r="L773" s="5"/>
      <c r="BJ773" s="4"/>
      <c r="BK773" s="4"/>
      <c r="BL773" s="7"/>
    </row>
    <row r="774">
      <c r="A774" s="4"/>
      <c r="C774" s="4"/>
      <c r="G774" s="4"/>
      <c r="H774" s="4"/>
      <c r="I774" s="4"/>
      <c r="J774" s="4"/>
      <c r="K774" s="4"/>
      <c r="L774" s="5"/>
      <c r="BJ774" s="4"/>
      <c r="BK774" s="4"/>
      <c r="BL774" s="7"/>
    </row>
    <row r="775">
      <c r="A775" s="4"/>
      <c r="C775" s="4"/>
      <c r="G775" s="4"/>
      <c r="H775" s="4"/>
      <c r="I775" s="4"/>
      <c r="J775" s="4"/>
      <c r="K775" s="4"/>
      <c r="L775" s="5"/>
      <c r="BJ775" s="4"/>
      <c r="BK775" s="4"/>
      <c r="BL775" s="7"/>
    </row>
    <row r="776">
      <c r="A776" s="4"/>
      <c r="C776" s="4"/>
      <c r="G776" s="4"/>
      <c r="H776" s="4"/>
      <c r="I776" s="4"/>
      <c r="J776" s="4"/>
      <c r="K776" s="4"/>
      <c r="L776" s="5"/>
      <c r="BJ776" s="4"/>
      <c r="BK776" s="4"/>
      <c r="BL776" s="7"/>
    </row>
    <row r="777">
      <c r="A777" s="4"/>
      <c r="C777" s="4"/>
      <c r="G777" s="4"/>
      <c r="H777" s="4"/>
      <c r="I777" s="4"/>
      <c r="J777" s="4"/>
      <c r="K777" s="4"/>
      <c r="L777" s="5"/>
      <c r="BJ777" s="4"/>
      <c r="BK777" s="4"/>
      <c r="BL777" s="7"/>
    </row>
    <row r="778">
      <c r="A778" s="4"/>
      <c r="C778" s="4"/>
      <c r="G778" s="4"/>
      <c r="H778" s="4"/>
      <c r="I778" s="4"/>
      <c r="J778" s="4"/>
      <c r="K778" s="4"/>
      <c r="L778" s="5"/>
      <c r="BJ778" s="4"/>
      <c r="BK778" s="4"/>
      <c r="BL778" s="7"/>
    </row>
    <row r="779">
      <c r="A779" s="4"/>
      <c r="C779" s="4"/>
      <c r="G779" s="4"/>
      <c r="H779" s="4"/>
      <c r="I779" s="4"/>
      <c r="J779" s="4"/>
      <c r="K779" s="4"/>
      <c r="L779" s="5"/>
      <c r="BJ779" s="4"/>
      <c r="BK779" s="4"/>
      <c r="BL779" s="7"/>
    </row>
    <row r="780">
      <c r="A780" s="4"/>
      <c r="C780" s="4"/>
      <c r="G780" s="4"/>
      <c r="H780" s="4"/>
      <c r="I780" s="4"/>
      <c r="J780" s="4"/>
      <c r="K780" s="4"/>
      <c r="L780" s="5"/>
      <c r="BJ780" s="4"/>
      <c r="BK780" s="4"/>
      <c r="BL780" s="7"/>
    </row>
    <row r="781">
      <c r="A781" s="4"/>
      <c r="C781" s="4"/>
      <c r="G781" s="4"/>
      <c r="H781" s="4"/>
      <c r="I781" s="4"/>
      <c r="J781" s="4"/>
      <c r="K781" s="4"/>
      <c r="L781" s="5"/>
      <c r="BJ781" s="4"/>
      <c r="BK781" s="4"/>
      <c r="BL781" s="7"/>
    </row>
    <row r="782">
      <c r="A782" s="4"/>
      <c r="C782" s="4"/>
      <c r="G782" s="4"/>
      <c r="H782" s="4"/>
      <c r="I782" s="4"/>
      <c r="J782" s="4"/>
      <c r="K782" s="4"/>
      <c r="L782" s="5"/>
      <c r="BJ782" s="4"/>
      <c r="BK782" s="4"/>
      <c r="BL782" s="7"/>
    </row>
    <row r="783">
      <c r="A783" s="4"/>
      <c r="C783" s="4"/>
      <c r="G783" s="4"/>
      <c r="H783" s="4"/>
      <c r="I783" s="4"/>
      <c r="J783" s="4"/>
      <c r="K783" s="4"/>
      <c r="L783" s="5"/>
      <c r="BJ783" s="4"/>
      <c r="BK783" s="4"/>
      <c r="BL783" s="7"/>
    </row>
    <row r="784">
      <c r="A784" s="4"/>
      <c r="C784" s="4"/>
      <c r="G784" s="4"/>
      <c r="H784" s="4"/>
      <c r="I784" s="4"/>
      <c r="J784" s="4"/>
      <c r="K784" s="4"/>
      <c r="L784" s="5"/>
      <c r="BJ784" s="4"/>
      <c r="BK784" s="4"/>
      <c r="BL784" s="7"/>
    </row>
    <row r="785">
      <c r="A785" s="4"/>
      <c r="C785" s="4"/>
      <c r="G785" s="4"/>
      <c r="H785" s="4"/>
      <c r="I785" s="4"/>
      <c r="J785" s="4"/>
      <c r="K785" s="4"/>
      <c r="L785" s="5"/>
      <c r="BJ785" s="4"/>
      <c r="BK785" s="4"/>
      <c r="BL785" s="7"/>
    </row>
    <row r="786">
      <c r="A786" s="4"/>
      <c r="C786" s="4"/>
      <c r="G786" s="4"/>
      <c r="H786" s="4"/>
      <c r="I786" s="4"/>
      <c r="J786" s="4"/>
      <c r="K786" s="4"/>
      <c r="L786" s="5"/>
      <c r="BJ786" s="4"/>
      <c r="BK786" s="4"/>
      <c r="BL786" s="7"/>
    </row>
    <row r="787">
      <c r="A787" s="4"/>
      <c r="C787" s="4"/>
      <c r="G787" s="4"/>
      <c r="H787" s="4"/>
      <c r="I787" s="4"/>
      <c r="J787" s="4"/>
      <c r="K787" s="4"/>
      <c r="L787" s="5"/>
      <c r="BJ787" s="4"/>
      <c r="BK787" s="4"/>
      <c r="BL787" s="7"/>
    </row>
    <row r="788">
      <c r="A788" s="4"/>
      <c r="C788" s="4"/>
      <c r="G788" s="4"/>
      <c r="H788" s="4"/>
      <c r="I788" s="4"/>
      <c r="J788" s="4"/>
      <c r="K788" s="4"/>
      <c r="L788" s="5"/>
      <c r="BJ788" s="4"/>
      <c r="BK788" s="4"/>
      <c r="BL788" s="7"/>
    </row>
    <row r="789">
      <c r="A789" s="4"/>
      <c r="C789" s="4"/>
      <c r="G789" s="4"/>
      <c r="H789" s="4"/>
      <c r="I789" s="4"/>
      <c r="J789" s="4"/>
      <c r="K789" s="4"/>
      <c r="L789" s="5"/>
      <c r="BJ789" s="4"/>
      <c r="BK789" s="4"/>
      <c r="BL789" s="7"/>
    </row>
    <row r="790">
      <c r="A790" s="4"/>
      <c r="C790" s="4"/>
      <c r="G790" s="4"/>
      <c r="H790" s="4"/>
      <c r="I790" s="4"/>
      <c r="J790" s="4"/>
      <c r="K790" s="4"/>
      <c r="L790" s="5"/>
      <c r="BJ790" s="4"/>
      <c r="BK790" s="4"/>
      <c r="BL790" s="7"/>
    </row>
    <row r="791">
      <c r="A791" s="4"/>
      <c r="C791" s="4"/>
      <c r="G791" s="4"/>
      <c r="H791" s="4"/>
      <c r="I791" s="4"/>
      <c r="J791" s="4"/>
      <c r="K791" s="4"/>
      <c r="L791" s="5"/>
      <c r="BJ791" s="4"/>
      <c r="BK791" s="4"/>
      <c r="BL791" s="7"/>
    </row>
    <row r="792">
      <c r="A792" s="4"/>
      <c r="C792" s="4"/>
      <c r="G792" s="4"/>
      <c r="H792" s="4"/>
      <c r="I792" s="4"/>
      <c r="J792" s="4"/>
      <c r="K792" s="4"/>
      <c r="L792" s="5"/>
      <c r="BJ792" s="4"/>
      <c r="BK792" s="4"/>
      <c r="BL792" s="7"/>
    </row>
    <row r="793">
      <c r="A793" s="4"/>
      <c r="C793" s="4"/>
      <c r="G793" s="4"/>
      <c r="H793" s="4"/>
      <c r="I793" s="4"/>
      <c r="J793" s="4"/>
      <c r="K793" s="4"/>
      <c r="L793" s="5"/>
      <c r="BJ793" s="4"/>
      <c r="BK793" s="4"/>
      <c r="BL793" s="7"/>
    </row>
    <row r="794">
      <c r="A794" s="4"/>
      <c r="C794" s="4"/>
      <c r="G794" s="4"/>
      <c r="H794" s="4"/>
      <c r="I794" s="4"/>
      <c r="J794" s="4"/>
      <c r="K794" s="4"/>
      <c r="L794" s="5"/>
      <c r="BJ794" s="4"/>
      <c r="BK794" s="4"/>
      <c r="BL794" s="7"/>
    </row>
    <row r="795">
      <c r="A795" s="4"/>
      <c r="C795" s="4"/>
      <c r="G795" s="4"/>
      <c r="H795" s="4"/>
      <c r="I795" s="4"/>
      <c r="J795" s="4"/>
      <c r="K795" s="4"/>
      <c r="L795" s="5"/>
      <c r="BJ795" s="4"/>
      <c r="BK795" s="4"/>
      <c r="BL795" s="7"/>
    </row>
    <row r="796">
      <c r="A796" s="4"/>
      <c r="C796" s="4"/>
      <c r="G796" s="4"/>
      <c r="H796" s="4"/>
      <c r="I796" s="4"/>
      <c r="J796" s="4"/>
      <c r="K796" s="4"/>
      <c r="L796" s="5"/>
      <c r="BJ796" s="4"/>
      <c r="BK796" s="4"/>
      <c r="BL796" s="7"/>
    </row>
    <row r="797">
      <c r="A797" s="4"/>
      <c r="C797" s="4"/>
      <c r="G797" s="4"/>
      <c r="H797" s="4"/>
      <c r="I797" s="4"/>
      <c r="J797" s="4"/>
      <c r="K797" s="4"/>
      <c r="L797" s="5"/>
      <c r="BJ797" s="4"/>
      <c r="BK797" s="4"/>
      <c r="BL797" s="7"/>
    </row>
    <row r="798">
      <c r="A798" s="4"/>
      <c r="C798" s="4"/>
      <c r="G798" s="4"/>
      <c r="H798" s="4"/>
      <c r="I798" s="4"/>
      <c r="J798" s="4"/>
      <c r="K798" s="4"/>
      <c r="L798" s="5"/>
      <c r="BJ798" s="4"/>
      <c r="BK798" s="4"/>
      <c r="BL798" s="7"/>
    </row>
    <row r="799">
      <c r="A799" s="4"/>
      <c r="C799" s="4"/>
      <c r="G799" s="4"/>
      <c r="H799" s="4"/>
      <c r="I799" s="4"/>
      <c r="J799" s="4"/>
      <c r="K799" s="4"/>
      <c r="L799" s="5"/>
      <c r="BJ799" s="4"/>
      <c r="BK799" s="4"/>
      <c r="BL799" s="7"/>
    </row>
    <row r="800">
      <c r="A800" s="4"/>
      <c r="C800" s="4"/>
      <c r="G800" s="4"/>
      <c r="H800" s="4"/>
      <c r="I800" s="4"/>
      <c r="J800" s="4"/>
      <c r="K800" s="4"/>
      <c r="L800" s="5"/>
      <c r="BJ800" s="4"/>
      <c r="BK800" s="4"/>
      <c r="BL800" s="7"/>
    </row>
    <row r="801">
      <c r="A801" s="4"/>
      <c r="C801" s="4"/>
      <c r="G801" s="4"/>
      <c r="H801" s="4"/>
      <c r="I801" s="4"/>
      <c r="J801" s="4"/>
      <c r="K801" s="4"/>
      <c r="L801" s="5"/>
      <c r="BJ801" s="4"/>
      <c r="BK801" s="4"/>
      <c r="BL801" s="7"/>
    </row>
    <row r="802">
      <c r="A802" s="4"/>
      <c r="C802" s="4"/>
      <c r="G802" s="4"/>
      <c r="H802" s="4"/>
      <c r="I802" s="4"/>
      <c r="J802" s="4"/>
      <c r="K802" s="4"/>
      <c r="L802" s="5"/>
      <c r="BJ802" s="4"/>
      <c r="BK802" s="4"/>
      <c r="BL802" s="7"/>
    </row>
    <row r="803">
      <c r="A803" s="4"/>
      <c r="C803" s="4"/>
      <c r="G803" s="4"/>
      <c r="H803" s="4"/>
      <c r="I803" s="4"/>
      <c r="J803" s="4"/>
      <c r="K803" s="4"/>
      <c r="L803" s="5"/>
      <c r="BJ803" s="4"/>
      <c r="BK803" s="4"/>
      <c r="BL803" s="7"/>
    </row>
    <row r="804">
      <c r="A804" s="4"/>
      <c r="C804" s="4"/>
      <c r="G804" s="4"/>
      <c r="H804" s="4"/>
      <c r="I804" s="4"/>
      <c r="J804" s="4"/>
      <c r="K804" s="4"/>
      <c r="L804" s="5"/>
      <c r="BJ804" s="4"/>
      <c r="BK804" s="4"/>
      <c r="BL804" s="7"/>
    </row>
    <row r="805">
      <c r="A805" s="4"/>
      <c r="C805" s="4"/>
      <c r="G805" s="4"/>
      <c r="H805" s="4"/>
      <c r="I805" s="4"/>
      <c r="J805" s="4"/>
      <c r="K805" s="4"/>
      <c r="L805" s="5"/>
      <c r="BJ805" s="4"/>
      <c r="BK805" s="4"/>
      <c r="BL805" s="7"/>
    </row>
    <row r="806">
      <c r="A806" s="4"/>
      <c r="C806" s="4"/>
      <c r="G806" s="4"/>
      <c r="H806" s="4"/>
      <c r="I806" s="4"/>
      <c r="J806" s="4"/>
      <c r="K806" s="4"/>
      <c r="L806" s="5"/>
      <c r="BJ806" s="4"/>
      <c r="BK806" s="4"/>
      <c r="BL806" s="7"/>
    </row>
    <row r="807">
      <c r="A807" s="4"/>
      <c r="C807" s="4"/>
      <c r="G807" s="4"/>
      <c r="H807" s="4"/>
      <c r="I807" s="4"/>
      <c r="J807" s="4"/>
      <c r="K807" s="4"/>
      <c r="L807" s="5"/>
      <c r="BJ807" s="4"/>
      <c r="BK807" s="4"/>
      <c r="BL807" s="7"/>
    </row>
    <row r="808">
      <c r="A808" s="4"/>
      <c r="C808" s="4"/>
      <c r="G808" s="4"/>
      <c r="H808" s="4"/>
      <c r="I808" s="4"/>
      <c r="J808" s="4"/>
      <c r="K808" s="4"/>
      <c r="L808" s="5"/>
      <c r="BJ808" s="4"/>
      <c r="BK808" s="4"/>
      <c r="BL808" s="7"/>
    </row>
    <row r="809">
      <c r="A809" s="4"/>
      <c r="C809" s="4"/>
      <c r="G809" s="4"/>
      <c r="H809" s="4"/>
      <c r="I809" s="4"/>
      <c r="J809" s="4"/>
      <c r="K809" s="4"/>
      <c r="L809" s="5"/>
      <c r="BJ809" s="4"/>
      <c r="BK809" s="4"/>
      <c r="BL809" s="7"/>
    </row>
    <row r="810">
      <c r="A810" s="4"/>
      <c r="C810" s="4"/>
      <c r="G810" s="4"/>
      <c r="H810" s="4"/>
      <c r="I810" s="4"/>
      <c r="J810" s="4"/>
      <c r="K810" s="4"/>
      <c r="L810" s="5"/>
      <c r="BJ810" s="4"/>
      <c r="BK810" s="4"/>
      <c r="BL810" s="7"/>
    </row>
    <row r="811">
      <c r="A811" s="4"/>
      <c r="C811" s="4"/>
      <c r="G811" s="4"/>
      <c r="H811" s="4"/>
      <c r="I811" s="4"/>
      <c r="J811" s="4"/>
      <c r="K811" s="4"/>
      <c r="L811" s="5"/>
      <c r="BJ811" s="4"/>
      <c r="BK811" s="4"/>
      <c r="BL811" s="7"/>
    </row>
    <row r="812">
      <c r="A812" s="4"/>
      <c r="C812" s="4"/>
      <c r="G812" s="4"/>
      <c r="H812" s="4"/>
      <c r="I812" s="4"/>
      <c r="J812" s="4"/>
      <c r="K812" s="4"/>
      <c r="L812" s="5"/>
      <c r="BJ812" s="4"/>
      <c r="BK812" s="4"/>
      <c r="BL812" s="7"/>
    </row>
    <row r="813">
      <c r="A813" s="4"/>
      <c r="C813" s="4"/>
      <c r="G813" s="4"/>
      <c r="H813" s="4"/>
      <c r="I813" s="4"/>
      <c r="J813" s="4"/>
      <c r="K813" s="4"/>
      <c r="L813" s="5"/>
      <c r="BJ813" s="4"/>
      <c r="BK813" s="4"/>
      <c r="BL813" s="7"/>
    </row>
    <row r="814">
      <c r="A814" s="4"/>
      <c r="C814" s="4"/>
      <c r="G814" s="4"/>
      <c r="H814" s="4"/>
      <c r="I814" s="4"/>
      <c r="J814" s="4"/>
      <c r="K814" s="4"/>
      <c r="L814" s="5"/>
      <c r="BJ814" s="4"/>
      <c r="BK814" s="4"/>
      <c r="BL814" s="7"/>
    </row>
    <row r="815">
      <c r="A815" s="4"/>
      <c r="C815" s="4"/>
      <c r="G815" s="4"/>
      <c r="H815" s="4"/>
      <c r="I815" s="4"/>
      <c r="J815" s="4"/>
      <c r="K815" s="4"/>
      <c r="L815" s="5"/>
      <c r="BJ815" s="4"/>
      <c r="BK815" s="4"/>
      <c r="BL815" s="7"/>
    </row>
    <row r="816">
      <c r="A816" s="4"/>
      <c r="C816" s="4"/>
      <c r="G816" s="4"/>
      <c r="H816" s="4"/>
      <c r="I816" s="4"/>
      <c r="J816" s="4"/>
      <c r="K816" s="4"/>
      <c r="L816" s="5"/>
      <c r="BJ816" s="4"/>
      <c r="BK816" s="4"/>
      <c r="BL816" s="7"/>
    </row>
    <row r="817">
      <c r="A817" s="4"/>
      <c r="C817" s="4"/>
      <c r="G817" s="4"/>
      <c r="H817" s="4"/>
      <c r="I817" s="4"/>
      <c r="J817" s="4"/>
      <c r="K817" s="4"/>
      <c r="L817" s="5"/>
      <c r="BJ817" s="4"/>
      <c r="BK817" s="4"/>
      <c r="BL817" s="7"/>
    </row>
    <row r="818">
      <c r="A818" s="4"/>
      <c r="C818" s="4"/>
      <c r="G818" s="4"/>
      <c r="H818" s="4"/>
      <c r="I818" s="4"/>
      <c r="J818" s="4"/>
      <c r="K818" s="4"/>
      <c r="L818" s="5"/>
      <c r="BJ818" s="4"/>
      <c r="BK818" s="4"/>
      <c r="BL818" s="7"/>
    </row>
    <row r="819">
      <c r="A819" s="4"/>
      <c r="C819" s="4"/>
      <c r="G819" s="4"/>
      <c r="H819" s="4"/>
      <c r="I819" s="4"/>
      <c r="J819" s="4"/>
      <c r="K819" s="4"/>
      <c r="L819" s="5"/>
      <c r="BJ819" s="4"/>
      <c r="BK819" s="4"/>
      <c r="BL819" s="7"/>
    </row>
    <row r="820">
      <c r="A820" s="4"/>
      <c r="C820" s="4"/>
      <c r="G820" s="4"/>
      <c r="H820" s="4"/>
      <c r="I820" s="4"/>
      <c r="J820" s="4"/>
      <c r="K820" s="4"/>
      <c r="L820" s="5"/>
      <c r="BJ820" s="4"/>
      <c r="BK820" s="4"/>
      <c r="BL820" s="7"/>
    </row>
    <row r="821">
      <c r="A821" s="4"/>
      <c r="C821" s="4"/>
      <c r="G821" s="4"/>
      <c r="H821" s="4"/>
      <c r="I821" s="4"/>
      <c r="J821" s="4"/>
      <c r="K821" s="4"/>
      <c r="L821" s="5"/>
      <c r="BJ821" s="4"/>
      <c r="BK821" s="4"/>
      <c r="BL821" s="7"/>
    </row>
    <row r="822">
      <c r="A822" s="4"/>
      <c r="C822" s="4"/>
      <c r="G822" s="4"/>
      <c r="H822" s="4"/>
      <c r="I822" s="4"/>
      <c r="J822" s="4"/>
      <c r="K822" s="4"/>
      <c r="L822" s="5"/>
      <c r="BJ822" s="4"/>
      <c r="BK822" s="4"/>
      <c r="BL822" s="7"/>
    </row>
    <row r="823">
      <c r="A823" s="4"/>
      <c r="C823" s="4"/>
      <c r="G823" s="4"/>
      <c r="H823" s="4"/>
      <c r="I823" s="4"/>
      <c r="J823" s="4"/>
      <c r="K823" s="4"/>
      <c r="L823" s="5"/>
      <c r="BJ823" s="4"/>
      <c r="BK823" s="4"/>
      <c r="BL823" s="7"/>
    </row>
    <row r="824">
      <c r="A824" s="4"/>
      <c r="C824" s="4"/>
      <c r="G824" s="4"/>
      <c r="H824" s="4"/>
      <c r="I824" s="4"/>
      <c r="J824" s="4"/>
      <c r="K824" s="4"/>
      <c r="L824" s="5"/>
      <c r="BJ824" s="4"/>
      <c r="BK824" s="4"/>
      <c r="BL824" s="7"/>
    </row>
    <row r="825">
      <c r="A825" s="4"/>
      <c r="C825" s="4"/>
      <c r="G825" s="4"/>
      <c r="H825" s="4"/>
      <c r="I825" s="4"/>
      <c r="J825" s="4"/>
      <c r="K825" s="4"/>
      <c r="L825" s="5"/>
      <c r="BJ825" s="4"/>
      <c r="BK825" s="4"/>
      <c r="BL825" s="7"/>
    </row>
    <row r="826">
      <c r="A826" s="4"/>
      <c r="C826" s="4"/>
      <c r="G826" s="4"/>
      <c r="H826" s="4"/>
      <c r="I826" s="4"/>
      <c r="J826" s="4"/>
      <c r="K826" s="4"/>
      <c r="L826" s="5"/>
      <c r="BJ826" s="4"/>
      <c r="BK826" s="4"/>
      <c r="BL826" s="7"/>
    </row>
    <row r="827">
      <c r="A827" s="4"/>
      <c r="C827" s="4"/>
      <c r="G827" s="4"/>
      <c r="H827" s="4"/>
      <c r="I827" s="4"/>
      <c r="J827" s="4"/>
      <c r="K827" s="4"/>
      <c r="L827" s="5"/>
      <c r="BJ827" s="4"/>
      <c r="BK827" s="4"/>
      <c r="BL827" s="7"/>
    </row>
    <row r="828">
      <c r="A828" s="4"/>
      <c r="C828" s="4"/>
      <c r="G828" s="4"/>
      <c r="H828" s="4"/>
      <c r="I828" s="4"/>
      <c r="J828" s="4"/>
      <c r="K828" s="4"/>
      <c r="L828" s="5"/>
      <c r="BJ828" s="4"/>
      <c r="BK828" s="4"/>
      <c r="BL828" s="7"/>
    </row>
    <row r="829">
      <c r="A829" s="4"/>
      <c r="C829" s="4"/>
      <c r="G829" s="4"/>
      <c r="H829" s="4"/>
      <c r="I829" s="4"/>
      <c r="J829" s="4"/>
      <c r="K829" s="4"/>
      <c r="L829" s="5"/>
      <c r="BJ829" s="4"/>
      <c r="BK829" s="4"/>
      <c r="BL829" s="7"/>
    </row>
    <row r="830">
      <c r="A830" s="4"/>
      <c r="C830" s="4"/>
      <c r="G830" s="4"/>
      <c r="H830" s="4"/>
      <c r="I830" s="4"/>
      <c r="J830" s="4"/>
      <c r="K830" s="4"/>
      <c r="L830" s="5"/>
      <c r="BJ830" s="4"/>
      <c r="BK830" s="4"/>
      <c r="BL830" s="7"/>
    </row>
    <row r="831">
      <c r="A831" s="4"/>
      <c r="C831" s="4"/>
      <c r="G831" s="4"/>
      <c r="H831" s="4"/>
      <c r="I831" s="4"/>
      <c r="J831" s="4"/>
      <c r="K831" s="4"/>
      <c r="L831" s="5"/>
      <c r="BJ831" s="4"/>
      <c r="BK831" s="4"/>
      <c r="BL831" s="7"/>
    </row>
    <row r="832">
      <c r="A832" s="4"/>
      <c r="C832" s="4"/>
      <c r="G832" s="4"/>
      <c r="H832" s="4"/>
      <c r="I832" s="4"/>
      <c r="J832" s="4"/>
      <c r="K832" s="4"/>
      <c r="L832" s="5"/>
      <c r="BJ832" s="4"/>
      <c r="BK832" s="4"/>
      <c r="BL832" s="7"/>
    </row>
    <row r="833">
      <c r="A833" s="4"/>
      <c r="C833" s="4"/>
      <c r="G833" s="4"/>
      <c r="H833" s="4"/>
      <c r="I833" s="4"/>
      <c r="J833" s="4"/>
      <c r="K833" s="4"/>
      <c r="L833" s="5"/>
      <c r="BJ833" s="4"/>
      <c r="BK833" s="4"/>
      <c r="BL833" s="7"/>
    </row>
    <row r="834">
      <c r="A834" s="4"/>
      <c r="C834" s="4"/>
      <c r="G834" s="4"/>
      <c r="H834" s="4"/>
      <c r="I834" s="4"/>
      <c r="J834" s="4"/>
      <c r="K834" s="4"/>
      <c r="L834" s="5"/>
      <c r="BJ834" s="4"/>
      <c r="BK834" s="4"/>
      <c r="BL834" s="7"/>
    </row>
    <row r="835">
      <c r="A835" s="4"/>
      <c r="C835" s="4"/>
      <c r="G835" s="4"/>
      <c r="H835" s="4"/>
      <c r="I835" s="4"/>
      <c r="J835" s="4"/>
      <c r="K835" s="4"/>
      <c r="L835" s="5"/>
      <c r="BJ835" s="4"/>
      <c r="BK835" s="4"/>
      <c r="BL835" s="7"/>
    </row>
    <row r="836">
      <c r="A836" s="4"/>
      <c r="C836" s="4"/>
      <c r="G836" s="4"/>
      <c r="H836" s="4"/>
      <c r="I836" s="4"/>
      <c r="J836" s="4"/>
      <c r="K836" s="4"/>
      <c r="L836" s="5"/>
      <c r="BJ836" s="4"/>
      <c r="BK836" s="4"/>
      <c r="BL836" s="7"/>
    </row>
    <row r="837">
      <c r="A837" s="4"/>
      <c r="C837" s="4"/>
      <c r="G837" s="4"/>
      <c r="H837" s="4"/>
      <c r="I837" s="4"/>
      <c r="J837" s="4"/>
      <c r="K837" s="4"/>
      <c r="L837" s="5"/>
      <c r="BJ837" s="4"/>
      <c r="BK837" s="4"/>
      <c r="BL837" s="7"/>
    </row>
    <row r="838">
      <c r="A838" s="4"/>
      <c r="C838" s="4"/>
      <c r="G838" s="4"/>
      <c r="H838" s="4"/>
      <c r="I838" s="4"/>
      <c r="J838" s="4"/>
      <c r="K838" s="4"/>
      <c r="L838" s="5"/>
      <c r="BJ838" s="4"/>
      <c r="BK838" s="4"/>
      <c r="BL838" s="7"/>
    </row>
    <row r="839">
      <c r="A839" s="4"/>
      <c r="C839" s="4"/>
      <c r="G839" s="4"/>
      <c r="H839" s="4"/>
      <c r="I839" s="4"/>
      <c r="J839" s="4"/>
      <c r="K839" s="4"/>
      <c r="L839" s="5"/>
      <c r="BJ839" s="4"/>
      <c r="BK839" s="4"/>
      <c r="BL839" s="7"/>
    </row>
    <row r="840">
      <c r="A840" s="4"/>
      <c r="C840" s="4"/>
      <c r="G840" s="4"/>
      <c r="H840" s="4"/>
      <c r="I840" s="4"/>
      <c r="J840" s="4"/>
      <c r="K840" s="4"/>
      <c r="L840" s="5"/>
      <c r="BJ840" s="4"/>
      <c r="BK840" s="4"/>
      <c r="BL840" s="7"/>
    </row>
    <row r="841">
      <c r="A841" s="4"/>
      <c r="C841" s="4"/>
      <c r="G841" s="4"/>
      <c r="H841" s="4"/>
      <c r="I841" s="4"/>
      <c r="J841" s="4"/>
      <c r="K841" s="4"/>
      <c r="L841" s="5"/>
      <c r="BJ841" s="4"/>
      <c r="BK841" s="4"/>
      <c r="BL841" s="7"/>
    </row>
    <row r="842">
      <c r="A842" s="4"/>
      <c r="C842" s="4"/>
      <c r="G842" s="4"/>
      <c r="H842" s="4"/>
      <c r="I842" s="4"/>
      <c r="J842" s="4"/>
      <c r="K842" s="4"/>
      <c r="L842" s="5"/>
      <c r="BJ842" s="4"/>
      <c r="BK842" s="4"/>
      <c r="BL842" s="7"/>
    </row>
    <row r="843">
      <c r="A843" s="4"/>
      <c r="C843" s="4"/>
      <c r="G843" s="4"/>
      <c r="H843" s="4"/>
      <c r="I843" s="4"/>
      <c r="J843" s="4"/>
      <c r="K843" s="4"/>
      <c r="L843" s="5"/>
      <c r="BJ843" s="4"/>
      <c r="BK843" s="4"/>
      <c r="BL843" s="7"/>
    </row>
    <row r="844">
      <c r="A844" s="4"/>
      <c r="C844" s="4"/>
      <c r="G844" s="4"/>
      <c r="H844" s="4"/>
      <c r="I844" s="4"/>
      <c r="J844" s="4"/>
      <c r="K844" s="4"/>
      <c r="L844" s="5"/>
      <c r="BJ844" s="4"/>
      <c r="BK844" s="4"/>
      <c r="BL844" s="7"/>
    </row>
    <row r="845">
      <c r="A845" s="4"/>
      <c r="C845" s="4"/>
      <c r="G845" s="4"/>
      <c r="H845" s="4"/>
      <c r="I845" s="4"/>
      <c r="J845" s="4"/>
      <c r="K845" s="4"/>
      <c r="L845" s="5"/>
      <c r="BJ845" s="4"/>
      <c r="BK845" s="4"/>
      <c r="BL845" s="7"/>
    </row>
    <row r="846">
      <c r="A846" s="4"/>
      <c r="C846" s="4"/>
      <c r="G846" s="4"/>
      <c r="H846" s="4"/>
      <c r="I846" s="4"/>
      <c r="J846" s="4"/>
      <c r="K846" s="4"/>
      <c r="L846" s="5"/>
      <c r="BJ846" s="4"/>
      <c r="BK846" s="4"/>
      <c r="BL846" s="7"/>
    </row>
    <row r="847">
      <c r="A847" s="4"/>
      <c r="C847" s="4"/>
      <c r="G847" s="4"/>
      <c r="H847" s="4"/>
      <c r="I847" s="4"/>
      <c r="J847" s="4"/>
      <c r="K847" s="4"/>
      <c r="L847" s="5"/>
      <c r="BJ847" s="4"/>
      <c r="BK847" s="4"/>
      <c r="BL847" s="7"/>
    </row>
    <row r="848">
      <c r="A848" s="4"/>
      <c r="C848" s="4"/>
      <c r="G848" s="4"/>
      <c r="H848" s="4"/>
      <c r="I848" s="4"/>
      <c r="J848" s="4"/>
      <c r="K848" s="4"/>
      <c r="L848" s="5"/>
      <c r="BJ848" s="4"/>
      <c r="BK848" s="4"/>
      <c r="BL848" s="7"/>
    </row>
    <row r="849">
      <c r="A849" s="4"/>
      <c r="C849" s="4"/>
      <c r="G849" s="4"/>
      <c r="H849" s="4"/>
      <c r="I849" s="4"/>
      <c r="J849" s="4"/>
      <c r="K849" s="4"/>
      <c r="L849" s="5"/>
      <c r="BJ849" s="4"/>
      <c r="BK849" s="4"/>
      <c r="BL849" s="7"/>
    </row>
    <row r="850">
      <c r="A850" s="4"/>
      <c r="C850" s="4"/>
      <c r="G850" s="4"/>
      <c r="H850" s="4"/>
      <c r="I850" s="4"/>
      <c r="J850" s="4"/>
      <c r="K850" s="4"/>
      <c r="L850" s="5"/>
      <c r="BJ850" s="4"/>
      <c r="BK850" s="4"/>
      <c r="BL850" s="7"/>
    </row>
    <row r="851">
      <c r="A851" s="4"/>
      <c r="C851" s="4"/>
      <c r="G851" s="4"/>
      <c r="H851" s="4"/>
      <c r="I851" s="4"/>
      <c r="J851" s="4"/>
      <c r="K851" s="4"/>
      <c r="L851" s="5"/>
      <c r="BJ851" s="4"/>
      <c r="BK851" s="4"/>
      <c r="BL851" s="7"/>
    </row>
    <row r="852">
      <c r="A852" s="4"/>
      <c r="C852" s="4"/>
      <c r="G852" s="4"/>
      <c r="H852" s="4"/>
      <c r="I852" s="4"/>
      <c r="J852" s="4"/>
      <c r="K852" s="4"/>
      <c r="L852" s="5"/>
      <c r="BJ852" s="4"/>
      <c r="BK852" s="4"/>
      <c r="BL852" s="7"/>
    </row>
    <row r="853">
      <c r="A853" s="4"/>
      <c r="C853" s="4"/>
      <c r="G853" s="4"/>
      <c r="H853" s="4"/>
      <c r="I853" s="4"/>
      <c r="J853" s="4"/>
      <c r="K853" s="4"/>
      <c r="L853" s="5"/>
      <c r="BJ853" s="4"/>
      <c r="BK853" s="4"/>
      <c r="BL853" s="7"/>
    </row>
    <row r="854">
      <c r="A854" s="4"/>
      <c r="C854" s="4"/>
      <c r="G854" s="4"/>
      <c r="H854" s="4"/>
      <c r="I854" s="4"/>
      <c r="J854" s="4"/>
      <c r="K854" s="4"/>
      <c r="L854" s="5"/>
      <c r="BJ854" s="4"/>
      <c r="BK854" s="4"/>
      <c r="BL854" s="7"/>
    </row>
    <row r="855">
      <c r="A855" s="4"/>
      <c r="C855" s="4"/>
      <c r="G855" s="4"/>
      <c r="H855" s="4"/>
      <c r="I855" s="4"/>
      <c r="J855" s="4"/>
      <c r="K855" s="4"/>
      <c r="L855" s="5"/>
      <c r="BJ855" s="4"/>
      <c r="BK855" s="4"/>
      <c r="BL855" s="7"/>
    </row>
    <row r="856">
      <c r="A856" s="4"/>
      <c r="C856" s="4"/>
      <c r="G856" s="4"/>
      <c r="H856" s="4"/>
      <c r="I856" s="4"/>
      <c r="J856" s="4"/>
      <c r="K856" s="4"/>
      <c r="L856" s="5"/>
      <c r="BJ856" s="4"/>
      <c r="BK856" s="4"/>
      <c r="BL856" s="7"/>
    </row>
    <row r="857">
      <c r="A857" s="4"/>
      <c r="C857" s="4"/>
      <c r="G857" s="4"/>
      <c r="H857" s="4"/>
      <c r="I857" s="4"/>
      <c r="J857" s="4"/>
      <c r="K857" s="4"/>
      <c r="L857" s="5"/>
      <c r="BJ857" s="4"/>
      <c r="BK857" s="4"/>
      <c r="BL857" s="7"/>
    </row>
    <row r="858">
      <c r="A858" s="4"/>
      <c r="C858" s="4"/>
      <c r="G858" s="4"/>
      <c r="H858" s="4"/>
      <c r="I858" s="4"/>
      <c r="J858" s="4"/>
      <c r="K858" s="4"/>
      <c r="L858" s="5"/>
      <c r="BJ858" s="4"/>
      <c r="BK858" s="4"/>
      <c r="BL858" s="7"/>
    </row>
    <row r="859">
      <c r="A859" s="4"/>
      <c r="C859" s="4"/>
      <c r="G859" s="4"/>
      <c r="H859" s="4"/>
      <c r="I859" s="4"/>
      <c r="J859" s="4"/>
      <c r="K859" s="4"/>
      <c r="L859" s="5"/>
      <c r="BJ859" s="4"/>
      <c r="BK859" s="4"/>
      <c r="BL859" s="7"/>
    </row>
    <row r="860">
      <c r="A860" s="4"/>
      <c r="C860" s="4"/>
      <c r="G860" s="4"/>
      <c r="H860" s="4"/>
      <c r="I860" s="4"/>
      <c r="J860" s="4"/>
      <c r="K860" s="4"/>
      <c r="L860" s="5"/>
      <c r="BJ860" s="4"/>
      <c r="BK860" s="4"/>
      <c r="BL860" s="7"/>
    </row>
    <row r="861">
      <c r="A861" s="4"/>
      <c r="C861" s="4"/>
      <c r="G861" s="4"/>
      <c r="H861" s="4"/>
      <c r="I861" s="4"/>
      <c r="J861" s="4"/>
      <c r="K861" s="4"/>
      <c r="L861" s="5"/>
      <c r="BJ861" s="4"/>
      <c r="BK861" s="4"/>
      <c r="BL861" s="7"/>
    </row>
    <row r="862">
      <c r="A862" s="4"/>
      <c r="C862" s="4"/>
      <c r="G862" s="4"/>
      <c r="H862" s="4"/>
      <c r="I862" s="4"/>
      <c r="J862" s="4"/>
      <c r="K862" s="4"/>
      <c r="L862" s="5"/>
      <c r="BJ862" s="4"/>
      <c r="BK862" s="4"/>
      <c r="BL862" s="7"/>
    </row>
    <row r="863">
      <c r="A863" s="4"/>
      <c r="C863" s="4"/>
      <c r="G863" s="4"/>
      <c r="H863" s="4"/>
      <c r="I863" s="4"/>
      <c r="J863" s="4"/>
      <c r="K863" s="4"/>
      <c r="L863" s="5"/>
      <c r="BJ863" s="4"/>
      <c r="BK863" s="4"/>
      <c r="BL863" s="7"/>
    </row>
    <row r="864">
      <c r="A864" s="4"/>
      <c r="C864" s="4"/>
      <c r="G864" s="4"/>
      <c r="H864" s="4"/>
      <c r="I864" s="4"/>
      <c r="J864" s="4"/>
      <c r="K864" s="4"/>
      <c r="L864" s="5"/>
      <c r="BJ864" s="4"/>
      <c r="BK864" s="4"/>
      <c r="BL864" s="7"/>
    </row>
    <row r="865">
      <c r="A865" s="4"/>
      <c r="C865" s="4"/>
      <c r="G865" s="4"/>
      <c r="H865" s="4"/>
      <c r="I865" s="4"/>
      <c r="J865" s="4"/>
      <c r="K865" s="4"/>
      <c r="L865" s="5"/>
      <c r="BJ865" s="4"/>
      <c r="BK865" s="4"/>
      <c r="BL865" s="7"/>
    </row>
    <row r="866">
      <c r="A866" s="4"/>
      <c r="C866" s="4"/>
      <c r="G866" s="4"/>
      <c r="H866" s="4"/>
      <c r="I866" s="4"/>
      <c r="J866" s="4"/>
      <c r="K866" s="4"/>
      <c r="L866" s="5"/>
      <c r="BJ866" s="4"/>
      <c r="BK866" s="4"/>
      <c r="BL866" s="7"/>
    </row>
    <row r="867">
      <c r="A867" s="4"/>
      <c r="C867" s="4"/>
      <c r="G867" s="4"/>
      <c r="H867" s="4"/>
      <c r="I867" s="4"/>
      <c r="J867" s="4"/>
      <c r="K867" s="4"/>
      <c r="L867" s="5"/>
      <c r="BJ867" s="4"/>
      <c r="BK867" s="4"/>
      <c r="BL867" s="7"/>
    </row>
    <row r="868">
      <c r="A868" s="4"/>
      <c r="C868" s="4"/>
      <c r="G868" s="4"/>
      <c r="H868" s="4"/>
      <c r="I868" s="4"/>
      <c r="J868" s="4"/>
      <c r="K868" s="4"/>
      <c r="L868" s="5"/>
      <c r="BJ868" s="4"/>
      <c r="BK868" s="4"/>
      <c r="BL868" s="7"/>
    </row>
    <row r="869">
      <c r="A869" s="4"/>
      <c r="C869" s="4"/>
      <c r="G869" s="4"/>
      <c r="H869" s="4"/>
      <c r="I869" s="4"/>
      <c r="J869" s="4"/>
      <c r="K869" s="4"/>
      <c r="L869" s="5"/>
      <c r="BJ869" s="4"/>
      <c r="BK869" s="4"/>
      <c r="BL869" s="7"/>
    </row>
    <row r="870">
      <c r="A870" s="4"/>
      <c r="C870" s="4"/>
      <c r="G870" s="4"/>
      <c r="H870" s="4"/>
      <c r="I870" s="4"/>
      <c r="J870" s="4"/>
      <c r="K870" s="4"/>
      <c r="L870" s="5"/>
      <c r="BJ870" s="4"/>
      <c r="BK870" s="4"/>
      <c r="BL870" s="7"/>
    </row>
    <row r="871">
      <c r="A871" s="4"/>
      <c r="C871" s="4"/>
      <c r="G871" s="4"/>
      <c r="H871" s="4"/>
      <c r="I871" s="4"/>
      <c r="J871" s="4"/>
      <c r="K871" s="4"/>
      <c r="L871" s="5"/>
      <c r="BJ871" s="4"/>
      <c r="BK871" s="4"/>
      <c r="BL871" s="7"/>
    </row>
    <row r="872">
      <c r="A872" s="4"/>
      <c r="C872" s="4"/>
      <c r="G872" s="4"/>
      <c r="H872" s="4"/>
      <c r="I872" s="4"/>
      <c r="J872" s="4"/>
      <c r="K872" s="4"/>
      <c r="L872" s="5"/>
      <c r="BJ872" s="4"/>
      <c r="BK872" s="4"/>
      <c r="BL872" s="7"/>
    </row>
    <row r="873">
      <c r="A873" s="4"/>
      <c r="C873" s="4"/>
      <c r="G873" s="4"/>
      <c r="H873" s="4"/>
      <c r="I873" s="4"/>
      <c r="J873" s="4"/>
      <c r="K873" s="4"/>
      <c r="L873" s="5"/>
      <c r="BJ873" s="4"/>
      <c r="BK873" s="4"/>
      <c r="BL873" s="7"/>
    </row>
    <row r="874">
      <c r="A874" s="4"/>
      <c r="C874" s="4"/>
      <c r="G874" s="4"/>
      <c r="H874" s="4"/>
      <c r="I874" s="4"/>
      <c r="J874" s="4"/>
      <c r="K874" s="4"/>
      <c r="L874" s="5"/>
      <c r="BJ874" s="4"/>
      <c r="BK874" s="4"/>
      <c r="BL874" s="7"/>
    </row>
    <row r="875">
      <c r="A875" s="4"/>
      <c r="C875" s="4"/>
      <c r="G875" s="4"/>
      <c r="H875" s="4"/>
      <c r="I875" s="4"/>
      <c r="J875" s="4"/>
      <c r="K875" s="4"/>
      <c r="L875" s="5"/>
      <c r="BJ875" s="4"/>
      <c r="BK875" s="4"/>
      <c r="BL875" s="7"/>
    </row>
    <row r="876">
      <c r="A876" s="4"/>
      <c r="C876" s="4"/>
      <c r="G876" s="4"/>
      <c r="H876" s="4"/>
      <c r="I876" s="4"/>
      <c r="J876" s="4"/>
      <c r="K876" s="4"/>
      <c r="L876" s="5"/>
      <c r="BJ876" s="4"/>
      <c r="BK876" s="4"/>
      <c r="BL876" s="7"/>
    </row>
    <row r="877">
      <c r="A877" s="4"/>
      <c r="C877" s="4"/>
      <c r="G877" s="4"/>
      <c r="H877" s="4"/>
      <c r="I877" s="4"/>
      <c r="J877" s="4"/>
      <c r="K877" s="4"/>
      <c r="L877" s="5"/>
      <c r="BJ877" s="4"/>
      <c r="BK877" s="4"/>
      <c r="BL877" s="7"/>
    </row>
    <row r="878">
      <c r="A878" s="4"/>
      <c r="C878" s="4"/>
      <c r="G878" s="4"/>
      <c r="H878" s="4"/>
      <c r="I878" s="4"/>
      <c r="J878" s="4"/>
      <c r="K878" s="4"/>
      <c r="L878" s="5"/>
      <c r="BJ878" s="4"/>
      <c r="BK878" s="4"/>
      <c r="BL878" s="7"/>
    </row>
    <row r="879">
      <c r="A879" s="4"/>
      <c r="C879" s="4"/>
      <c r="G879" s="4"/>
      <c r="H879" s="4"/>
      <c r="I879" s="4"/>
      <c r="J879" s="4"/>
      <c r="K879" s="4"/>
      <c r="L879" s="5"/>
      <c r="BJ879" s="4"/>
      <c r="BK879" s="4"/>
      <c r="BL879" s="7"/>
    </row>
  </sheetData>
  <autoFilter ref="$A$2:$BL$45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5.38"/>
    <col customWidth="1" min="2" max="2" width="37.25"/>
    <col customWidth="1" min="3" max="3" width="10.25"/>
    <col customWidth="1" min="4" max="4" width="13.38"/>
    <col customWidth="1" min="5" max="5" width="20.13"/>
    <col customWidth="1" min="6" max="6" width="52.38"/>
    <col customWidth="1" min="7" max="7" width="14.88"/>
    <col customWidth="1" min="8" max="8" width="13.0"/>
    <col customWidth="1" min="9" max="9" width="7.25"/>
    <col customWidth="1" min="10" max="10" width="8.25"/>
    <col customWidth="1" min="11" max="11" width="17.5"/>
    <col customWidth="1" min="12" max="12" width="14.0"/>
    <col customWidth="1" min="13" max="13" width="11.38"/>
    <col customWidth="1" min="14" max="14" width="11.75"/>
    <col customWidth="1" min="15" max="15" width="6.5"/>
    <col customWidth="1" min="16" max="17" width="7.0"/>
    <col customWidth="1" min="18" max="18" width="7.75"/>
    <col customWidth="1" min="19" max="26" width="7.0"/>
    <col customWidth="1" min="27" max="27" width="11.75"/>
    <col customWidth="1" min="28" max="28" width="10.5"/>
    <col customWidth="1" min="29" max="29" width="6.5"/>
    <col customWidth="1" min="42" max="42" width="10.88"/>
    <col customWidth="1" min="55" max="55" width="15.25"/>
    <col customWidth="1" min="58" max="58" width="14.63"/>
    <col customWidth="1" min="59" max="59" width="14.0"/>
    <col customWidth="1" min="62" max="62" width="10.88"/>
    <col customWidth="1" min="63" max="63" width="7.25"/>
    <col customWidth="1" min="64" max="64" width="11.0"/>
  </cols>
  <sheetData>
    <row r="1" ht="24.75" customHeight="1">
      <c r="A1" s="3" t="s">
        <v>28</v>
      </c>
      <c r="B1" s="2" t="s">
        <v>0</v>
      </c>
      <c r="C1" s="3" t="s">
        <v>0</v>
      </c>
      <c r="D1" s="2"/>
      <c r="E1" s="2"/>
      <c r="F1" s="2"/>
      <c r="G1" s="3"/>
      <c r="H1" s="4"/>
      <c r="I1" s="4"/>
      <c r="J1" s="4"/>
      <c r="K1" s="4"/>
      <c r="L1" s="5"/>
      <c r="M1" s="2"/>
      <c r="N1" s="2"/>
      <c r="O1" s="2"/>
      <c r="P1" s="2"/>
      <c r="Q1" s="2"/>
      <c r="R1" s="2"/>
      <c r="S1" s="2"/>
      <c r="T1" s="6" t="str">
        <f>IF(R4="A",450000,IF(R4="B",450000,IF(R4="C",450000,IF(R4="D",450000,IF(R4="E",500000,IF(R4="F",450000,""))))))</f>
        <v/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3"/>
      <c r="BK1" s="3"/>
      <c r="BL1" s="7"/>
    </row>
    <row r="2" ht="46.5" customHeight="1">
      <c r="A2" s="8" t="s">
        <v>1</v>
      </c>
      <c r="B2" s="9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10" t="s">
        <v>12</v>
      </c>
      <c r="M2" s="8" t="s">
        <v>13</v>
      </c>
      <c r="N2" s="8" t="s">
        <v>14</v>
      </c>
      <c r="O2" s="8">
        <v>7.0</v>
      </c>
      <c r="P2" s="8">
        <v>8.0</v>
      </c>
      <c r="Q2" s="8">
        <v>9.0</v>
      </c>
      <c r="R2" s="8">
        <v>10.0</v>
      </c>
      <c r="S2" s="8">
        <v>11.0</v>
      </c>
      <c r="T2" s="8">
        <v>12.0</v>
      </c>
      <c r="U2" s="8">
        <v>1.0</v>
      </c>
      <c r="V2" s="8">
        <v>2.0</v>
      </c>
      <c r="W2" s="8">
        <v>3.0</v>
      </c>
      <c r="X2" s="8">
        <v>4.0</v>
      </c>
      <c r="Y2" s="8">
        <v>5.0</v>
      </c>
      <c r="Z2" s="8">
        <v>6.0</v>
      </c>
      <c r="AA2" s="8" t="s">
        <v>15</v>
      </c>
      <c r="AB2" s="8" t="s">
        <v>16</v>
      </c>
      <c r="AC2" s="8">
        <v>7.0</v>
      </c>
      <c r="AD2" s="8">
        <v>8.0</v>
      </c>
      <c r="AE2" s="8">
        <v>9.0</v>
      </c>
      <c r="AF2" s="8">
        <v>10.0</v>
      </c>
      <c r="AG2" s="8">
        <v>11.0</v>
      </c>
      <c r="AH2" s="8">
        <v>12.0</v>
      </c>
      <c r="AI2" s="8">
        <v>1.0</v>
      </c>
      <c r="AJ2" s="8">
        <v>2.0</v>
      </c>
      <c r="AK2" s="8">
        <v>3.0</v>
      </c>
      <c r="AL2" s="8">
        <v>4.0</v>
      </c>
      <c r="AM2" s="8">
        <v>5.0</v>
      </c>
      <c r="AN2" s="8">
        <v>6.0</v>
      </c>
      <c r="AO2" s="8" t="s">
        <v>17</v>
      </c>
      <c r="AP2" s="8" t="s">
        <v>18</v>
      </c>
      <c r="AQ2" s="8">
        <v>7.0</v>
      </c>
      <c r="AR2" s="8">
        <v>8.0</v>
      </c>
      <c r="AS2" s="8">
        <v>9.0</v>
      </c>
      <c r="AT2" s="8">
        <v>10.0</v>
      </c>
      <c r="AU2" s="8">
        <v>11.0</v>
      </c>
      <c r="AV2" s="8">
        <v>12.0</v>
      </c>
      <c r="AW2" s="8">
        <v>1.0</v>
      </c>
      <c r="AX2" s="8">
        <v>2.0</v>
      </c>
      <c r="AY2" s="8">
        <v>3.0</v>
      </c>
      <c r="AZ2" s="8">
        <v>4.0</v>
      </c>
      <c r="BA2" s="8">
        <v>5.0</v>
      </c>
      <c r="BB2" s="8">
        <v>6.0</v>
      </c>
      <c r="BC2" s="8" t="s">
        <v>19</v>
      </c>
      <c r="BD2" s="8" t="s">
        <v>20</v>
      </c>
      <c r="BE2" s="8" t="s">
        <v>21</v>
      </c>
      <c r="BF2" s="8" t="s">
        <v>22</v>
      </c>
      <c r="BG2" s="8" t="s">
        <v>23</v>
      </c>
      <c r="BH2" s="8" t="s">
        <v>24</v>
      </c>
      <c r="BI2" s="8" t="s">
        <v>25</v>
      </c>
      <c r="BJ2" s="8" t="s">
        <v>8</v>
      </c>
      <c r="BK2" s="8" t="s">
        <v>9</v>
      </c>
      <c r="BL2" s="11" t="s">
        <v>26</v>
      </c>
    </row>
    <row r="3">
      <c r="A3" s="12">
        <f t="shared" ref="A3:A708" si="1">IF(B3="","",ROW(A3)-2)</f>
        <v>1</v>
      </c>
      <c r="B3" s="13" t="s">
        <v>29</v>
      </c>
      <c r="C3" s="14">
        <v>2.025070115E9</v>
      </c>
      <c r="D3" s="15" t="s">
        <v>30</v>
      </c>
      <c r="E3" s="15" t="s">
        <v>31</v>
      </c>
      <c r="F3" s="15" t="s">
        <v>32</v>
      </c>
      <c r="G3" s="16" t="s">
        <v>33</v>
      </c>
      <c r="H3" s="14" t="s">
        <v>34</v>
      </c>
      <c r="I3" s="14" t="s">
        <v>35</v>
      </c>
      <c r="J3" s="16">
        <v>2.0</v>
      </c>
      <c r="K3" s="16" t="s">
        <v>36</v>
      </c>
      <c r="L3" s="17" t="s">
        <v>37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>
        <v>500000.0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>
        <v>500000.0</v>
      </c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>
        <f t="shared" ref="BC3:BC367" si="2">SUM(O3:Z3)+SUM(AC3:AN3)+SUM(AQ3:BB3)</f>
        <v>0</v>
      </c>
      <c r="BD3" s="18">
        <f t="shared" ref="BD3:BD367" si="3">M3+AB3+AP3</f>
        <v>1000000</v>
      </c>
      <c r="BE3" s="18">
        <f t="shared" ref="BE3:BE367" si="4">AA3+AO3</f>
        <v>0</v>
      </c>
      <c r="BF3" s="18">
        <f t="shared" ref="BF3:BF367" si="5">BC3+BD3+BE3</f>
        <v>1000000</v>
      </c>
      <c r="BG3" s="15"/>
      <c r="BH3" s="15"/>
      <c r="BI3" s="15"/>
      <c r="BJ3" s="12" t="s">
        <v>34</v>
      </c>
      <c r="BK3" s="12" t="s">
        <v>35</v>
      </c>
      <c r="BL3" s="32">
        <v>460000.0</v>
      </c>
    </row>
    <row r="4">
      <c r="A4" s="21">
        <f t="shared" si="1"/>
        <v>2</v>
      </c>
      <c r="B4" s="22" t="s">
        <v>38</v>
      </c>
      <c r="C4" s="23">
        <v>2.025070596E9</v>
      </c>
      <c r="D4" s="24" t="s">
        <v>39</v>
      </c>
      <c r="E4" s="24" t="s">
        <v>40</v>
      </c>
      <c r="F4" s="24" t="s">
        <v>41</v>
      </c>
      <c r="G4" s="25" t="s">
        <v>42</v>
      </c>
      <c r="H4" s="23" t="s">
        <v>34</v>
      </c>
      <c r="I4" s="23" t="s">
        <v>43</v>
      </c>
      <c r="J4" s="25">
        <v>2.0</v>
      </c>
      <c r="K4" s="25" t="s">
        <v>44</v>
      </c>
      <c r="L4" s="26" t="s">
        <v>45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>
        <v>500000.0</v>
      </c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>
        <f t="shared" si="2"/>
        <v>0</v>
      </c>
      <c r="BD4" s="27">
        <f t="shared" si="3"/>
        <v>500000</v>
      </c>
      <c r="BE4" s="27">
        <f t="shared" si="4"/>
        <v>0</v>
      </c>
      <c r="BF4" s="27">
        <f t="shared" si="5"/>
        <v>500000</v>
      </c>
      <c r="BG4" s="24"/>
      <c r="BH4" s="24"/>
      <c r="BI4" s="24"/>
      <c r="BJ4" s="21" t="s">
        <v>34</v>
      </c>
      <c r="BK4" s="21" t="s">
        <v>43</v>
      </c>
      <c r="BL4" s="33">
        <v>460000.0</v>
      </c>
    </row>
    <row r="5">
      <c r="A5" s="12">
        <f t="shared" si="1"/>
        <v>3</v>
      </c>
      <c r="B5" s="13" t="s">
        <v>46</v>
      </c>
      <c r="C5" s="14">
        <v>2.025070299E9</v>
      </c>
      <c r="D5" s="15" t="s">
        <v>47</v>
      </c>
      <c r="E5" s="15" t="s">
        <v>48</v>
      </c>
      <c r="F5" s="15" t="s">
        <v>49</v>
      </c>
      <c r="G5" s="16" t="s">
        <v>33</v>
      </c>
      <c r="H5" s="14" t="s">
        <v>34</v>
      </c>
      <c r="I5" s="14" t="s">
        <v>50</v>
      </c>
      <c r="J5" s="16">
        <v>2.0</v>
      </c>
      <c r="K5" s="16" t="s">
        <v>36</v>
      </c>
      <c r="L5" s="17" t="s">
        <v>51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>
        <v>500000.0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>
        <f t="shared" si="2"/>
        <v>0</v>
      </c>
      <c r="BD5" s="18">
        <f t="shared" si="3"/>
        <v>500000</v>
      </c>
      <c r="BE5" s="18">
        <f t="shared" si="4"/>
        <v>0</v>
      </c>
      <c r="BF5" s="18">
        <f t="shared" si="5"/>
        <v>500000</v>
      </c>
      <c r="BG5" s="15"/>
      <c r="BH5" s="15"/>
      <c r="BI5" s="15"/>
      <c r="BJ5" s="12" t="s">
        <v>34</v>
      </c>
      <c r="BK5" s="12" t="s">
        <v>50</v>
      </c>
      <c r="BL5" s="32">
        <v>460000.0</v>
      </c>
    </row>
    <row r="6">
      <c r="A6" s="21">
        <f t="shared" si="1"/>
        <v>4</v>
      </c>
      <c r="B6" s="22" t="s">
        <v>52</v>
      </c>
      <c r="C6" s="23">
        <v>2.025070224E9</v>
      </c>
      <c r="D6" s="24" t="s">
        <v>53</v>
      </c>
      <c r="E6" s="24" t="s">
        <v>54</v>
      </c>
      <c r="F6" s="24" t="s">
        <v>55</v>
      </c>
      <c r="G6" s="25" t="s">
        <v>33</v>
      </c>
      <c r="H6" s="23" t="s">
        <v>34</v>
      </c>
      <c r="I6" s="23" t="s">
        <v>35</v>
      </c>
      <c r="J6" s="25">
        <v>2.0</v>
      </c>
      <c r="K6" s="25" t="s">
        <v>36</v>
      </c>
      <c r="L6" s="26" t="s">
        <v>56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>
        <v>500000.0</v>
      </c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>
        <v>500000.0</v>
      </c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>
        <f t="shared" si="2"/>
        <v>0</v>
      </c>
      <c r="BD6" s="27">
        <f t="shared" si="3"/>
        <v>1000000</v>
      </c>
      <c r="BE6" s="27">
        <f t="shared" si="4"/>
        <v>0</v>
      </c>
      <c r="BF6" s="27">
        <f t="shared" si="5"/>
        <v>1000000</v>
      </c>
      <c r="BG6" s="24"/>
      <c r="BH6" s="24"/>
      <c r="BI6" s="24"/>
      <c r="BJ6" s="21" t="s">
        <v>34</v>
      </c>
      <c r="BK6" s="21" t="s">
        <v>35</v>
      </c>
      <c r="BL6" s="33">
        <v>460000.0</v>
      </c>
    </row>
    <row r="7">
      <c r="A7" s="12">
        <f t="shared" si="1"/>
        <v>5</v>
      </c>
      <c r="B7" s="13" t="s">
        <v>57</v>
      </c>
      <c r="C7" s="14">
        <v>2.025070418E9</v>
      </c>
      <c r="D7" s="15" t="s">
        <v>58</v>
      </c>
      <c r="E7" s="15" t="s">
        <v>59</v>
      </c>
      <c r="F7" s="15" t="s">
        <v>60</v>
      </c>
      <c r="G7" s="16" t="s">
        <v>33</v>
      </c>
      <c r="H7" s="14" t="s">
        <v>34</v>
      </c>
      <c r="I7" s="14" t="s">
        <v>50</v>
      </c>
      <c r="J7" s="16">
        <v>2.0</v>
      </c>
      <c r="K7" s="16" t="s">
        <v>36</v>
      </c>
      <c r="L7" s="17" t="s">
        <v>61</v>
      </c>
      <c r="M7" s="18"/>
      <c r="N7" s="18" t="s">
        <v>0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>
        <v>450000.0</v>
      </c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>
        <f t="shared" si="2"/>
        <v>450000</v>
      </c>
      <c r="BD7" s="18">
        <f t="shared" si="3"/>
        <v>0</v>
      </c>
      <c r="BE7" s="18">
        <f t="shared" si="4"/>
        <v>0</v>
      </c>
      <c r="BF7" s="18">
        <f t="shared" si="5"/>
        <v>450000</v>
      </c>
      <c r="BG7" s="15"/>
      <c r="BH7" s="15"/>
      <c r="BI7" s="15"/>
      <c r="BJ7" s="12" t="s">
        <v>34</v>
      </c>
      <c r="BK7" s="12" t="s">
        <v>50</v>
      </c>
      <c r="BL7" s="32">
        <v>460000.0</v>
      </c>
    </row>
    <row r="8">
      <c r="A8" s="21">
        <f t="shared" si="1"/>
        <v>6</v>
      </c>
      <c r="B8" s="22" t="s">
        <v>62</v>
      </c>
      <c r="C8" s="23">
        <v>2.025070493E9</v>
      </c>
      <c r="D8" s="24" t="s">
        <v>63</v>
      </c>
      <c r="E8" s="24" t="s">
        <v>64</v>
      </c>
      <c r="F8" s="24" t="s">
        <v>65</v>
      </c>
      <c r="G8" s="25" t="s">
        <v>66</v>
      </c>
      <c r="H8" s="23" t="s">
        <v>34</v>
      </c>
      <c r="I8" s="23" t="s">
        <v>43</v>
      </c>
      <c r="J8" s="25">
        <v>2.0</v>
      </c>
      <c r="K8" s="25" t="s">
        <v>44</v>
      </c>
      <c r="L8" s="26" t="s">
        <v>67</v>
      </c>
      <c r="M8" s="27">
        <v>600000.0</v>
      </c>
      <c r="N8" s="27"/>
      <c r="O8" s="27"/>
      <c r="P8" s="27"/>
      <c r="Q8" s="27">
        <v>450000.0</v>
      </c>
      <c r="R8" s="27">
        <v>450000.0</v>
      </c>
      <c r="S8" s="27">
        <v>450000.0</v>
      </c>
      <c r="T8" s="27">
        <v>450000.0</v>
      </c>
      <c r="U8" s="27">
        <v>450000.0</v>
      </c>
      <c r="V8" s="27">
        <v>450000.0</v>
      </c>
      <c r="W8" s="27">
        <v>450000.0</v>
      </c>
      <c r="X8" s="27">
        <v>450000.0</v>
      </c>
      <c r="Y8" s="27">
        <v>450000.0</v>
      </c>
      <c r="Z8" s="27">
        <v>450000.0</v>
      </c>
      <c r="AA8" s="27"/>
      <c r="AB8" s="27">
        <v>500000.0</v>
      </c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>
        <v>500000.0</v>
      </c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>
        <f t="shared" si="2"/>
        <v>4500000</v>
      </c>
      <c r="BD8" s="27">
        <f t="shared" si="3"/>
        <v>1600000</v>
      </c>
      <c r="BE8" s="27">
        <f t="shared" si="4"/>
        <v>0</v>
      </c>
      <c r="BF8" s="27">
        <f t="shared" si="5"/>
        <v>6100000</v>
      </c>
      <c r="BG8" s="24"/>
      <c r="BH8" s="24"/>
      <c r="BI8" s="24"/>
      <c r="BJ8" s="21" t="s">
        <v>34</v>
      </c>
      <c r="BK8" s="21" t="s">
        <v>43</v>
      </c>
      <c r="BL8" s="33">
        <v>460000.0</v>
      </c>
    </row>
    <row r="9">
      <c r="A9" s="12">
        <f t="shared" si="1"/>
        <v>7</v>
      </c>
      <c r="B9" s="13" t="s">
        <v>68</v>
      </c>
      <c r="C9" s="14">
        <v>2.025070328E9</v>
      </c>
      <c r="D9" s="15" t="s">
        <v>69</v>
      </c>
      <c r="E9" s="15" t="s">
        <v>70</v>
      </c>
      <c r="F9" s="15" t="s">
        <v>71</v>
      </c>
      <c r="G9" s="16" t="s">
        <v>33</v>
      </c>
      <c r="H9" s="14" t="s">
        <v>34</v>
      </c>
      <c r="I9" s="14" t="s">
        <v>50</v>
      </c>
      <c r="J9" s="16">
        <v>2.0</v>
      </c>
      <c r="K9" s="16" t="s">
        <v>36</v>
      </c>
      <c r="L9" s="17" t="s">
        <v>72</v>
      </c>
      <c r="M9" s="18"/>
      <c r="N9" s="18">
        <v>200000.0</v>
      </c>
      <c r="O9" s="18"/>
      <c r="P9" s="18"/>
      <c r="Q9" s="18"/>
      <c r="R9" s="18"/>
      <c r="S9" s="18"/>
      <c r="T9" s="18"/>
      <c r="U9" s="18"/>
      <c r="V9" s="18"/>
      <c r="W9" s="18"/>
      <c r="X9" s="18">
        <v>450000.0</v>
      </c>
      <c r="Y9" s="18">
        <v>450000.0</v>
      </c>
      <c r="Z9" s="18">
        <v>450000.0</v>
      </c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>
        <f t="shared" si="2"/>
        <v>1350000</v>
      </c>
      <c r="BD9" s="18">
        <f t="shared" si="3"/>
        <v>0</v>
      </c>
      <c r="BE9" s="18">
        <f t="shared" si="4"/>
        <v>0</v>
      </c>
      <c r="BF9" s="18">
        <f t="shared" si="5"/>
        <v>1350000</v>
      </c>
      <c r="BG9" s="15"/>
      <c r="BH9" s="15"/>
      <c r="BI9" s="15"/>
      <c r="BJ9" s="12" t="s">
        <v>34</v>
      </c>
      <c r="BK9" s="12" t="s">
        <v>50</v>
      </c>
      <c r="BL9" s="32">
        <v>460000.0</v>
      </c>
    </row>
    <row r="10">
      <c r="A10" s="21">
        <f t="shared" si="1"/>
        <v>8</v>
      </c>
      <c r="B10" s="22" t="s">
        <v>73</v>
      </c>
      <c r="C10" s="23">
        <v>2.025070306E9</v>
      </c>
      <c r="D10" s="24" t="s">
        <v>74</v>
      </c>
      <c r="E10" s="24" t="s">
        <v>75</v>
      </c>
      <c r="F10" s="24" t="s">
        <v>76</v>
      </c>
      <c r="G10" s="25" t="s">
        <v>33</v>
      </c>
      <c r="H10" s="23" t="s">
        <v>34</v>
      </c>
      <c r="I10" s="23" t="s">
        <v>35</v>
      </c>
      <c r="J10" s="25">
        <v>2.0</v>
      </c>
      <c r="K10" s="25" t="s">
        <v>36</v>
      </c>
      <c r="L10" s="26" t="s">
        <v>77</v>
      </c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>
        <v>500000.0</v>
      </c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>
        <v>500000.0</v>
      </c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>
        <f t="shared" si="2"/>
        <v>0</v>
      </c>
      <c r="BD10" s="27">
        <f t="shared" si="3"/>
        <v>1000000</v>
      </c>
      <c r="BE10" s="27">
        <f t="shared" si="4"/>
        <v>0</v>
      </c>
      <c r="BF10" s="27">
        <f t="shared" si="5"/>
        <v>1000000</v>
      </c>
      <c r="BG10" s="24"/>
      <c r="BH10" s="24"/>
      <c r="BI10" s="24"/>
      <c r="BJ10" s="21" t="s">
        <v>34</v>
      </c>
      <c r="BK10" s="21" t="s">
        <v>35</v>
      </c>
      <c r="BL10" s="33">
        <v>460000.0</v>
      </c>
    </row>
    <row r="11">
      <c r="A11" s="12">
        <f t="shared" si="1"/>
        <v>9</v>
      </c>
      <c r="B11" s="13" t="s">
        <v>78</v>
      </c>
      <c r="C11" s="14">
        <v>2.025070523E9</v>
      </c>
      <c r="D11" s="15" t="s">
        <v>79</v>
      </c>
      <c r="E11" s="15" t="s">
        <v>80</v>
      </c>
      <c r="F11" s="15" t="s">
        <v>81</v>
      </c>
      <c r="G11" s="16" t="s">
        <v>82</v>
      </c>
      <c r="H11" s="14" t="s">
        <v>34</v>
      </c>
      <c r="I11" s="14" t="s">
        <v>83</v>
      </c>
      <c r="J11" s="16">
        <v>2.0</v>
      </c>
      <c r="K11" s="16" t="s">
        <v>44</v>
      </c>
      <c r="L11" s="17" t="s">
        <v>84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>
        <v>500000.0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>
        <v>500000.0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>
        <f t="shared" si="2"/>
        <v>0</v>
      </c>
      <c r="BD11" s="18">
        <f t="shared" si="3"/>
        <v>1000000</v>
      </c>
      <c r="BE11" s="18">
        <f t="shared" si="4"/>
        <v>0</v>
      </c>
      <c r="BF11" s="18">
        <f t="shared" si="5"/>
        <v>1000000</v>
      </c>
      <c r="BG11" s="15"/>
      <c r="BH11" s="15"/>
      <c r="BI11" s="15"/>
      <c r="BJ11" s="12" t="s">
        <v>34</v>
      </c>
      <c r="BK11" s="12" t="s">
        <v>83</v>
      </c>
      <c r="BL11" s="32">
        <v>460000.0</v>
      </c>
    </row>
    <row r="12">
      <c r="A12" s="21">
        <f t="shared" si="1"/>
        <v>10</v>
      </c>
      <c r="B12" s="22" t="s">
        <v>85</v>
      </c>
      <c r="C12" s="23">
        <v>2.025070582E9</v>
      </c>
      <c r="D12" s="24" t="s">
        <v>86</v>
      </c>
      <c r="E12" s="24" t="s">
        <v>87</v>
      </c>
      <c r="F12" s="24" t="s">
        <v>88</v>
      </c>
      <c r="G12" s="25" t="s">
        <v>89</v>
      </c>
      <c r="H12" s="23" t="s">
        <v>34</v>
      </c>
      <c r="I12" s="23" t="s">
        <v>83</v>
      </c>
      <c r="J12" s="25">
        <v>2.0</v>
      </c>
      <c r="K12" s="25" t="s">
        <v>44</v>
      </c>
      <c r="L12" s="26" t="s">
        <v>90</v>
      </c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>
        <v>500000.0</v>
      </c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>
        <v>500000.0</v>
      </c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>
        <f t="shared" si="2"/>
        <v>0</v>
      </c>
      <c r="BD12" s="27">
        <f t="shared" si="3"/>
        <v>1000000</v>
      </c>
      <c r="BE12" s="27">
        <f t="shared" si="4"/>
        <v>0</v>
      </c>
      <c r="BF12" s="27">
        <f t="shared" si="5"/>
        <v>1000000</v>
      </c>
      <c r="BG12" s="24"/>
      <c r="BH12" s="24"/>
      <c r="BI12" s="24"/>
      <c r="BJ12" s="21" t="s">
        <v>34</v>
      </c>
      <c r="BK12" s="21" t="s">
        <v>83</v>
      </c>
      <c r="BL12" s="33">
        <v>460000.0</v>
      </c>
    </row>
    <row r="13">
      <c r="A13" s="12">
        <f t="shared" si="1"/>
        <v>11</v>
      </c>
      <c r="B13" s="13" t="s">
        <v>91</v>
      </c>
      <c r="C13" s="14">
        <v>2.025070642E9</v>
      </c>
      <c r="D13" s="15" t="s">
        <v>92</v>
      </c>
      <c r="E13" s="15" t="s">
        <v>93</v>
      </c>
      <c r="F13" s="15" t="s">
        <v>94</v>
      </c>
      <c r="G13" s="16" t="s">
        <v>95</v>
      </c>
      <c r="H13" s="14" t="s">
        <v>34</v>
      </c>
      <c r="I13" s="14" t="s">
        <v>43</v>
      </c>
      <c r="J13" s="16">
        <v>2.0</v>
      </c>
      <c r="K13" s="16" t="s">
        <v>44</v>
      </c>
      <c r="L13" s="17" t="s">
        <v>96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>
        <f t="shared" si="2"/>
        <v>0</v>
      </c>
      <c r="BD13" s="18">
        <f t="shared" si="3"/>
        <v>0</v>
      </c>
      <c r="BE13" s="18">
        <f t="shared" si="4"/>
        <v>0</v>
      </c>
      <c r="BF13" s="18">
        <f t="shared" si="5"/>
        <v>0</v>
      </c>
      <c r="BG13" s="15"/>
      <c r="BH13" s="15"/>
      <c r="BI13" s="15"/>
      <c r="BJ13" s="12" t="s">
        <v>34</v>
      </c>
      <c r="BK13" s="12" t="s">
        <v>43</v>
      </c>
      <c r="BL13" s="32">
        <v>460000.0</v>
      </c>
    </row>
    <row r="14">
      <c r="A14" s="21">
        <f t="shared" si="1"/>
        <v>12</v>
      </c>
      <c r="B14" s="22" t="s">
        <v>97</v>
      </c>
      <c r="C14" s="23">
        <v>2.02507046E9</v>
      </c>
      <c r="D14" s="24" t="s">
        <v>98</v>
      </c>
      <c r="E14" s="24" t="s">
        <v>99</v>
      </c>
      <c r="F14" s="24" t="s">
        <v>100</v>
      </c>
      <c r="G14" s="25" t="s">
        <v>101</v>
      </c>
      <c r="H14" s="23" t="s">
        <v>34</v>
      </c>
      <c r="I14" s="23" t="s">
        <v>35</v>
      </c>
      <c r="J14" s="25">
        <v>2.0</v>
      </c>
      <c r="K14" s="25" t="s">
        <v>102</v>
      </c>
      <c r="L14" s="26" t="s">
        <v>103</v>
      </c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>
        <v>500000.0</v>
      </c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>
        <v>500000.0</v>
      </c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>
        <f t="shared" si="2"/>
        <v>0</v>
      </c>
      <c r="BD14" s="27">
        <f t="shared" si="3"/>
        <v>1000000</v>
      </c>
      <c r="BE14" s="27">
        <f t="shared" si="4"/>
        <v>0</v>
      </c>
      <c r="BF14" s="27">
        <f t="shared" si="5"/>
        <v>1000000</v>
      </c>
      <c r="BG14" s="24"/>
      <c r="BH14" s="24"/>
      <c r="BI14" s="24"/>
      <c r="BJ14" s="21" t="s">
        <v>34</v>
      </c>
      <c r="BK14" s="21" t="s">
        <v>35</v>
      </c>
      <c r="BL14" s="33">
        <v>460000.0</v>
      </c>
    </row>
    <row r="15">
      <c r="A15" s="12">
        <f t="shared" si="1"/>
        <v>13</v>
      </c>
      <c r="B15" s="13" t="s">
        <v>104</v>
      </c>
      <c r="C15" s="14">
        <v>2.02507061E9</v>
      </c>
      <c r="D15" s="15" t="s">
        <v>105</v>
      </c>
      <c r="E15" s="15" t="s">
        <v>106</v>
      </c>
      <c r="F15" s="15" t="s">
        <v>107</v>
      </c>
      <c r="G15" s="16" t="s">
        <v>42</v>
      </c>
      <c r="H15" s="14" t="s">
        <v>34</v>
      </c>
      <c r="I15" s="14" t="s">
        <v>43</v>
      </c>
      <c r="J15" s="16">
        <v>2.0</v>
      </c>
      <c r="K15" s="16" t="s">
        <v>44</v>
      </c>
      <c r="L15" s="17" t="s">
        <v>108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>
        <v>450000.0</v>
      </c>
      <c r="Z15" s="18">
        <v>450000.0</v>
      </c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>
        <v>500000.0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>
        <f t="shared" si="2"/>
        <v>900000</v>
      </c>
      <c r="BD15" s="18">
        <f t="shared" si="3"/>
        <v>500000</v>
      </c>
      <c r="BE15" s="18">
        <f t="shared" si="4"/>
        <v>0</v>
      </c>
      <c r="BF15" s="18">
        <f t="shared" si="5"/>
        <v>1400000</v>
      </c>
      <c r="BG15" s="15"/>
      <c r="BH15" s="15"/>
      <c r="BI15" s="15"/>
      <c r="BJ15" s="12" t="s">
        <v>34</v>
      </c>
      <c r="BK15" s="12" t="s">
        <v>43</v>
      </c>
      <c r="BL15" s="32">
        <v>460000.0</v>
      </c>
    </row>
    <row r="16">
      <c r="A16" s="21">
        <f t="shared" si="1"/>
        <v>14</v>
      </c>
      <c r="B16" s="22" t="s">
        <v>109</v>
      </c>
      <c r="C16" s="23">
        <v>2.025070436E9</v>
      </c>
      <c r="D16" s="24" t="s">
        <v>110</v>
      </c>
      <c r="E16" s="24" t="s">
        <v>111</v>
      </c>
      <c r="F16" s="24" t="s">
        <v>112</v>
      </c>
      <c r="G16" s="25" t="s">
        <v>113</v>
      </c>
      <c r="H16" s="23" t="s">
        <v>34</v>
      </c>
      <c r="I16" s="23" t="s">
        <v>114</v>
      </c>
      <c r="J16" s="25">
        <v>2.0</v>
      </c>
      <c r="K16" s="25" t="s">
        <v>102</v>
      </c>
      <c r="L16" s="26" t="s">
        <v>115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>
        <f t="shared" si="2"/>
        <v>0</v>
      </c>
      <c r="BD16" s="27">
        <f t="shared" si="3"/>
        <v>0</v>
      </c>
      <c r="BE16" s="27">
        <f t="shared" si="4"/>
        <v>0</v>
      </c>
      <c r="BF16" s="27">
        <f t="shared" si="5"/>
        <v>0</v>
      </c>
      <c r="BG16" s="24"/>
      <c r="BH16" s="24"/>
      <c r="BI16" s="24"/>
      <c r="BJ16" s="21" t="s">
        <v>34</v>
      </c>
      <c r="BK16" s="21" t="s">
        <v>114</v>
      </c>
      <c r="BL16" s="33">
        <v>460000.0</v>
      </c>
    </row>
    <row r="17">
      <c r="A17" s="12">
        <f t="shared" si="1"/>
        <v>15</v>
      </c>
      <c r="B17" s="13" t="s">
        <v>116</v>
      </c>
      <c r="C17" s="14">
        <v>2.025070632E9</v>
      </c>
      <c r="D17" s="15" t="s">
        <v>117</v>
      </c>
      <c r="E17" s="15" t="s">
        <v>118</v>
      </c>
      <c r="F17" s="15" t="s">
        <v>119</v>
      </c>
      <c r="G17" s="16" t="s">
        <v>42</v>
      </c>
      <c r="H17" s="14" t="s">
        <v>34</v>
      </c>
      <c r="I17" s="14" t="s">
        <v>83</v>
      </c>
      <c r="J17" s="16">
        <v>2.0</v>
      </c>
      <c r="K17" s="16" t="s">
        <v>44</v>
      </c>
      <c r="L17" s="17" t="s">
        <v>120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>
        <v>500000.0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>
        <v>500000.0</v>
      </c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>
        <f t="shared" si="2"/>
        <v>0</v>
      </c>
      <c r="BD17" s="18">
        <f t="shared" si="3"/>
        <v>1000000</v>
      </c>
      <c r="BE17" s="18">
        <f t="shared" si="4"/>
        <v>0</v>
      </c>
      <c r="BF17" s="18">
        <f t="shared" si="5"/>
        <v>1000000</v>
      </c>
      <c r="BG17" s="15"/>
      <c r="BH17" s="15"/>
      <c r="BI17" s="15"/>
      <c r="BJ17" s="12" t="s">
        <v>34</v>
      </c>
      <c r="BK17" s="12" t="s">
        <v>83</v>
      </c>
      <c r="BL17" s="32">
        <v>460000.0</v>
      </c>
    </row>
    <row r="18">
      <c r="A18" s="21">
        <f t="shared" si="1"/>
        <v>16</v>
      </c>
      <c r="B18" s="22" t="s">
        <v>121</v>
      </c>
      <c r="C18" s="23">
        <v>2.025070625E9</v>
      </c>
      <c r="D18" s="24" t="s">
        <v>122</v>
      </c>
      <c r="E18" s="24" t="s">
        <v>123</v>
      </c>
      <c r="F18" s="24" t="s">
        <v>124</v>
      </c>
      <c r="G18" s="25" t="s">
        <v>125</v>
      </c>
      <c r="H18" s="23" t="s">
        <v>34</v>
      </c>
      <c r="I18" s="23" t="s">
        <v>83</v>
      </c>
      <c r="J18" s="25">
        <v>2.0</v>
      </c>
      <c r="K18" s="25" t="s">
        <v>44</v>
      </c>
      <c r="L18" s="26" t="s">
        <v>126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>
        <v>500000.0</v>
      </c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>
        <v>500000.0</v>
      </c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>
        <f t="shared" si="2"/>
        <v>0</v>
      </c>
      <c r="BD18" s="27">
        <f t="shared" si="3"/>
        <v>1000000</v>
      </c>
      <c r="BE18" s="27">
        <f t="shared" si="4"/>
        <v>0</v>
      </c>
      <c r="BF18" s="27">
        <f t="shared" si="5"/>
        <v>1000000</v>
      </c>
      <c r="BG18" s="24"/>
      <c r="BH18" s="24"/>
      <c r="BI18" s="24"/>
      <c r="BJ18" s="21" t="s">
        <v>34</v>
      </c>
      <c r="BK18" s="21" t="s">
        <v>83</v>
      </c>
      <c r="BL18" s="33">
        <v>460000.0</v>
      </c>
    </row>
    <row r="19">
      <c r="A19" s="12">
        <f t="shared" si="1"/>
        <v>17</v>
      </c>
      <c r="B19" s="13" t="s">
        <v>127</v>
      </c>
      <c r="C19" s="14">
        <v>2.025070136E9</v>
      </c>
      <c r="D19" s="15" t="s">
        <v>128</v>
      </c>
      <c r="E19" s="15" t="s">
        <v>129</v>
      </c>
      <c r="F19" s="15" t="s">
        <v>130</v>
      </c>
      <c r="G19" s="16" t="s">
        <v>33</v>
      </c>
      <c r="H19" s="14" t="s">
        <v>34</v>
      </c>
      <c r="I19" s="14" t="s">
        <v>35</v>
      </c>
      <c r="J19" s="16">
        <v>2.0</v>
      </c>
      <c r="K19" s="16" t="s">
        <v>102</v>
      </c>
      <c r="L19" s="17" t="s">
        <v>131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>
        <v>500000.0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>
        <v>500000.0</v>
      </c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>
        <f t="shared" si="2"/>
        <v>0</v>
      </c>
      <c r="BD19" s="18">
        <f t="shared" si="3"/>
        <v>1000000</v>
      </c>
      <c r="BE19" s="18">
        <f t="shared" si="4"/>
        <v>0</v>
      </c>
      <c r="BF19" s="18">
        <f t="shared" si="5"/>
        <v>1000000</v>
      </c>
      <c r="BG19" s="15"/>
      <c r="BH19" s="15"/>
      <c r="BI19" s="15"/>
      <c r="BJ19" s="12" t="s">
        <v>34</v>
      </c>
      <c r="BK19" s="12" t="s">
        <v>35</v>
      </c>
      <c r="BL19" s="32">
        <v>460000.0</v>
      </c>
    </row>
    <row r="20">
      <c r="A20" s="21">
        <f t="shared" si="1"/>
        <v>18</v>
      </c>
      <c r="B20" s="22" t="s">
        <v>132</v>
      </c>
      <c r="C20" s="23">
        <v>2.025070592E9</v>
      </c>
      <c r="D20" s="24" t="s">
        <v>133</v>
      </c>
      <c r="E20" s="24" t="s">
        <v>134</v>
      </c>
      <c r="F20" s="24" t="s">
        <v>135</v>
      </c>
      <c r="G20" s="25" t="s">
        <v>95</v>
      </c>
      <c r="H20" s="23" t="s">
        <v>34</v>
      </c>
      <c r="I20" s="23" t="s">
        <v>43</v>
      </c>
      <c r="J20" s="25">
        <v>2.0</v>
      </c>
      <c r="K20" s="25" t="s">
        <v>44</v>
      </c>
      <c r="L20" s="26" t="s">
        <v>136</v>
      </c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>
        <f t="shared" si="2"/>
        <v>0</v>
      </c>
      <c r="BD20" s="27">
        <f t="shared" si="3"/>
        <v>0</v>
      </c>
      <c r="BE20" s="27">
        <f t="shared" si="4"/>
        <v>0</v>
      </c>
      <c r="BF20" s="27">
        <f t="shared" si="5"/>
        <v>0</v>
      </c>
      <c r="BG20" s="24"/>
      <c r="BH20" s="24"/>
      <c r="BI20" s="24"/>
      <c r="BJ20" s="21" t="s">
        <v>34</v>
      </c>
      <c r="BK20" s="21" t="s">
        <v>43</v>
      </c>
      <c r="BL20" s="33">
        <v>460000.0</v>
      </c>
    </row>
    <row r="21">
      <c r="A21" s="12">
        <f t="shared" si="1"/>
        <v>19</v>
      </c>
      <c r="B21" s="13" t="s">
        <v>137</v>
      </c>
      <c r="C21" s="14">
        <v>2.025070607E9</v>
      </c>
      <c r="D21" s="15" t="s">
        <v>138</v>
      </c>
      <c r="E21" s="15" t="s">
        <v>139</v>
      </c>
      <c r="F21" s="15" t="s">
        <v>140</v>
      </c>
      <c r="G21" s="16" t="s">
        <v>89</v>
      </c>
      <c r="H21" s="14" t="s">
        <v>34</v>
      </c>
      <c r="I21" s="14" t="s">
        <v>43</v>
      </c>
      <c r="J21" s="16">
        <v>2.0</v>
      </c>
      <c r="K21" s="16" t="s">
        <v>44</v>
      </c>
      <c r="L21" s="17" t="s">
        <v>141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>
        <v>450000.0</v>
      </c>
      <c r="AA21" s="18"/>
      <c r="AB21" s="18">
        <v>500000.0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>
        <v>500000.0</v>
      </c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>
        <f t="shared" si="2"/>
        <v>450000</v>
      </c>
      <c r="BD21" s="18">
        <f t="shared" si="3"/>
        <v>1000000</v>
      </c>
      <c r="BE21" s="18">
        <f t="shared" si="4"/>
        <v>0</v>
      </c>
      <c r="BF21" s="18">
        <f t="shared" si="5"/>
        <v>1450000</v>
      </c>
      <c r="BG21" s="15"/>
      <c r="BH21" s="15"/>
      <c r="BI21" s="15"/>
      <c r="BJ21" s="12" t="s">
        <v>34</v>
      </c>
      <c r="BK21" s="12" t="s">
        <v>43</v>
      </c>
      <c r="BL21" s="32">
        <v>460000.0</v>
      </c>
    </row>
    <row r="22">
      <c r="A22" s="21">
        <f t="shared" si="1"/>
        <v>20</v>
      </c>
      <c r="B22" s="22" t="s">
        <v>142</v>
      </c>
      <c r="C22" s="23">
        <v>2.025070602E9</v>
      </c>
      <c r="D22" s="24" t="s">
        <v>143</v>
      </c>
      <c r="E22" s="24" t="s">
        <v>144</v>
      </c>
      <c r="F22" s="24" t="s">
        <v>145</v>
      </c>
      <c r="G22" s="25" t="s">
        <v>42</v>
      </c>
      <c r="H22" s="23" t="s">
        <v>34</v>
      </c>
      <c r="I22" s="23" t="s">
        <v>43</v>
      </c>
      <c r="J22" s="25">
        <v>2.0</v>
      </c>
      <c r="K22" s="25" t="s">
        <v>44</v>
      </c>
      <c r="L22" s="26" t="s">
        <v>146</v>
      </c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>
        <v>500000.0</v>
      </c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>
        <v>500000.0</v>
      </c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>
        <f t="shared" si="2"/>
        <v>0</v>
      </c>
      <c r="BD22" s="27">
        <f t="shared" si="3"/>
        <v>1000000</v>
      </c>
      <c r="BE22" s="27">
        <f t="shared" si="4"/>
        <v>0</v>
      </c>
      <c r="BF22" s="27">
        <f t="shared" si="5"/>
        <v>1000000</v>
      </c>
      <c r="BG22" s="24"/>
      <c r="BH22" s="24"/>
      <c r="BI22" s="24"/>
      <c r="BJ22" s="21" t="s">
        <v>34</v>
      </c>
      <c r="BK22" s="21" t="s">
        <v>43</v>
      </c>
      <c r="BL22" s="33">
        <v>460000.0</v>
      </c>
    </row>
    <row r="23">
      <c r="A23" s="12">
        <f t="shared" si="1"/>
        <v>21</v>
      </c>
      <c r="B23" s="13" t="s">
        <v>147</v>
      </c>
      <c r="C23" s="14">
        <v>2.025070492E9</v>
      </c>
      <c r="D23" s="15" t="s">
        <v>148</v>
      </c>
      <c r="E23" s="15" t="s">
        <v>149</v>
      </c>
      <c r="F23" s="15" t="s">
        <v>150</v>
      </c>
      <c r="G23" s="16" t="s">
        <v>151</v>
      </c>
      <c r="H23" s="14" t="s">
        <v>34</v>
      </c>
      <c r="I23" s="14" t="s">
        <v>152</v>
      </c>
      <c r="J23" s="16">
        <v>2.0</v>
      </c>
      <c r="K23" s="16" t="s">
        <v>44</v>
      </c>
      <c r="L23" s="17" t="s">
        <v>153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>
        <v>450000.0</v>
      </c>
      <c r="Z23" s="18">
        <v>450000.0</v>
      </c>
      <c r="AA23" s="18"/>
      <c r="AB23" s="18">
        <v>500000.0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>
        <v>500000.0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>
        <f t="shared" si="2"/>
        <v>900000</v>
      </c>
      <c r="BD23" s="18">
        <f t="shared" si="3"/>
        <v>1000000</v>
      </c>
      <c r="BE23" s="18">
        <f t="shared" si="4"/>
        <v>0</v>
      </c>
      <c r="BF23" s="18">
        <f t="shared" si="5"/>
        <v>1900000</v>
      </c>
      <c r="BG23" s="15"/>
      <c r="BH23" s="15"/>
      <c r="BI23" s="15"/>
      <c r="BJ23" s="12" t="s">
        <v>34</v>
      </c>
      <c r="BK23" s="12" t="s">
        <v>152</v>
      </c>
      <c r="BL23" s="32">
        <v>460000.0</v>
      </c>
    </row>
    <row r="24">
      <c r="A24" s="21">
        <f t="shared" si="1"/>
        <v>22</v>
      </c>
      <c r="B24" s="22" t="s">
        <v>154</v>
      </c>
      <c r="C24" s="23">
        <v>2.025070393E9</v>
      </c>
      <c r="D24" s="24" t="s">
        <v>155</v>
      </c>
      <c r="E24" s="24" t="s">
        <v>156</v>
      </c>
      <c r="F24" s="24" t="s">
        <v>157</v>
      </c>
      <c r="G24" s="25" t="s">
        <v>158</v>
      </c>
      <c r="H24" s="23" t="s">
        <v>34</v>
      </c>
      <c r="I24" s="23" t="s">
        <v>35</v>
      </c>
      <c r="J24" s="25">
        <v>2.0</v>
      </c>
      <c r="K24" s="25" t="s">
        <v>102</v>
      </c>
      <c r="L24" s="26" t="s">
        <v>159</v>
      </c>
      <c r="M24" s="27"/>
      <c r="N24" s="27"/>
      <c r="O24" s="27"/>
      <c r="P24" s="27"/>
      <c r="Q24" s="27"/>
      <c r="R24" s="27"/>
      <c r="S24" s="27"/>
      <c r="T24" s="27">
        <v>450000.0</v>
      </c>
      <c r="U24" s="27">
        <v>450000.0</v>
      </c>
      <c r="V24" s="27">
        <v>450000.0</v>
      </c>
      <c r="W24" s="27">
        <v>450000.0</v>
      </c>
      <c r="X24" s="27">
        <v>450000.0</v>
      </c>
      <c r="Y24" s="27">
        <v>450000.0</v>
      </c>
      <c r="Z24" s="27">
        <v>450000.0</v>
      </c>
      <c r="AA24" s="27"/>
      <c r="AB24" s="27">
        <v>500000.0</v>
      </c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>
        <v>500000.0</v>
      </c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>
        <f t="shared" si="2"/>
        <v>3150000</v>
      </c>
      <c r="BD24" s="27">
        <f t="shared" si="3"/>
        <v>1000000</v>
      </c>
      <c r="BE24" s="27">
        <f t="shared" si="4"/>
        <v>0</v>
      </c>
      <c r="BF24" s="27">
        <f t="shared" si="5"/>
        <v>4150000</v>
      </c>
      <c r="BG24" s="24"/>
      <c r="BH24" s="24"/>
      <c r="BI24" s="24"/>
      <c r="BJ24" s="21" t="s">
        <v>34</v>
      </c>
      <c r="BK24" s="21" t="s">
        <v>35</v>
      </c>
      <c r="BL24" s="33">
        <v>460000.0</v>
      </c>
    </row>
    <row r="25">
      <c r="A25" s="12">
        <f t="shared" si="1"/>
        <v>23</v>
      </c>
      <c r="B25" s="13" t="s">
        <v>160</v>
      </c>
      <c r="C25" s="14">
        <v>2.025070375E9</v>
      </c>
      <c r="D25" s="15" t="s">
        <v>161</v>
      </c>
      <c r="E25" s="15" t="s">
        <v>162</v>
      </c>
      <c r="F25" s="15" t="s">
        <v>163</v>
      </c>
      <c r="G25" s="16" t="s">
        <v>158</v>
      </c>
      <c r="H25" s="14" t="s">
        <v>34</v>
      </c>
      <c r="I25" s="14" t="s">
        <v>35</v>
      </c>
      <c r="J25" s="16">
        <v>2.0</v>
      </c>
      <c r="K25" s="16" t="s">
        <v>102</v>
      </c>
      <c r="L25" s="17" t="s">
        <v>164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>
        <f t="shared" si="2"/>
        <v>0</v>
      </c>
      <c r="BD25" s="18">
        <f t="shared" si="3"/>
        <v>0</v>
      </c>
      <c r="BE25" s="18">
        <f t="shared" si="4"/>
        <v>0</v>
      </c>
      <c r="BF25" s="18">
        <f t="shared" si="5"/>
        <v>0</v>
      </c>
      <c r="BG25" s="15"/>
      <c r="BH25" s="15"/>
      <c r="BI25" s="15"/>
      <c r="BJ25" s="12" t="s">
        <v>34</v>
      </c>
      <c r="BK25" s="12" t="s">
        <v>35</v>
      </c>
      <c r="BL25" s="32">
        <v>460000.0</v>
      </c>
    </row>
    <row r="26">
      <c r="A26" s="21">
        <f t="shared" si="1"/>
        <v>24</v>
      </c>
      <c r="B26" s="22" t="s">
        <v>165</v>
      </c>
      <c r="C26" s="23">
        <v>2.025070151E9</v>
      </c>
      <c r="D26" s="24" t="s">
        <v>166</v>
      </c>
      <c r="E26" s="24" t="s">
        <v>167</v>
      </c>
      <c r="F26" s="24" t="s">
        <v>168</v>
      </c>
      <c r="G26" s="25" t="s">
        <v>158</v>
      </c>
      <c r="H26" s="23" t="s">
        <v>34</v>
      </c>
      <c r="I26" s="23" t="s">
        <v>35</v>
      </c>
      <c r="J26" s="25">
        <v>2.0</v>
      </c>
      <c r="K26" s="25" t="s">
        <v>102</v>
      </c>
      <c r="L26" s="26" t="s">
        <v>169</v>
      </c>
      <c r="M26" s="27"/>
      <c r="N26" s="27"/>
      <c r="O26" s="27"/>
      <c r="P26" s="27"/>
      <c r="Q26" s="27"/>
      <c r="R26" s="27"/>
      <c r="S26" s="27"/>
      <c r="T26" s="27"/>
      <c r="U26" s="27">
        <v>450000.0</v>
      </c>
      <c r="V26" s="27">
        <v>450000.0</v>
      </c>
      <c r="W26" s="27">
        <v>450000.0</v>
      </c>
      <c r="X26" s="27">
        <v>450000.0</v>
      </c>
      <c r="Y26" s="27">
        <v>450000.0</v>
      </c>
      <c r="Z26" s="27">
        <v>450000.0</v>
      </c>
      <c r="AA26" s="27"/>
      <c r="AB26" s="27">
        <v>500000.0</v>
      </c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>
        <v>500000.0</v>
      </c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>
        <f t="shared" si="2"/>
        <v>2700000</v>
      </c>
      <c r="BD26" s="27">
        <f t="shared" si="3"/>
        <v>1000000</v>
      </c>
      <c r="BE26" s="27">
        <f t="shared" si="4"/>
        <v>0</v>
      </c>
      <c r="BF26" s="27">
        <f t="shared" si="5"/>
        <v>3700000</v>
      </c>
      <c r="BG26" s="24"/>
      <c r="BH26" s="24"/>
      <c r="BI26" s="24"/>
      <c r="BJ26" s="21" t="s">
        <v>34</v>
      </c>
      <c r="BK26" s="21" t="s">
        <v>35</v>
      </c>
      <c r="BL26" s="33">
        <v>460000.0</v>
      </c>
    </row>
    <row r="27">
      <c r="A27" s="12">
        <f t="shared" si="1"/>
        <v>25</v>
      </c>
      <c r="B27" s="13" t="s">
        <v>170</v>
      </c>
      <c r="C27" s="14">
        <v>2.025070197E9</v>
      </c>
      <c r="D27" s="15" t="s">
        <v>171</v>
      </c>
      <c r="E27" s="15" t="s">
        <v>172</v>
      </c>
      <c r="F27" s="15" t="s">
        <v>173</v>
      </c>
      <c r="G27" s="16" t="s">
        <v>33</v>
      </c>
      <c r="H27" s="14" t="s">
        <v>34</v>
      </c>
      <c r="I27" s="14" t="s">
        <v>50</v>
      </c>
      <c r="J27" s="16">
        <v>2.0</v>
      </c>
      <c r="K27" s="16" t="s">
        <v>36</v>
      </c>
      <c r="L27" s="17" t="s">
        <v>174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>
        <v>450000.0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>
        <f t="shared" si="2"/>
        <v>450000</v>
      </c>
      <c r="BD27" s="18">
        <f t="shared" si="3"/>
        <v>0</v>
      </c>
      <c r="BE27" s="18">
        <f t="shared" si="4"/>
        <v>0</v>
      </c>
      <c r="BF27" s="18">
        <f t="shared" si="5"/>
        <v>450000</v>
      </c>
      <c r="BG27" s="15"/>
      <c r="BH27" s="15"/>
      <c r="BI27" s="15"/>
      <c r="BJ27" s="12" t="s">
        <v>34</v>
      </c>
      <c r="BK27" s="12" t="s">
        <v>50</v>
      </c>
      <c r="BL27" s="32">
        <v>460000.0</v>
      </c>
    </row>
    <row r="28">
      <c r="A28" s="21">
        <f t="shared" si="1"/>
        <v>26</v>
      </c>
      <c r="B28" s="22" t="s">
        <v>175</v>
      </c>
      <c r="C28" s="23">
        <v>2.02507053E9</v>
      </c>
      <c r="D28" s="24" t="s">
        <v>176</v>
      </c>
      <c r="E28" s="24" t="s">
        <v>177</v>
      </c>
      <c r="F28" s="24" t="s">
        <v>178</v>
      </c>
      <c r="G28" s="25" t="s">
        <v>89</v>
      </c>
      <c r="H28" s="23" t="s">
        <v>34</v>
      </c>
      <c r="I28" s="23" t="s">
        <v>83</v>
      </c>
      <c r="J28" s="25">
        <v>2.0</v>
      </c>
      <c r="K28" s="25" t="s">
        <v>44</v>
      </c>
      <c r="L28" s="26" t="s">
        <v>179</v>
      </c>
      <c r="M28" s="27">
        <v>600000.0</v>
      </c>
      <c r="N28" s="27"/>
      <c r="O28" s="27"/>
      <c r="P28" s="27"/>
      <c r="Q28" s="27"/>
      <c r="R28" s="27">
        <v>450000.0</v>
      </c>
      <c r="S28" s="27">
        <v>450000.0</v>
      </c>
      <c r="T28" s="27">
        <v>450000.0</v>
      </c>
      <c r="U28" s="27">
        <v>450000.0</v>
      </c>
      <c r="V28" s="27">
        <v>450000.0</v>
      </c>
      <c r="W28" s="27">
        <v>450000.0</v>
      </c>
      <c r="X28" s="27">
        <v>450000.0</v>
      </c>
      <c r="Y28" s="27">
        <v>450000.0</v>
      </c>
      <c r="Z28" s="27">
        <v>450000.0</v>
      </c>
      <c r="AA28" s="27"/>
      <c r="AB28" s="27">
        <v>500000.0</v>
      </c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>
        <v>500000.0</v>
      </c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>
        <f t="shared" si="2"/>
        <v>4050000</v>
      </c>
      <c r="BD28" s="27">
        <f t="shared" si="3"/>
        <v>1600000</v>
      </c>
      <c r="BE28" s="27">
        <f t="shared" si="4"/>
        <v>0</v>
      </c>
      <c r="BF28" s="27">
        <f t="shared" si="5"/>
        <v>5650000</v>
      </c>
      <c r="BG28" s="24"/>
      <c r="BH28" s="24"/>
      <c r="BI28" s="24"/>
      <c r="BJ28" s="21" t="s">
        <v>34</v>
      </c>
      <c r="BK28" s="21" t="s">
        <v>83</v>
      </c>
      <c r="BL28" s="33">
        <v>460000.0</v>
      </c>
    </row>
    <row r="29">
      <c r="A29" s="12">
        <f t="shared" si="1"/>
        <v>27</v>
      </c>
      <c r="B29" s="13" t="s">
        <v>180</v>
      </c>
      <c r="C29" s="14">
        <v>2.025070397E9</v>
      </c>
      <c r="D29" s="15" t="s">
        <v>181</v>
      </c>
      <c r="E29" s="15" t="s">
        <v>182</v>
      </c>
      <c r="F29" s="15" t="s">
        <v>183</v>
      </c>
      <c r="G29" s="16" t="s">
        <v>184</v>
      </c>
      <c r="H29" s="14" t="s">
        <v>34</v>
      </c>
      <c r="I29" s="14" t="s">
        <v>35</v>
      </c>
      <c r="J29" s="16">
        <v>2.0</v>
      </c>
      <c r="K29" s="16" t="s">
        <v>102</v>
      </c>
      <c r="L29" s="17" t="s">
        <v>185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>
        <v>500000.0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>
        <v>500000.0</v>
      </c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>
        <f t="shared" si="2"/>
        <v>0</v>
      </c>
      <c r="BD29" s="18">
        <f t="shared" si="3"/>
        <v>1000000</v>
      </c>
      <c r="BE29" s="18">
        <f t="shared" si="4"/>
        <v>0</v>
      </c>
      <c r="BF29" s="18">
        <f t="shared" si="5"/>
        <v>1000000</v>
      </c>
      <c r="BG29" s="15"/>
      <c r="BH29" s="15"/>
      <c r="BI29" s="15"/>
      <c r="BJ29" s="12" t="s">
        <v>34</v>
      </c>
      <c r="BK29" s="12" t="s">
        <v>35</v>
      </c>
      <c r="BL29" s="32">
        <v>460000.0</v>
      </c>
    </row>
    <row r="30">
      <c r="A30" s="21">
        <f t="shared" si="1"/>
        <v>28</v>
      </c>
      <c r="B30" s="22" t="s">
        <v>186</v>
      </c>
      <c r="C30" s="23">
        <v>2.025070574E9</v>
      </c>
      <c r="D30" s="24" t="s">
        <v>187</v>
      </c>
      <c r="E30" s="24" t="s">
        <v>188</v>
      </c>
      <c r="F30" s="24" t="s">
        <v>189</v>
      </c>
      <c r="G30" s="25" t="s">
        <v>42</v>
      </c>
      <c r="H30" s="23" t="s">
        <v>34</v>
      </c>
      <c r="I30" s="23" t="s">
        <v>43</v>
      </c>
      <c r="J30" s="25">
        <v>2.0</v>
      </c>
      <c r="K30" s="25" t="s">
        <v>44</v>
      </c>
      <c r="L30" s="26" t="s">
        <v>190</v>
      </c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>
        <f t="shared" si="2"/>
        <v>0</v>
      </c>
      <c r="BD30" s="27">
        <f t="shared" si="3"/>
        <v>0</v>
      </c>
      <c r="BE30" s="27">
        <f t="shared" si="4"/>
        <v>0</v>
      </c>
      <c r="BF30" s="27">
        <f t="shared" si="5"/>
        <v>0</v>
      </c>
      <c r="BG30" s="24"/>
      <c r="BH30" s="24"/>
      <c r="BI30" s="24"/>
      <c r="BJ30" s="21" t="s">
        <v>34</v>
      </c>
      <c r="BK30" s="21" t="s">
        <v>43</v>
      </c>
      <c r="BL30" s="33">
        <v>460000.0</v>
      </c>
    </row>
    <row r="31">
      <c r="A31" s="12">
        <f t="shared" si="1"/>
        <v>29</v>
      </c>
      <c r="B31" s="13" t="s">
        <v>191</v>
      </c>
      <c r="C31" s="14">
        <v>2.025070653E9</v>
      </c>
      <c r="D31" s="15" t="s">
        <v>192</v>
      </c>
      <c r="E31" s="15" t="s">
        <v>193</v>
      </c>
      <c r="F31" s="15" t="s">
        <v>194</v>
      </c>
      <c r="G31" s="16" t="s">
        <v>82</v>
      </c>
      <c r="H31" s="14" t="s">
        <v>34</v>
      </c>
      <c r="I31" s="14" t="s">
        <v>43</v>
      </c>
      <c r="J31" s="16">
        <v>2.0</v>
      </c>
      <c r="K31" s="16" t="s">
        <v>44</v>
      </c>
      <c r="L31" s="17" t="s">
        <v>195</v>
      </c>
      <c r="M31" s="18"/>
      <c r="N31" s="18"/>
      <c r="O31" s="18"/>
      <c r="P31" s="18">
        <v>450000.0</v>
      </c>
      <c r="Q31" s="18">
        <v>450000.0</v>
      </c>
      <c r="R31" s="18">
        <v>450000.0</v>
      </c>
      <c r="S31" s="18">
        <v>450000.0</v>
      </c>
      <c r="T31" s="18">
        <v>450000.0</v>
      </c>
      <c r="U31" s="18">
        <v>450000.0</v>
      </c>
      <c r="V31" s="18">
        <v>450000.0</v>
      </c>
      <c r="W31" s="18">
        <v>450000.0</v>
      </c>
      <c r="X31" s="18">
        <v>450000.0</v>
      </c>
      <c r="Y31" s="18">
        <v>450000.0</v>
      </c>
      <c r="Z31" s="18">
        <v>450000.0</v>
      </c>
      <c r="AA31" s="18"/>
      <c r="AB31" s="18">
        <v>500000.0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>
        <v>500000.0</v>
      </c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>
        <f t="shared" si="2"/>
        <v>4950000</v>
      </c>
      <c r="BD31" s="18">
        <f t="shared" si="3"/>
        <v>1000000</v>
      </c>
      <c r="BE31" s="18">
        <f t="shared" si="4"/>
        <v>0</v>
      </c>
      <c r="BF31" s="18">
        <f t="shared" si="5"/>
        <v>5950000</v>
      </c>
      <c r="BG31" s="15"/>
      <c r="BH31" s="15"/>
      <c r="BI31" s="15"/>
      <c r="BJ31" s="12" t="s">
        <v>34</v>
      </c>
      <c r="BK31" s="12" t="s">
        <v>43</v>
      </c>
      <c r="BL31" s="32">
        <v>460000.0</v>
      </c>
    </row>
    <row r="32">
      <c r="A32" s="21">
        <f t="shared" si="1"/>
        <v>30</v>
      </c>
      <c r="B32" s="22" t="s">
        <v>196</v>
      </c>
      <c r="C32" s="23">
        <v>2.02507062E9</v>
      </c>
      <c r="D32" s="24" t="s">
        <v>197</v>
      </c>
      <c r="E32" s="24" t="s">
        <v>198</v>
      </c>
      <c r="F32" s="24" t="s">
        <v>199</v>
      </c>
      <c r="G32" s="25" t="s">
        <v>89</v>
      </c>
      <c r="H32" s="23" t="s">
        <v>34</v>
      </c>
      <c r="I32" s="23" t="s">
        <v>43</v>
      </c>
      <c r="J32" s="25">
        <v>2.0</v>
      </c>
      <c r="K32" s="25" t="s">
        <v>44</v>
      </c>
      <c r="L32" s="26" t="s">
        <v>200</v>
      </c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>
        <v>450000.0</v>
      </c>
      <c r="Z32" s="27">
        <v>450000.0</v>
      </c>
      <c r="AA32" s="27"/>
      <c r="AB32" s="27">
        <v>500000.0</v>
      </c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>
        <v>500000.0</v>
      </c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>
        <f t="shared" si="2"/>
        <v>900000</v>
      </c>
      <c r="BD32" s="27">
        <f t="shared" si="3"/>
        <v>1000000</v>
      </c>
      <c r="BE32" s="27">
        <f t="shared" si="4"/>
        <v>0</v>
      </c>
      <c r="BF32" s="27">
        <f t="shared" si="5"/>
        <v>1900000</v>
      </c>
      <c r="BG32" s="24"/>
      <c r="BH32" s="24"/>
      <c r="BI32" s="24"/>
      <c r="BJ32" s="21" t="s">
        <v>34</v>
      </c>
      <c r="BK32" s="21" t="s">
        <v>43</v>
      </c>
      <c r="BL32" s="33">
        <v>460000.0</v>
      </c>
    </row>
    <row r="33">
      <c r="A33" s="12">
        <f t="shared" si="1"/>
        <v>31</v>
      </c>
      <c r="B33" s="13" t="s">
        <v>201</v>
      </c>
      <c r="C33" s="14">
        <v>2.025070638E9</v>
      </c>
      <c r="D33" s="15" t="s">
        <v>202</v>
      </c>
      <c r="E33" s="15" t="s">
        <v>203</v>
      </c>
      <c r="F33" s="15" t="s">
        <v>204</v>
      </c>
      <c r="G33" s="16" t="s">
        <v>82</v>
      </c>
      <c r="H33" s="14" t="s">
        <v>34</v>
      </c>
      <c r="I33" s="14" t="s">
        <v>43</v>
      </c>
      <c r="J33" s="16">
        <v>2.0</v>
      </c>
      <c r="K33" s="16" t="s">
        <v>44</v>
      </c>
      <c r="L33" s="17" t="s">
        <v>205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>
        <v>500000.0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>
        <v>500000.0</v>
      </c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>
        <f t="shared" si="2"/>
        <v>0</v>
      </c>
      <c r="BD33" s="18">
        <f t="shared" si="3"/>
        <v>1000000</v>
      </c>
      <c r="BE33" s="18">
        <f t="shared" si="4"/>
        <v>0</v>
      </c>
      <c r="BF33" s="18">
        <f t="shared" si="5"/>
        <v>1000000</v>
      </c>
      <c r="BG33" s="15"/>
      <c r="BH33" s="15"/>
      <c r="BI33" s="15"/>
      <c r="BJ33" s="12" t="s">
        <v>34</v>
      </c>
      <c r="BK33" s="12" t="s">
        <v>43</v>
      </c>
      <c r="BL33" s="32">
        <v>460000.0</v>
      </c>
    </row>
    <row r="34">
      <c r="A34" s="21">
        <f t="shared" si="1"/>
        <v>32</v>
      </c>
      <c r="B34" s="22" t="s">
        <v>206</v>
      </c>
      <c r="C34" s="23">
        <v>2.02507031E9</v>
      </c>
      <c r="D34" s="24" t="s">
        <v>207</v>
      </c>
      <c r="E34" s="24" t="s">
        <v>208</v>
      </c>
      <c r="F34" s="24" t="s">
        <v>209</v>
      </c>
      <c r="G34" s="25" t="s">
        <v>33</v>
      </c>
      <c r="H34" s="23" t="s">
        <v>34</v>
      </c>
      <c r="I34" s="23" t="s">
        <v>50</v>
      </c>
      <c r="J34" s="25">
        <v>2.0</v>
      </c>
      <c r="K34" s="25" t="s">
        <v>36</v>
      </c>
      <c r="L34" s="26" t="s">
        <v>210</v>
      </c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>
        <v>450000.0</v>
      </c>
      <c r="AA34" s="27"/>
      <c r="AB34" s="27">
        <v>500000.0</v>
      </c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>
        <v>500000.0</v>
      </c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>
        <f t="shared" si="2"/>
        <v>450000</v>
      </c>
      <c r="BD34" s="27">
        <f t="shared" si="3"/>
        <v>1000000</v>
      </c>
      <c r="BE34" s="27">
        <f t="shared" si="4"/>
        <v>0</v>
      </c>
      <c r="BF34" s="27">
        <f t="shared" si="5"/>
        <v>1450000</v>
      </c>
      <c r="BG34" s="24"/>
      <c r="BH34" s="24"/>
      <c r="BI34" s="24"/>
      <c r="BJ34" s="21" t="s">
        <v>34</v>
      </c>
      <c r="BK34" s="21" t="s">
        <v>50</v>
      </c>
      <c r="BL34" s="33">
        <v>460000.0</v>
      </c>
    </row>
    <row r="35">
      <c r="A35" s="12">
        <f t="shared" si="1"/>
        <v>33</v>
      </c>
      <c r="B35" s="13" t="s">
        <v>211</v>
      </c>
      <c r="C35" s="14">
        <v>2.025070563E9</v>
      </c>
      <c r="D35" s="15" t="s">
        <v>212</v>
      </c>
      <c r="E35" s="15" t="s">
        <v>213</v>
      </c>
      <c r="F35" s="15" t="s">
        <v>214</v>
      </c>
      <c r="G35" s="16" t="s">
        <v>215</v>
      </c>
      <c r="H35" s="14" t="s">
        <v>34</v>
      </c>
      <c r="I35" s="14" t="s">
        <v>43</v>
      </c>
      <c r="J35" s="16">
        <v>2.0</v>
      </c>
      <c r="K35" s="16" t="s">
        <v>44</v>
      </c>
      <c r="L35" s="17" t="s">
        <v>216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>
        <v>500000.0</v>
      </c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>
        <f t="shared" si="2"/>
        <v>0</v>
      </c>
      <c r="BD35" s="18">
        <f t="shared" si="3"/>
        <v>500000</v>
      </c>
      <c r="BE35" s="18">
        <f t="shared" si="4"/>
        <v>0</v>
      </c>
      <c r="BF35" s="18">
        <f t="shared" si="5"/>
        <v>500000</v>
      </c>
      <c r="BG35" s="15"/>
      <c r="BH35" s="15"/>
      <c r="BI35" s="15"/>
      <c r="BJ35" s="12" t="s">
        <v>34</v>
      </c>
      <c r="BK35" s="12" t="s">
        <v>43</v>
      </c>
      <c r="BL35" s="32">
        <v>460000.0</v>
      </c>
    </row>
    <row r="36">
      <c r="A36" s="21">
        <f t="shared" si="1"/>
        <v>34</v>
      </c>
      <c r="B36" s="22" t="s">
        <v>217</v>
      </c>
      <c r="C36" s="23">
        <v>2.025070554E9</v>
      </c>
      <c r="D36" s="24" t="s">
        <v>218</v>
      </c>
      <c r="E36" s="24" t="s">
        <v>219</v>
      </c>
      <c r="F36" s="24" t="s">
        <v>220</v>
      </c>
      <c r="G36" s="25" t="s">
        <v>89</v>
      </c>
      <c r="H36" s="23" t="s">
        <v>34</v>
      </c>
      <c r="I36" s="23" t="s">
        <v>83</v>
      </c>
      <c r="J36" s="25">
        <v>2.0</v>
      </c>
      <c r="K36" s="25" t="s">
        <v>44</v>
      </c>
      <c r="L36" s="26" t="s">
        <v>221</v>
      </c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>
        <v>500000.0</v>
      </c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>
        <v>500000.0</v>
      </c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>
        <f t="shared" si="2"/>
        <v>0</v>
      </c>
      <c r="BD36" s="27">
        <f t="shared" si="3"/>
        <v>1000000</v>
      </c>
      <c r="BE36" s="27">
        <f t="shared" si="4"/>
        <v>0</v>
      </c>
      <c r="BF36" s="27">
        <f t="shared" si="5"/>
        <v>1000000</v>
      </c>
      <c r="BG36" s="24"/>
      <c r="BH36" s="24"/>
      <c r="BI36" s="24"/>
      <c r="BJ36" s="21" t="s">
        <v>34</v>
      </c>
      <c r="BK36" s="21" t="s">
        <v>83</v>
      </c>
      <c r="BL36" s="33">
        <v>460000.0</v>
      </c>
    </row>
    <row r="37">
      <c r="A37" s="12">
        <f t="shared" si="1"/>
        <v>35</v>
      </c>
      <c r="B37" s="13" t="s">
        <v>222</v>
      </c>
      <c r="C37" s="14">
        <v>2.025070651E9</v>
      </c>
      <c r="D37" s="15" t="s">
        <v>223</v>
      </c>
      <c r="E37" s="15" t="s">
        <v>224</v>
      </c>
      <c r="F37" s="15" t="s">
        <v>225</v>
      </c>
      <c r="G37" s="12" t="e">
        <v>#N/A</v>
      </c>
      <c r="H37" s="14" t="s">
        <v>34</v>
      </c>
      <c r="I37" s="14" t="s">
        <v>226</v>
      </c>
      <c r="J37" s="16">
        <v>2.0</v>
      </c>
      <c r="K37" s="14" t="s">
        <v>227</v>
      </c>
      <c r="L37" s="17" t="s">
        <v>228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>
        <f t="shared" si="2"/>
        <v>0</v>
      </c>
      <c r="BD37" s="18">
        <f t="shared" si="3"/>
        <v>0</v>
      </c>
      <c r="BE37" s="18">
        <f t="shared" si="4"/>
        <v>0</v>
      </c>
      <c r="BF37" s="18">
        <f t="shared" si="5"/>
        <v>0</v>
      </c>
      <c r="BG37" s="15"/>
      <c r="BH37" s="15"/>
      <c r="BI37" s="15"/>
      <c r="BJ37" s="12" t="s">
        <v>34</v>
      </c>
      <c r="BK37" s="12" t="s">
        <v>226</v>
      </c>
      <c r="BL37" s="32">
        <v>460000.0</v>
      </c>
    </row>
    <row r="38">
      <c r="A38" s="21">
        <f t="shared" si="1"/>
        <v>36</v>
      </c>
      <c r="B38" s="22" t="s">
        <v>229</v>
      </c>
      <c r="C38" s="23">
        <v>2.025070612E9</v>
      </c>
      <c r="D38" s="24" t="s">
        <v>230</v>
      </c>
      <c r="E38" s="24" t="s">
        <v>231</v>
      </c>
      <c r="F38" s="24" t="s">
        <v>232</v>
      </c>
      <c r="G38" s="25" t="s">
        <v>125</v>
      </c>
      <c r="H38" s="23" t="s">
        <v>34</v>
      </c>
      <c r="I38" s="23" t="s">
        <v>43</v>
      </c>
      <c r="J38" s="25">
        <v>2.0</v>
      </c>
      <c r="K38" s="25" t="s">
        <v>44</v>
      </c>
      <c r="L38" s="26" t="s">
        <v>233</v>
      </c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>
        <v>500000.0</v>
      </c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>
        <v>500000.0</v>
      </c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>
        <f t="shared" si="2"/>
        <v>0</v>
      </c>
      <c r="BD38" s="27">
        <f t="shared" si="3"/>
        <v>1000000</v>
      </c>
      <c r="BE38" s="27">
        <f t="shared" si="4"/>
        <v>0</v>
      </c>
      <c r="BF38" s="27">
        <f t="shared" si="5"/>
        <v>1000000</v>
      </c>
      <c r="BG38" s="24"/>
      <c r="BH38" s="24"/>
      <c r="BI38" s="24"/>
      <c r="BJ38" s="21" t="s">
        <v>34</v>
      </c>
      <c r="BK38" s="21" t="s">
        <v>43</v>
      </c>
      <c r="BL38" s="33">
        <v>460000.0</v>
      </c>
    </row>
    <row r="39">
      <c r="A39" s="12">
        <f t="shared" si="1"/>
        <v>37</v>
      </c>
      <c r="B39" s="13" t="s">
        <v>234</v>
      </c>
      <c r="C39" s="14">
        <v>2.025070367E9</v>
      </c>
      <c r="D39" s="15" t="s">
        <v>235</v>
      </c>
      <c r="E39" s="15" t="s">
        <v>236</v>
      </c>
      <c r="F39" s="15" t="s">
        <v>237</v>
      </c>
      <c r="G39" s="16" t="s">
        <v>33</v>
      </c>
      <c r="H39" s="14" t="s">
        <v>34</v>
      </c>
      <c r="I39" s="14" t="s">
        <v>50</v>
      </c>
      <c r="J39" s="16">
        <v>2.0</v>
      </c>
      <c r="K39" s="16" t="s">
        <v>36</v>
      </c>
      <c r="L39" s="17" t="s">
        <v>238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>
        <f t="shared" si="2"/>
        <v>0</v>
      </c>
      <c r="BD39" s="18">
        <f t="shared" si="3"/>
        <v>0</v>
      </c>
      <c r="BE39" s="18">
        <f t="shared" si="4"/>
        <v>0</v>
      </c>
      <c r="BF39" s="18">
        <f t="shared" si="5"/>
        <v>0</v>
      </c>
      <c r="BG39" s="15"/>
      <c r="BH39" s="15"/>
      <c r="BI39" s="15"/>
      <c r="BJ39" s="12" t="s">
        <v>34</v>
      </c>
      <c r="BK39" s="12" t="s">
        <v>50</v>
      </c>
      <c r="BL39" s="32">
        <v>460000.0</v>
      </c>
    </row>
    <row r="40">
      <c r="A40" s="21">
        <f t="shared" si="1"/>
        <v>38</v>
      </c>
      <c r="B40" s="22" t="s">
        <v>239</v>
      </c>
      <c r="C40" s="23">
        <v>2.025070272E9</v>
      </c>
      <c r="D40" s="24" t="s">
        <v>240</v>
      </c>
      <c r="E40" s="24" t="s">
        <v>241</v>
      </c>
      <c r="F40" s="24" t="s">
        <v>242</v>
      </c>
      <c r="G40" s="25" t="s">
        <v>243</v>
      </c>
      <c r="H40" s="23" t="s">
        <v>34</v>
      </c>
      <c r="I40" s="23" t="s">
        <v>35</v>
      </c>
      <c r="J40" s="25">
        <v>2.0</v>
      </c>
      <c r="K40" s="25" t="s">
        <v>102</v>
      </c>
      <c r="L40" s="26" t="s">
        <v>244</v>
      </c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>
        <f t="shared" si="2"/>
        <v>0</v>
      </c>
      <c r="BD40" s="27">
        <f t="shared" si="3"/>
        <v>0</v>
      </c>
      <c r="BE40" s="27">
        <f t="shared" si="4"/>
        <v>0</v>
      </c>
      <c r="BF40" s="27">
        <f t="shared" si="5"/>
        <v>0</v>
      </c>
      <c r="BG40" s="24"/>
      <c r="BH40" s="24"/>
      <c r="BI40" s="24"/>
      <c r="BJ40" s="21" t="s">
        <v>34</v>
      </c>
      <c r="BK40" s="21" t="s">
        <v>35</v>
      </c>
      <c r="BL40" s="33">
        <v>460000.0</v>
      </c>
    </row>
    <row r="41">
      <c r="A41" s="12">
        <f t="shared" si="1"/>
        <v>39</v>
      </c>
      <c r="B41" s="13" t="s">
        <v>245</v>
      </c>
      <c r="C41" s="14">
        <v>2.025070558E9</v>
      </c>
      <c r="D41" s="15" t="s">
        <v>246</v>
      </c>
      <c r="E41" s="15" t="s">
        <v>247</v>
      </c>
      <c r="F41" s="15" t="s">
        <v>248</v>
      </c>
      <c r="G41" s="16" t="s">
        <v>89</v>
      </c>
      <c r="H41" s="14" t="s">
        <v>34</v>
      </c>
      <c r="I41" s="14" t="s">
        <v>83</v>
      </c>
      <c r="J41" s="16">
        <v>2.0</v>
      </c>
      <c r="K41" s="16" t="s">
        <v>44</v>
      </c>
      <c r="L41" s="17" t="s">
        <v>249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>
        <v>500000.0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>
        <v>500000.0</v>
      </c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>
        <f t="shared" si="2"/>
        <v>0</v>
      </c>
      <c r="BD41" s="18">
        <f t="shared" si="3"/>
        <v>1000000</v>
      </c>
      <c r="BE41" s="18">
        <f t="shared" si="4"/>
        <v>0</v>
      </c>
      <c r="BF41" s="18">
        <f t="shared" si="5"/>
        <v>1000000</v>
      </c>
      <c r="BG41" s="15"/>
      <c r="BH41" s="15"/>
      <c r="BI41" s="15"/>
      <c r="BJ41" s="12" t="s">
        <v>34</v>
      </c>
      <c r="BK41" s="12" t="s">
        <v>83</v>
      </c>
      <c r="BL41" s="32">
        <v>460000.0</v>
      </c>
    </row>
    <row r="42">
      <c r="A42" s="21">
        <f t="shared" si="1"/>
        <v>40</v>
      </c>
      <c r="B42" s="22" t="s">
        <v>250</v>
      </c>
      <c r="C42" s="23">
        <v>2.025070174E9</v>
      </c>
      <c r="D42" s="24" t="s">
        <v>251</v>
      </c>
      <c r="E42" s="24" t="s">
        <v>252</v>
      </c>
      <c r="F42" s="24" t="s">
        <v>253</v>
      </c>
      <c r="G42" s="25" t="s">
        <v>158</v>
      </c>
      <c r="H42" s="23" t="s">
        <v>34</v>
      </c>
      <c r="I42" s="23" t="s">
        <v>35</v>
      </c>
      <c r="J42" s="25">
        <v>2.0</v>
      </c>
      <c r="K42" s="25" t="s">
        <v>102</v>
      </c>
      <c r="L42" s="26" t="s">
        <v>254</v>
      </c>
      <c r="M42" s="27">
        <v>600000.0</v>
      </c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>
        <v>500000.0</v>
      </c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>
        <v>500000.0</v>
      </c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>
        <f t="shared" si="2"/>
        <v>0</v>
      </c>
      <c r="BD42" s="27">
        <f t="shared" si="3"/>
        <v>1600000</v>
      </c>
      <c r="BE42" s="27">
        <f t="shared" si="4"/>
        <v>0</v>
      </c>
      <c r="BF42" s="27">
        <f t="shared" si="5"/>
        <v>1600000</v>
      </c>
      <c r="BG42" s="24"/>
      <c r="BH42" s="24"/>
      <c r="BI42" s="24"/>
      <c r="BJ42" s="21" t="s">
        <v>34</v>
      </c>
      <c r="BK42" s="21" t="s">
        <v>35</v>
      </c>
      <c r="BL42" s="33">
        <v>460000.0</v>
      </c>
    </row>
    <row r="43">
      <c r="A43" s="12">
        <f t="shared" si="1"/>
        <v>41</v>
      </c>
      <c r="B43" s="13" t="s">
        <v>255</v>
      </c>
      <c r="C43" s="14">
        <v>2.025070437E9</v>
      </c>
      <c r="D43" s="15" t="s">
        <v>256</v>
      </c>
      <c r="E43" s="15" t="s">
        <v>257</v>
      </c>
      <c r="F43" s="15" t="s">
        <v>258</v>
      </c>
      <c r="G43" s="16" t="s">
        <v>259</v>
      </c>
      <c r="H43" s="14" t="s">
        <v>34</v>
      </c>
      <c r="I43" s="14" t="s">
        <v>114</v>
      </c>
      <c r="J43" s="16">
        <v>2.0</v>
      </c>
      <c r="K43" s="16" t="s">
        <v>102</v>
      </c>
      <c r="L43" s="17" t="s">
        <v>260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>
        <f t="shared" si="2"/>
        <v>0</v>
      </c>
      <c r="BD43" s="18">
        <f t="shared" si="3"/>
        <v>0</v>
      </c>
      <c r="BE43" s="18">
        <f t="shared" si="4"/>
        <v>0</v>
      </c>
      <c r="BF43" s="18">
        <f t="shared" si="5"/>
        <v>0</v>
      </c>
      <c r="BG43" s="15"/>
      <c r="BH43" s="15"/>
      <c r="BI43" s="15"/>
      <c r="BJ43" s="12" t="s">
        <v>34</v>
      </c>
      <c r="BK43" s="12" t="s">
        <v>114</v>
      </c>
      <c r="BL43" s="32">
        <v>460000.0</v>
      </c>
    </row>
    <row r="44">
      <c r="A44" s="21">
        <f t="shared" si="1"/>
        <v>42</v>
      </c>
      <c r="B44" s="22" t="s">
        <v>261</v>
      </c>
      <c r="C44" s="23">
        <v>2.025070371E9</v>
      </c>
      <c r="D44" s="24" t="s">
        <v>262</v>
      </c>
      <c r="E44" s="24" t="s">
        <v>263</v>
      </c>
      <c r="F44" s="24" t="s">
        <v>264</v>
      </c>
      <c r="G44" s="25" t="s">
        <v>33</v>
      </c>
      <c r="H44" s="23" t="s">
        <v>34</v>
      </c>
      <c r="I44" s="23" t="s">
        <v>35</v>
      </c>
      <c r="J44" s="25">
        <v>2.0</v>
      </c>
      <c r="K44" s="25" t="s">
        <v>36</v>
      </c>
      <c r="L44" s="26" t="s">
        <v>265</v>
      </c>
      <c r="M44" s="27">
        <v>600000.0</v>
      </c>
      <c r="N44" s="27"/>
      <c r="O44" s="27"/>
      <c r="P44" s="27"/>
      <c r="Q44" s="27"/>
      <c r="R44" s="27"/>
      <c r="S44" s="27"/>
      <c r="T44" s="27"/>
      <c r="U44" s="27"/>
      <c r="V44" s="27"/>
      <c r="W44" s="27">
        <v>450000.0</v>
      </c>
      <c r="X44" s="27">
        <v>450000.0</v>
      </c>
      <c r="Y44" s="27">
        <v>450000.0</v>
      </c>
      <c r="Z44" s="27">
        <v>450000.0</v>
      </c>
      <c r="AA44" s="27"/>
      <c r="AB44" s="27">
        <v>500000.0</v>
      </c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>
        <v>500000.0</v>
      </c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>
        <f t="shared" si="2"/>
        <v>1800000</v>
      </c>
      <c r="BD44" s="27">
        <f t="shared" si="3"/>
        <v>1600000</v>
      </c>
      <c r="BE44" s="27">
        <f t="shared" si="4"/>
        <v>0</v>
      </c>
      <c r="BF44" s="27">
        <f t="shared" si="5"/>
        <v>3400000</v>
      </c>
      <c r="BG44" s="24"/>
      <c r="BH44" s="24"/>
      <c r="BI44" s="24"/>
      <c r="BJ44" s="21" t="s">
        <v>34</v>
      </c>
      <c r="BK44" s="21" t="s">
        <v>35</v>
      </c>
      <c r="BL44" s="33">
        <v>460000.0</v>
      </c>
    </row>
    <row r="45">
      <c r="A45" s="12">
        <f t="shared" si="1"/>
        <v>43</v>
      </c>
      <c r="B45" s="13" t="s">
        <v>266</v>
      </c>
      <c r="C45" s="14">
        <v>2.025070571E9</v>
      </c>
      <c r="D45" s="15" t="s">
        <v>267</v>
      </c>
      <c r="E45" s="15" t="s">
        <v>268</v>
      </c>
      <c r="F45" s="15" t="s">
        <v>269</v>
      </c>
      <c r="G45" s="16" t="s">
        <v>215</v>
      </c>
      <c r="H45" s="14" t="s">
        <v>34</v>
      </c>
      <c r="I45" s="14" t="s">
        <v>43</v>
      </c>
      <c r="J45" s="16">
        <v>2.0</v>
      </c>
      <c r="K45" s="16" t="s">
        <v>44</v>
      </c>
      <c r="L45" s="17" t="s">
        <v>270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>
        <v>500000.0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>
        <v>500000.0</v>
      </c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>
        <f t="shared" si="2"/>
        <v>0</v>
      </c>
      <c r="BD45" s="18">
        <f t="shared" si="3"/>
        <v>1000000</v>
      </c>
      <c r="BE45" s="18">
        <f t="shared" si="4"/>
        <v>0</v>
      </c>
      <c r="BF45" s="18">
        <f t="shared" si="5"/>
        <v>1000000</v>
      </c>
      <c r="BG45" s="15"/>
      <c r="BH45" s="15"/>
      <c r="BI45" s="15"/>
      <c r="BJ45" s="12" t="s">
        <v>34</v>
      </c>
      <c r="BK45" s="12" t="s">
        <v>43</v>
      </c>
      <c r="BL45" s="32">
        <v>460000.0</v>
      </c>
    </row>
    <row r="46">
      <c r="A46" s="21">
        <f t="shared" si="1"/>
        <v>44</v>
      </c>
      <c r="B46" s="22" t="s">
        <v>271</v>
      </c>
      <c r="C46" s="23">
        <v>2.025070474E9</v>
      </c>
      <c r="D46" s="24" t="s">
        <v>272</v>
      </c>
      <c r="E46" s="24" t="s">
        <v>273</v>
      </c>
      <c r="F46" s="24" t="s">
        <v>274</v>
      </c>
      <c r="G46" s="25" t="s">
        <v>275</v>
      </c>
      <c r="H46" s="23" t="s">
        <v>34</v>
      </c>
      <c r="I46" s="23" t="s">
        <v>83</v>
      </c>
      <c r="J46" s="25">
        <v>2.0</v>
      </c>
      <c r="K46" s="25" t="s">
        <v>44</v>
      </c>
      <c r="L46" s="26" t="s">
        <v>276</v>
      </c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>
        <v>500000.0</v>
      </c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>
        <v>500000.0</v>
      </c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>
        <f t="shared" si="2"/>
        <v>0</v>
      </c>
      <c r="BD46" s="27">
        <f t="shared" si="3"/>
        <v>1000000</v>
      </c>
      <c r="BE46" s="27">
        <f t="shared" si="4"/>
        <v>0</v>
      </c>
      <c r="BF46" s="27">
        <f t="shared" si="5"/>
        <v>1000000</v>
      </c>
      <c r="BG46" s="24"/>
      <c r="BH46" s="24"/>
      <c r="BI46" s="24"/>
      <c r="BJ46" s="21" t="s">
        <v>34</v>
      </c>
      <c r="BK46" s="21" t="s">
        <v>83</v>
      </c>
      <c r="BL46" s="33">
        <v>460000.0</v>
      </c>
    </row>
    <row r="47">
      <c r="A47" s="12">
        <f t="shared" si="1"/>
        <v>45</v>
      </c>
      <c r="B47" s="13" t="s">
        <v>277</v>
      </c>
      <c r="C47" s="14">
        <v>2.025070619E9</v>
      </c>
      <c r="D47" s="15" t="s">
        <v>278</v>
      </c>
      <c r="E47" s="15" t="s">
        <v>279</v>
      </c>
      <c r="F47" s="15" t="s">
        <v>280</v>
      </c>
      <c r="G47" s="16" t="s">
        <v>95</v>
      </c>
      <c r="H47" s="14" t="s">
        <v>34</v>
      </c>
      <c r="I47" s="14" t="s">
        <v>83</v>
      </c>
      <c r="J47" s="16">
        <v>2.0</v>
      </c>
      <c r="K47" s="16" t="s">
        <v>44</v>
      </c>
      <c r="L47" s="17" t="s">
        <v>281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>
        <v>500000.0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>
        <v>500000.0</v>
      </c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>
        <f t="shared" si="2"/>
        <v>0</v>
      </c>
      <c r="BD47" s="18">
        <f t="shared" si="3"/>
        <v>1000000</v>
      </c>
      <c r="BE47" s="18">
        <f t="shared" si="4"/>
        <v>0</v>
      </c>
      <c r="BF47" s="18">
        <f t="shared" si="5"/>
        <v>1000000</v>
      </c>
      <c r="BG47" s="15"/>
      <c r="BH47" s="15"/>
      <c r="BI47" s="15"/>
      <c r="BJ47" s="12" t="s">
        <v>34</v>
      </c>
      <c r="BK47" s="12" t="s">
        <v>83</v>
      </c>
      <c r="BL47" s="32">
        <v>460000.0</v>
      </c>
    </row>
    <row r="48">
      <c r="A48" s="21">
        <f t="shared" si="1"/>
        <v>46</v>
      </c>
      <c r="B48" s="22" t="s">
        <v>282</v>
      </c>
      <c r="C48" s="23">
        <v>2.025070486E9</v>
      </c>
      <c r="D48" s="24" t="s">
        <v>283</v>
      </c>
      <c r="E48" s="24" t="s">
        <v>284</v>
      </c>
      <c r="F48" s="24" t="s">
        <v>285</v>
      </c>
      <c r="G48" s="25" t="s">
        <v>66</v>
      </c>
      <c r="H48" s="23" t="s">
        <v>34</v>
      </c>
      <c r="I48" s="23" t="s">
        <v>43</v>
      </c>
      <c r="J48" s="25">
        <v>2.0</v>
      </c>
      <c r="K48" s="25" t="s">
        <v>44</v>
      </c>
      <c r="L48" s="26" t="s">
        <v>286</v>
      </c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>
        <v>500000.0</v>
      </c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>
        <f t="shared" si="2"/>
        <v>0</v>
      </c>
      <c r="BD48" s="27">
        <f t="shared" si="3"/>
        <v>500000</v>
      </c>
      <c r="BE48" s="27">
        <f t="shared" si="4"/>
        <v>0</v>
      </c>
      <c r="BF48" s="27">
        <f t="shared" si="5"/>
        <v>500000</v>
      </c>
      <c r="BG48" s="24"/>
      <c r="BH48" s="24"/>
      <c r="BI48" s="24"/>
      <c r="BJ48" s="21" t="s">
        <v>34</v>
      </c>
      <c r="BK48" s="21" t="s">
        <v>43</v>
      </c>
      <c r="BL48" s="33">
        <v>460000.0</v>
      </c>
    </row>
    <row r="49">
      <c r="A49" s="12">
        <f t="shared" si="1"/>
        <v>47</v>
      </c>
      <c r="B49" s="13" t="s">
        <v>287</v>
      </c>
      <c r="C49" s="14">
        <v>2.025070624E9</v>
      </c>
      <c r="D49" s="15" t="s">
        <v>288</v>
      </c>
      <c r="E49" s="15" t="s">
        <v>289</v>
      </c>
      <c r="F49" s="15" t="s">
        <v>290</v>
      </c>
      <c r="G49" s="16" t="s">
        <v>125</v>
      </c>
      <c r="H49" s="14" t="s">
        <v>34</v>
      </c>
      <c r="I49" s="14" t="s">
        <v>83</v>
      </c>
      <c r="J49" s="16">
        <v>2.0</v>
      </c>
      <c r="K49" s="16" t="s">
        <v>44</v>
      </c>
      <c r="L49" s="17" t="s">
        <v>291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>
        <f t="shared" si="2"/>
        <v>0</v>
      </c>
      <c r="BD49" s="18">
        <f t="shared" si="3"/>
        <v>0</v>
      </c>
      <c r="BE49" s="18">
        <f t="shared" si="4"/>
        <v>0</v>
      </c>
      <c r="BF49" s="18">
        <f t="shared" si="5"/>
        <v>0</v>
      </c>
      <c r="BG49" s="15"/>
      <c r="BH49" s="15"/>
      <c r="BI49" s="15"/>
      <c r="BJ49" s="12" t="s">
        <v>34</v>
      </c>
      <c r="BK49" s="12" t="s">
        <v>83</v>
      </c>
      <c r="BL49" s="32">
        <v>460000.0</v>
      </c>
    </row>
    <row r="50">
      <c r="A50" s="21">
        <f t="shared" si="1"/>
        <v>48</v>
      </c>
      <c r="B50" s="22" t="s">
        <v>292</v>
      </c>
      <c r="C50" s="23">
        <v>2.025070603E9</v>
      </c>
      <c r="D50" s="24" t="s">
        <v>293</v>
      </c>
      <c r="E50" s="24" t="s">
        <v>294</v>
      </c>
      <c r="F50" s="24" t="s">
        <v>295</v>
      </c>
      <c r="G50" s="25" t="s">
        <v>82</v>
      </c>
      <c r="H50" s="23" t="s">
        <v>34</v>
      </c>
      <c r="I50" s="23" t="s">
        <v>83</v>
      </c>
      <c r="J50" s="25">
        <v>2.0</v>
      </c>
      <c r="K50" s="25" t="s">
        <v>44</v>
      </c>
      <c r="L50" s="26" t="s">
        <v>296</v>
      </c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>
        <v>500000.0</v>
      </c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>
        <v>500000.0</v>
      </c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>
        <f t="shared" si="2"/>
        <v>0</v>
      </c>
      <c r="BD50" s="27">
        <f t="shared" si="3"/>
        <v>1000000</v>
      </c>
      <c r="BE50" s="27">
        <f t="shared" si="4"/>
        <v>0</v>
      </c>
      <c r="BF50" s="27">
        <f t="shared" si="5"/>
        <v>1000000</v>
      </c>
      <c r="BG50" s="24"/>
      <c r="BH50" s="24"/>
      <c r="BI50" s="24"/>
      <c r="BJ50" s="21" t="s">
        <v>34</v>
      </c>
      <c r="BK50" s="21" t="s">
        <v>83</v>
      </c>
      <c r="BL50" s="33">
        <v>460000.0</v>
      </c>
    </row>
    <row r="51">
      <c r="A51" s="12">
        <f t="shared" si="1"/>
        <v>49</v>
      </c>
      <c r="B51" s="13" t="s">
        <v>297</v>
      </c>
      <c r="C51" s="14">
        <v>2.025070594E9</v>
      </c>
      <c r="D51" s="15" t="s">
        <v>298</v>
      </c>
      <c r="E51" s="15" t="s">
        <v>299</v>
      </c>
      <c r="F51" s="15" t="s">
        <v>300</v>
      </c>
      <c r="G51" s="16" t="s">
        <v>151</v>
      </c>
      <c r="H51" s="14" t="s">
        <v>34</v>
      </c>
      <c r="I51" s="14" t="s">
        <v>152</v>
      </c>
      <c r="J51" s="16">
        <v>2.0</v>
      </c>
      <c r="K51" s="16" t="s">
        <v>44</v>
      </c>
      <c r="L51" s="17" t="s">
        <v>301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>
        <v>500000.0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>
        <v>500000.0</v>
      </c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>
        <f t="shared" si="2"/>
        <v>0</v>
      </c>
      <c r="BD51" s="18">
        <f t="shared" si="3"/>
        <v>1000000</v>
      </c>
      <c r="BE51" s="18">
        <f t="shared" si="4"/>
        <v>0</v>
      </c>
      <c r="BF51" s="18">
        <f t="shared" si="5"/>
        <v>1000000</v>
      </c>
      <c r="BG51" s="15"/>
      <c r="BH51" s="15"/>
      <c r="BI51" s="15"/>
      <c r="BJ51" s="12" t="s">
        <v>34</v>
      </c>
      <c r="BK51" s="12" t="s">
        <v>152</v>
      </c>
      <c r="BL51" s="31">
        <v>410000.0</v>
      </c>
    </row>
    <row r="52">
      <c r="A52" s="21">
        <f t="shared" si="1"/>
        <v>50</v>
      </c>
      <c r="B52" s="22" t="s">
        <v>302</v>
      </c>
      <c r="C52" s="23">
        <v>2.025070499E9</v>
      </c>
      <c r="D52" s="24" t="s">
        <v>303</v>
      </c>
      <c r="E52" s="24" t="s">
        <v>304</v>
      </c>
      <c r="F52" s="24" t="s">
        <v>305</v>
      </c>
      <c r="G52" s="25" t="s">
        <v>95</v>
      </c>
      <c r="H52" s="23" t="s">
        <v>34</v>
      </c>
      <c r="I52" s="23" t="s">
        <v>83</v>
      </c>
      <c r="J52" s="25">
        <v>2.0</v>
      </c>
      <c r="K52" s="25" t="s">
        <v>44</v>
      </c>
      <c r="L52" s="26" t="s">
        <v>306</v>
      </c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>
        <f t="shared" si="2"/>
        <v>0</v>
      </c>
      <c r="BD52" s="27">
        <f t="shared" si="3"/>
        <v>0</v>
      </c>
      <c r="BE52" s="27">
        <f t="shared" si="4"/>
        <v>0</v>
      </c>
      <c r="BF52" s="27">
        <f t="shared" si="5"/>
        <v>0</v>
      </c>
      <c r="BG52" s="24"/>
      <c r="BH52" s="24"/>
      <c r="BI52" s="24"/>
      <c r="BJ52" s="21" t="s">
        <v>34</v>
      </c>
      <c r="BK52" s="21" t="s">
        <v>83</v>
      </c>
      <c r="BL52" s="33">
        <v>460000.0</v>
      </c>
    </row>
    <row r="53">
      <c r="A53" s="12">
        <f t="shared" si="1"/>
        <v>51</v>
      </c>
      <c r="B53" s="13" t="s">
        <v>307</v>
      </c>
      <c r="C53" s="14">
        <v>2.025070648E9</v>
      </c>
      <c r="D53" s="15" t="s">
        <v>308</v>
      </c>
      <c r="E53" s="15" t="s">
        <v>309</v>
      </c>
      <c r="F53" s="15" t="s">
        <v>310</v>
      </c>
      <c r="G53" s="16" t="s">
        <v>82</v>
      </c>
      <c r="H53" s="14" t="s">
        <v>34</v>
      </c>
      <c r="I53" s="14" t="s">
        <v>43</v>
      </c>
      <c r="J53" s="16">
        <v>2.0</v>
      </c>
      <c r="K53" s="16" t="s">
        <v>311</v>
      </c>
      <c r="L53" s="17" t="s">
        <v>312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>
        <v>500000.0</v>
      </c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>
        <f t="shared" si="2"/>
        <v>0</v>
      </c>
      <c r="BD53" s="18">
        <f t="shared" si="3"/>
        <v>500000</v>
      </c>
      <c r="BE53" s="18">
        <f t="shared" si="4"/>
        <v>0</v>
      </c>
      <c r="BF53" s="18">
        <f t="shared" si="5"/>
        <v>500000</v>
      </c>
      <c r="BG53" s="15"/>
      <c r="BH53" s="15"/>
      <c r="BI53" s="15"/>
      <c r="BJ53" s="12" t="s">
        <v>34</v>
      </c>
      <c r="BK53" s="12" t="s">
        <v>43</v>
      </c>
      <c r="BL53" s="32">
        <v>460000.0</v>
      </c>
    </row>
    <row r="54">
      <c r="A54" s="21">
        <f t="shared" si="1"/>
        <v>52</v>
      </c>
      <c r="B54" s="22" t="s">
        <v>313</v>
      </c>
      <c r="C54" s="23">
        <v>2.02507035E9</v>
      </c>
      <c r="D54" s="24" t="s">
        <v>314</v>
      </c>
      <c r="E54" s="24" t="s">
        <v>315</v>
      </c>
      <c r="F54" s="24" t="s">
        <v>316</v>
      </c>
      <c r="G54" s="25" t="s">
        <v>33</v>
      </c>
      <c r="H54" s="23" t="s">
        <v>34</v>
      </c>
      <c r="I54" s="23" t="s">
        <v>50</v>
      </c>
      <c r="J54" s="25">
        <v>2.0</v>
      </c>
      <c r="K54" s="25" t="s">
        <v>36</v>
      </c>
      <c r="L54" s="26" t="s">
        <v>317</v>
      </c>
      <c r="M54" s="27"/>
      <c r="N54" s="27">
        <v>200000.0</v>
      </c>
      <c r="O54" s="27">
        <v>450000.0</v>
      </c>
      <c r="P54" s="27">
        <v>450000.0</v>
      </c>
      <c r="Q54" s="27">
        <v>450000.0</v>
      </c>
      <c r="R54" s="27">
        <v>450000.0</v>
      </c>
      <c r="S54" s="27">
        <v>450000.0</v>
      </c>
      <c r="T54" s="27">
        <v>450000.0</v>
      </c>
      <c r="U54" s="27">
        <v>450000.0</v>
      </c>
      <c r="V54" s="27">
        <v>450000.0</v>
      </c>
      <c r="W54" s="27">
        <v>450000.0</v>
      </c>
      <c r="X54" s="27">
        <v>450000.0</v>
      </c>
      <c r="Y54" s="27">
        <v>450000.0</v>
      </c>
      <c r="Z54" s="27">
        <v>450000.0</v>
      </c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>
        <f t="shared" si="2"/>
        <v>5400000</v>
      </c>
      <c r="BD54" s="27">
        <f t="shared" si="3"/>
        <v>0</v>
      </c>
      <c r="BE54" s="27">
        <f t="shared" si="4"/>
        <v>0</v>
      </c>
      <c r="BF54" s="27">
        <f t="shared" si="5"/>
        <v>5400000</v>
      </c>
      <c r="BG54" s="24"/>
      <c r="BH54" s="24"/>
      <c r="BI54" s="24"/>
      <c r="BJ54" s="21" t="s">
        <v>34</v>
      </c>
      <c r="BK54" s="21" t="s">
        <v>50</v>
      </c>
      <c r="BL54" s="33">
        <v>460000.0</v>
      </c>
    </row>
    <row r="55">
      <c r="A55" s="12">
        <f t="shared" si="1"/>
        <v>53</v>
      </c>
      <c r="B55" s="13" t="s">
        <v>318</v>
      </c>
      <c r="C55" s="14">
        <v>2.025070646E9</v>
      </c>
      <c r="D55" s="15" t="s">
        <v>319</v>
      </c>
      <c r="E55" s="15" t="s">
        <v>320</v>
      </c>
      <c r="F55" s="15" t="s">
        <v>321</v>
      </c>
      <c r="G55" s="16" t="s">
        <v>215</v>
      </c>
      <c r="H55" s="14" t="s">
        <v>34</v>
      </c>
      <c r="I55" s="14" t="s">
        <v>83</v>
      </c>
      <c r="J55" s="16">
        <v>2.0</v>
      </c>
      <c r="K55" s="16" t="s">
        <v>311</v>
      </c>
      <c r="L55" s="17" t="s">
        <v>322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>
        <v>450000.0</v>
      </c>
      <c r="Z55" s="18">
        <v>450000.0</v>
      </c>
      <c r="AA55" s="18"/>
      <c r="AB55" s="18">
        <v>500000.0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>
        <v>500000.0</v>
      </c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>
        <f t="shared" si="2"/>
        <v>900000</v>
      </c>
      <c r="BD55" s="18">
        <f t="shared" si="3"/>
        <v>1000000</v>
      </c>
      <c r="BE55" s="18">
        <f t="shared" si="4"/>
        <v>0</v>
      </c>
      <c r="BF55" s="18">
        <f t="shared" si="5"/>
        <v>1900000</v>
      </c>
      <c r="BG55" s="15"/>
      <c r="BH55" s="15"/>
      <c r="BI55" s="15"/>
      <c r="BJ55" s="12" t="s">
        <v>34</v>
      </c>
      <c r="BK55" s="12" t="s">
        <v>83</v>
      </c>
      <c r="BL55" s="32">
        <v>460000.0</v>
      </c>
    </row>
    <row r="56">
      <c r="A56" s="21">
        <f t="shared" si="1"/>
        <v>54</v>
      </c>
      <c r="B56" s="22" t="s">
        <v>323</v>
      </c>
      <c r="C56" s="23">
        <v>2.025070528E9</v>
      </c>
      <c r="D56" s="24" t="s">
        <v>324</v>
      </c>
      <c r="E56" s="24" t="s">
        <v>325</v>
      </c>
      <c r="F56" s="24" t="s">
        <v>326</v>
      </c>
      <c r="G56" s="25" t="s">
        <v>42</v>
      </c>
      <c r="H56" s="23" t="s">
        <v>34</v>
      </c>
      <c r="I56" s="23" t="s">
        <v>43</v>
      </c>
      <c r="J56" s="25">
        <v>2.0</v>
      </c>
      <c r="K56" s="25" t="s">
        <v>311</v>
      </c>
      <c r="L56" s="26" t="s">
        <v>327</v>
      </c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>
        <v>500000.0</v>
      </c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>
        <v>500000.0</v>
      </c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>
        <f t="shared" si="2"/>
        <v>0</v>
      </c>
      <c r="BD56" s="27">
        <f t="shared" si="3"/>
        <v>1000000</v>
      </c>
      <c r="BE56" s="27">
        <f t="shared" si="4"/>
        <v>0</v>
      </c>
      <c r="BF56" s="27">
        <f t="shared" si="5"/>
        <v>1000000</v>
      </c>
      <c r="BG56" s="24"/>
      <c r="BH56" s="24"/>
      <c r="BI56" s="24"/>
      <c r="BJ56" s="21" t="s">
        <v>34</v>
      </c>
      <c r="BK56" s="21" t="s">
        <v>43</v>
      </c>
      <c r="BL56" s="33">
        <v>460000.0</v>
      </c>
    </row>
    <row r="57">
      <c r="A57" s="12">
        <f t="shared" si="1"/>
        <v>55</v>
      </c>
      <c r="B57" s="13" t="s">
        <v>328</v>
      </c>
      <c r="C57" s="14">
        <v>2.025070553E9</v>
      </c>
      <c r="D57" s="15" t="s">
        <v>329</v>
      </c>
      <c r="E57" s="15" t="s">
        <v>330</v>
      </c>
      <c r="F57" s="15" t="s">
        <v>331</v>
      </c>
      <c r="G57" s="16" t="s">
        <v>82</v>
      </c>
      <c r="H57" s="14" t="s">
        <v>34</v>
      </c>
      <c r="I57" s="14" t="s">
        <v>43</v>
      </c>
      <c r="J57" s="16">
        <v>2.0</v>
      </c>
      <c r="K57" s="16" t="s">
        <v>311</v>
      </c>
      <c r="L57" s="17" t="s">
        <v>332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>
        <v>500000.0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>
        <v>500000.0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>
        <f t="shared" si="2"/>
        <v>0</v>
      </c>
      <c r="BD57" s="18">
        <f t="shared" si="3"/>
        <v>1000000</v>
      </c>
      <c r="BE57" s="18">
        <f t="shared" si="4"/>
        <v>0</v>
      </c>
      <c r="BF57" s="18">
        <f t="shared" si="5"/>
        <v>1000000</v>
      </c>
      <c r="BG57" s="15"/>
      <c r="BH57" s="15"/>
      <c r="BI57" s="15"/>
      <c r="BJ57" s="12" t="s">
        <v>34</v>
      </c>
      <c r="BK57" s="12" t="s">
        <v>43</v>
      </c>
      <c r="BL57" s="32">
        <v>460000.0</v>
      </c>
    </row>
    <row r="58">
      <c r="A58" s="21">
        <f t="shared" si="1"/>
        <v>56</v>
      </c>
      <c r="B58" s="22" t="s">
        <v>333</v>
      </c>
      <c r="C58" s="23">
        <v>2.025070652E9</v>
      </c>
      <c r="D58" s="24" t="s">
        <v>334</v>
      </c>
      <c r="E58" s="24" t="s">
        <v>335</v>
      </c>
      <c r="F58" s="24" t="s">
        <v>336</v>
      </c>
      <c r="G58" s="25" t="s">
        <v>125</v>
      </c>
      <c r="H58" s="23" t="s">
        <v>34</v>
      </c>
      <c r="I58" s="23" t="s">
        <v>83</v>
      </c>
      <c r="J58" s="25">
        <v>2.0</v>
      </c>
      <c r="K58" s="25" t="s">
        <v>311</v>
      </c>
      <c r="L58" s="26" t="s">
        <v>337</v>
      </c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>
        <v>500000.0</v>
      </c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>
        <v>500000.0</v>
      </c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>
        <f t="shared" si="2"/>
        <v>0</v>
      </c>
      <c r="BD58" s="27">
        <f t="shared" si="3"/>
        <v>1000000</v>
      </c>
      <c r="BE58" s="27">
        <f t="shared" si="4"/>
        <v>0</v>
      </c>
      <c r="BF58" s="27">
        <f t="shared" si="5"/>
        <v>1000000</v>
      </c>
      <c r="BG58" s="24"/>
      <c r="BH58" s="24"/>
      <c r="BI58" s="24"/>
      <c r="BJ58" s="21" t="s">
        <v>34</v>
      </c>
      <c r="BK58" s="21" t="s">
        <v>83</v>
      </c>
      <c r="BL58" s="33">
        <v>460000.0</v>
      </c>
    </row>
    <row r="59">
      <c r="A59" s="12">
        <f t="shared" si="1"/>
        <v>57</v>
      </c>
      <c r="B59" s="13" t="s">
        <v>338</v>
      </c>
      <c r="C59" s="14">
        <v>2.025070459E9</v>
      </c>
      <c r="D59" s="15" t="s">
        <v>339</v>
      </c>
      <c r="E59" s="15" t="s">
        <v>340</v>
      </c>
      <c r="F59" s="15" t="s">
        <v>341</v>
      </c>
      <c r="G59" s="16" t="s">
        <v>259</v>
      </c>
      <c r="H59" s="14" t="s">
        <v>34</v>
      </c>
      <c r="I59" s="14" t="s">
        <v>114</v>
      </c>
      <c r="J59" s="16">
        <v>2.0</v>
      </c>
      <c r="K59" s="16" t="s">
        <v>102</v>
      </c>
      <c r="L59" s="17" t="s">
        <v>342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>
        <v>450000.0</v>
      </c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>
        <f t="shared" si="2"/>
        <v>450000</v>
      </c>
      <c r="BD59" s="18">
        <f t="shared" si="3"/>
        <v>0</v>
      </c>
      <c r="BE59" s="18">
        <f t="shared" si="4"/>
        <v>0</v>
      </c>
      <c r="BF59" s="18">
        <f t="shared" si="5"/>
        <v>450000</v>
      </c>
      <c r="BG59" s="15"/>
      <c r="BH59" s="15"/>
      <c r="BI59" s="15"/>
      <c r="BJ59" s="12" t="s">
        <v>34</v>
      </c>
      <c r="BK59" s="12" t="s">
        <v>114</v>
      </c>
      <c r="BL59" s="32">
        <v>460000.0</v>
      </c>
    </row>
    <row r="60">
      <c r="A60" s="21">
        <f t="shared" si="1"/>
        <v>58</v>
      </c>
      <c r="B60" s="22" t="s">
        <v>343</v>
      </c>
      <c r="C60" s="23">
        <v>2.025070583E9</v>
      </c>
      <c r="D60" s="24" t="s">
        <v>319</v>
      </c>
      <c r="E60" s="24" t="s">
        <v>344</v>
      </c>
      <c r="F60" s="24" t="s">
        <v>345</v>
      </c>
      <c r="G60" s="25" t="s">
        <v>125</v>
      </c>
      <c r="H60" s="23" t="s">
        <v>34</v>
      </c>
      <c r="I60" s="23" t="s">
        <v>43</v>
      </c>
      <c r="J60" s="25">
        <v>2.0</v>
      </c>
      <c r="K60" s="25" t="s">
        <v>311</v>
      </c>
      <c r="L60" s="26" t="s">
        <v>346</v>
      </c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>
        <v>500000.0</v>
      </c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>
        <v>500000.0</v>
      </c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>
        <f t="shared" si="2"/>
        <v>0</v>
      </c>
      <c r="BD60" s="27">
        <f t="shared" si="3"/>
        <v>1000000</v>
      </c>
      <c r="BE60" s="27">
        <f t="shared" si="4"/>
        <v>0</v>
      </c>
      <c r="BF60" s="27">
        <f t="shared" si="5"/>
        <v>1000000</v>
      </c>
      <c r="BG60" s="24"/>
      <c r="BH60" s="24"/>
      <c r="BI60" s="24"/>
      <c r="BJ60" s="21" t="s">
        <v>34</v>
      </c>
      <c r="BK60" s="21" t="s">
        <v>43</v>
      </c>
      <c r="BL60" s="33">
        <v>460000.0</v>
      </c>
    </row>
    <row r="61">
      <c r="A61" s="12">
        <f t="shared" si="1"/>
        <v>59</v>
      </c>
      <c r="B61" s="13" t="s">
        <v>347</v>
      </c>
      <c r="C61" s="14">
        <v>2.025070639E9</v>
      </c>
      <c r="D61" s="15" t="s">
        <v>348</v>
      </c>
      <c r="E61" s="15" t="s">
        <v>349</v>
      </c>
      <c r="F61" s="15" t="s">
        <v>350</v>
      </c>
      <c r="G61" s="16" t="s">
        <v>95</v>
      </c>
      <c r="H61" s="14" t="s">
        <v>34</v>
      </c>
      <c r="I61" s="14" t="s">
        <v>43</v>
      </c>
      <c r="J61" s="16">
        <v>2.0</v>
      </c>
      <c r="K61" s="16" t="s">
        <v>311</v>
      </c>
      <c r="L61" s="17" t="s">
        <v>351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>
        <v>450000.0</v>
      </c>
      <c r="Z61" s="18">
        <v>450000.0</v>
      </c>
      <c r="AA61" s="18"/>
      <c r="AB61" s="18">
        <v>500000.0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>
        <v>500000.0</v>
      </c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>
        <f t="shared" si="2"/>
        <v>900000</v>
      </c>
      <c r="BD61" s="18">
        <f t="shared" si="3"/>
        <v>1000000</v>
      </c>
      <c r="BE61" s="18">
        <f t="shared" si="4"/>
        <v>0</v>
      </c>
      <c r="BF61" s="18">
        <f t="shared" si="5"/>
        <v>1900000</v>
      </c>
      <c r="BG61" s="15"/>
      <c r="BH61" s="15"/>
      <c r="BI61" s="15"/>
      <c r="BJ61" s="12" t="s">
        <v>34</v>
      </c>
      <c r="BK61" s="12" t="s">
        <v>43</v>
      </c>
      <c r="BL61" s="32">
        <v>460000.0</v>
      </c>
    </row>
    <row r="62">
      <c r="A62" s="21">
        <f t="shared" si="1"/>
        <v>60</v>
      </c>
      <c r="B62" s="22" t="s">
        <v>352</v>
      </c>
      <c r="C62" s="23">
        <v>2.025070541E9</v>
      </c>
      <c r="D62" s="24" t="s">
        <v>353</v>
      </c>
      <c r="E62" s="24" t="s">
        <v>354</v>
      </c>
      <c r="F62" s="24" t="s">
        <v>355</v>
      </c>
      <c r="G62" s="25" t="s">
        <v>89</v>
      </c>
      <c r="H62" s="23" t="s">
        <v>34</v>
      </c>
      <c r="I62" s="23" t="s">
        <v>83</v>
      </c>
      <c r="J62" s="25">
        <v>2.0</v>
      </c>
      <c r="K62" s="25" t="s">
        <v>311</v>
      </c>
      <c r="L62" s="26" t="s">
        <v>356</v>
      </c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>
        <v>500000.0</v>
      </c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>
        <v>500000.0</v>
      </c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>
        <f t="shared" si="2"/>
        <v>0</v>
      </c>
      <c r="BD62" s="27">
        <f t="shared" si="3"/>
        <v>1000000</v>
      </c>
      <c r="BE62" s="27">
        <f t="shared" si="4"/>
        <v>0</v>
      </c>
      <c r="BF62" s="27">
        <f t="shared" si="5"/>
        <v>1000000</v>
      </c>
      <c r="BG62" s="24"/>
      <c r="BH62" s="24"/>
      <c r="BI62" s="24"/>
      <c r="BJ62" s="21" t="s">
        <v>34</v>
      </c>
      <c r="BK62" s="21" t="s">
        <v>83</v>
      </c>
      <c r="BL62" s="33">
        <v>460000.0</v>
      </c>
    </row>
    <row r="63">
      <c r="A63" s="12">
        <f t="shared" si="1"/>
        <v>61</v>
      </c>
      <c r="B63" s="13" t="s">
        <v>357</v>
      </c>
      <c r="C63" s="14">
        <v>2.02507022E9</v>
      </c>
      <c r="D63" s="15" t="s">
        <v>358</v>
      </c>
      <c r="E63" s="15" t="s">
        <v>359</v>
      </c>
      <c r="F63" s="15" t="s">
        <v>360</v>
      </c>
      <c r="G63" s="16" t="s">
        <v>361</v>
      </c>
      <c r="H63" s="14" t="s">
        <v>34</v>
      </c>
      <c r="I63" s="14" t="s">
        <v>114</v>
      </c>
      <c r="J63" s="16">
        <v>2.0</v>
      </c>
      <c r="K63" s="16" t="s">
        <v>102</v>
      </c>
      <c r="L63" s="17" t="s">
        <v>362</v>
      </c>
      <c r="M63" s="18"/>
      <c r="N63" s="18"/>
      <c r="O63" s="18"/>
      <c r="P63" s="18"/>
      <c r="Q63" s="18">
        <v>450000.0</v>
      </c>
      <c r="R63" s="18">
        <v>450000.0</v>
      </c>
      <c r="S63" s="18">
        <v>450000.0</v>
      </c>
      <c r="T63" s="18">
        <v>450000.0</v>
      </c>
      <c r="U63" s="18">
        <v>450000.0</v>
      </c>
      <c r="V63" s="18">
        <v>450000.0</v>
      </c>
      <c r="W63" s="18">
        <v>450000.0</v>
      </c>
      <c r="X63" s="18">
        <v>450000.0</v>
      </c>
      <c r="Y63" s="18">
        <v>450000.0</v>
      </c>
      <c r="Z63" s="18">
        <v>450000.0</v>
      </c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>
        <f t="shared" si="2"/>
        <v>4500000</v>
      </c>
      <c r="BD63" s="18">
        <f t="shared" si="3"/>
        <v>0</v>
      </c>
      <c r="BE63" s="18">
        <f t="shared" si="4"/>
        <v>0</v>
      </c>
      <c r="BF63" s="18">
        <f t="shared" si="5"/>
        <v>4500000</v>
      </c>
      <c r="BG63" s="15"/>
      <c r="BH63" s="15"/>
      <c r="BI63" s="15"/>
      <c r="BJ63" s="12" t="s">
        <v>34</v>
      </c>
      <c r="BK63" s="12" t="s">
        <v>114</v>
      </c>
      <c r="BL63" s="32">
        <v>460000.0</v>
      </c>
    </row>
    <row r="64">
      <c r="A64" s="21">
        <f t="shared" si="1"/>
        <v>62</v>
      </c>
      <c r="B64" s="22" t="s">
        <v>363</v>
      </c>
      <c r="C64" s="23">
        <v>2.02507028E9</v>
      </c>
      <c r="D64" s="24" t="s">
        <v>364</v>
      </c>
      <c r="E64" s="24" t="s">
        <v>365</v>
      </c>
      <c r="F64" s="24" t="s">
        <v>366</v>
      </c>
      <c r="G64" s="25" t="s">
        <v>243</v>
      </c>
      <c r="H64" s="23" t="s">
        <v>34</v>
      </c>
      <c r="I64" s="23" t="s">
        <v>114</v>
      </c>
      <c r="J64" s="25">
        <v>2.0</v>
      </c>
      <c r="K64" s="25" t="s">
        <v>367</v>
      </c>
      <c r="L64" s="26" t="s">
        <v>368</v>
      </c>
      <c r="M64" s="27"/>
      <c r="N64" s="27"/>
      <c r="O64" s="27"/>
      <c r="P64" s="27"/>
      <c r="Q64" s="27">
        <v>450000.0</v>
      </c>
      <c r="R64" s="27">
        <v>450000.0</v>
      </c>
      <c r="S64" s="27">
        <v>450000.0</v>
      </c>
      <c r="T64" s="27">
        <v>450000.0</v>
      </c>
      <c r="U64" s="27">
        <v>450000.0</v>
      </c>
      <c r="V64" s="27">
        <v>450000.0</v>
      </c>
      <c r="W64" s="27">
        <v>450000.0</v>
      </c>
      <c r="X64" s="27">
        <v>450000.0</v>
      </c>
      <c r="Y64" s="27">
        <v>450000.0</v>
      </c>
      <c r="Z64" s="27">
        <v>450000.0</v>
      </c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>
        <f t="shared" si="2"/>
        <v>4500000</v>
      </c>
      <c r="BD64" s="27">
        <f t="shared" si="3"/>
        <v>0</v>
      </c>
      <c r="BE64" s="27">
        <f t="shared" si="4"/>
        <v>0</v>
      </c>
      <c r="BF64" s="27">
        <f t="shared" si="5"/>
        <v>4500000</v>
      </c>
      <c r="BG64" s="24"/>
      <c r="BH64" s="24"/>
      <c r="BI64" s="24"/>
      <c r="BJ64" s="21" t="s">
        <v>34</v>
      </c>
      <c r="BK64" s="21" t="s">
        <v>114</v>
      </c>
      <c r="BL64" s="33">
        <v>460000.0</v>
      </c>
    </row>
    <row r="65">
      <c r="A65" s="12">
        <f t="shared" si="1"/>
        <v>63</v>
      </c>
      <c r="B65" s="13" t="s">
        <v>369</v>
      </c>
      <c r="C65" s="14">
        <v>2.025070445E9</v>
      </c>
      <c r="D65" s="15" t="s">
        <v>370</v>
      </c>
      <c r="E65" s="15" t="s">
        <v>371</v>
      </c>
      <c r="F65" s="15" t="s">
        <v>372</v>
      </c>
      <c r="G65" s="16" t="s">
        <v>373</v>
      </c>
      <c r="H65" s="14" t="s">
        <v>34</v>
      </c>
      <c r="I65" s="14" t="s">
        <v>374</v>
      </c>
      <c r="J65" s="16">
        <v>2.0</v>
      </c>
      <c r="K65" s="16" t="s">
        <v>102</v>
      </c>
      <c r="L65" s="17" t="s">
        <v>375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>
        <v>450000.0</v>
      </c>
      <c r="X65" s="18">
        <v>450000.0</v>
      </c>
      <c r="Y65" s="18">
        <v>450000.0</v>
      </c>
      <c r="Z65" s="18">
        <v>450000.0</v>
      </c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>
        <f t="shared" si="2"/>
        <v>1800000</v>
      </c>
      <c r="BD65" s="18">
        <f t="shared" si="3"/>
        <v>0</v>
      </c>
      <c r="BE65" s="18">
        <f t="shared" si="4"/>
        <v>0</v>
      </c>
      <c r="BF65" s="18">
        <f t="shared" si="5"/>
        <v>1800000</v>
      </c>
      <c r="BG65" s="15"/>
      <c r="BH65" s="15"/>
      <c r="BI65" s="15"/>
      <c r="BJ65" s="12" t="s">
        <v>34</v>
      </c>
      <c r="BK65" s="12" t="s">
        <v>374</v>
      </c>
      <c r="BL65" s="32">
        <v>460000.0</v>
      </c>
    </row>
    <row r="66">
      <c r="A66" s="21">
        <f t="shared" si="1"/>
        <v>64</v>
      </c>
      <c r="B66" s="22" t="s">
        <v>376</v>
      </c>
      <c r="C66" s="23">
        <v>2.025070273E9</v>
      </c>
      <c r="D66" s="24" t="s">
        <v>377</v>
      </c>
      <c r="E66" s="24" t="s">
        <v>378</v>
      </c>
      <c r="F66" s="24" t="s">
        <v>379</v>
      </c>
      <c r="G66" s="25" t="s">
        <v>243</v>
      </c>
      <c r="H66" s="23" t="s">
        <v>34</v>
      </c>
      <c r="I66" s="23" t="s">
        <v>35</v>
      </c>
      <c r="J66" s="25">
        <v>2.0</v>
      </c>
      <c r="K66" s="25" t="s">
        <v>102</v>
      </c>
      <c r="L66" s="26" t="s">
        <v>380</v>
      </c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>
        <v>500000.0</v>
      </c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>
        <v>500000.0</v>
      </c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>
        <f t="shared" si="2"/>
        <v>0</v>
      </c>
      <c r="BD66" s="27">
        <f t="shared" si="3"/>
        <v>1000000</v>
      </c>
      <c r="BE66" s="27">
        <f t="shared" si="4"/>
        <v>0</v>
      </c>
      <c r="BF66" s="27">
        <f t="shared" si="5"/>
        <v>1000000</v>
      </c>
      <c r="BG66" s="24"/>
      <c r="BH66" s="24"/>
      <c r="BI66" s="24"/>
      <c r="BJ66" s="21" t="s">
        <v>34</v>
      </c>
      <c r="BK66" s="21" t="s">
        <v>35</v>
      </c>
      <c r="BL66" s="33">
        <v>460000.0</v>
      </c>
    </row>
    <row r="67">
      <c r="A67" s="12">
        <f t="shared" si="1"/>
        <v>65</v>
      </c>
      <c r="B67" s="13" t="s">
        <v>381</v>
      </c>
      <c r="C67" s="14">
        <v>2.02507044E9</v>
      </c>
      <c r="D67" s="15" t="s">
        <v>382</v>
      </c>
      <c r="E67" s="15" t="s">
        <v>383</v>
      </c>
      <c r="F67" s="15" t="s">
        <v>384</v>
      </c>
      <c r="G67" s="16" t="s">
        <v>385</v>
      </c>
      <c r="H67" s="14" t="s">
        <v>34</v>
      </c>
      <c r="I67" s="14" t="s">
        <v>114</v>
      </c>
      <c r="J67" s="16">
        <v>2.0</v>
      </c>
      <c r="K67" s="16" t="s">
        <v>367</v>
      </c>
      <c r="L67" s="17" t="s">
        <v>386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>
        <v>450000.0</v>
      </c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>
        <f t="shared" si="2"/>
        <v>450000</v>
      </c>
      <c r="BD67" s="18">
        <f t="shared" si="3"/>
        <v>0</v>
      </c>
      <c r="BE67" s="18">
        <f t="shared" si="4"/>
        <v>0</v>
      </c>
      <c r="BF67" s="18">
        <f t="shared" si="5"/>
        <v>450000</v>
      </c>
      <c r="BG67" s="15"/>
      <c r="BH67" s="15"/>
      <c r="BI67" s="15"/>
      <c r="BJ67" s="12" t="s">
        <v>34</v>
      </c>
      <c r="BK67" s="12" t="s">
        <v>114</v>
      </c>
      <c r="BL67" s="32">
        <v>460000.0</v>
      </c>
    </row>
    <row r="68">
      <c r="A68" s="21">
        <f t="shared" si="1"/>
        <v>66</v>
      </c>
      <c r="B68" s="22" t="s">
        <v>387</v>
      </c>
      <c r="C68" s="23">
        <v>2.025070066E9</v>
      </c>
      <c r="D68" s="24" t="s">
        <v>388</v>
      </c>
      <c r="E68" s="24" t="s">
        <v>389</v>
      </c>
      <c r="F68" s="24" t="s">
        <v>390</v>
      </c>
      <c r="G68" s="25" t="s">
        <v>158</v>
      </c>
      <c r="H68" s="23" t="s">
        <v>34</v>
      </c>
      <c r="I68" s="23" t="s">
        <v>35</v>
      </c>
      <c r="J68" s="25">
        <v>2.0</v>
      </c>
      <c r="K68" s="23" t="s">
        <v>391</v>
      </c>
      <c r="L68" s="26" t="s">
        <v>392</v>
      </c>
      <c r="M68" s="27"/>
      <c r="N68" s="27"/>
      <c r="O68" s="27"/>
      <c r="P68" s="27">
        <v>450000.0</v>
      </c>
      <c r="Q68" s="27">
        <v>450000.0</v>
      </c>
      <c r="R68" s="27">
        <v>450000.0</v>
      </c>
      <c r="S68" s="27">
        <v>450000.0</v>
      </c>
      <c r="T68" s="27">
        <v>450000.0</v>
      </c>
      <c r="U68" s="27">
        <v>450000.0</v>
      </c>
      <c r="V68" s="27">
        <v>450000.0</v>
      </c>
      <c r="W68" s="27">
        <v>450000.0</v>
      </c>
      <c r="X68" s="27">
        <v>450000.0</v>
      </c>
      <c r="Y68" s="27">
        <v>450000.0</v>
      </c>
      <c r="Z68" s="27">
        <v>450000.0</v>
      </c>
      <c r="AA68" s="27"/>
      <c r="AB68" s="27">
        <v>500000.0</v>
      </c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>
        <v>500000.0</v>
      </c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>
        <f t="shared" si="2"/>
        <v>4950000</v>
      </c>
      <c r="BD68" s="27">
        <f t="shared" si="3"/>
        <v>1000000</v>
      </c>
      <c r="BE68" s="27">
        <f t="shared" si="4"/>
        <v>0</v>
      </c>
      <c r="BF68" s="27">
        <f t="shared" si="5"/>
        <v>5950000</v>
      </c>
      <c r="BG68" s="24"/>
      <c r="BH68" s="24"/>
      <c r="BI68" s="24"/>
      <c r="BJ68" s="21" t="s">
        <v>34</v>
      </c>
      <c r="BK68" s="21" t="s">
        <v>35</v>
      </c>
      <c r="BL68" s="33">
        <v>460000.0</v>
      </c>
    </row>
    <row r="69">
      <c r="A69" s="12">
        <f t="shared" si="1"/>
        <v>67</v>
      </c>
      <c r="B69" s="13" t="s">
        <v>393</v>
      </c>
      <c r="C69" s="14">
        <v>2.025070343E9</v>
      </c>
      <c r="D69" s="15" t="s">
        <v>394</v>
      </c>
      <c r="E69" s="15" t="s">
        <v>395</v>
      </c>
      <c r="F69" s="15" t="s">
        <v>396</v>
      </c>
      <c r="G69" s="16" t="s">
        <v>361</v>
      </c>
      <c r="H69" s="14" t="s">
        <v>34</v>
      </c>
      <c r="I69" s="14" t="s">
        <v>35</v>
      </c>
      <c r="J69" s="16">
        <v>2.0</v>
      </c>
      <c r="K69" s="16" t="s">
        <v>36</v>
      </c>
      <c r="L69" s="17" t="s">
        <v>397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>
        <v>500000.0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>
        <v>500000.0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>
        <f t="shared" si="2"/>
        <v>0</v>
      </c>
      <c r="BD69" s="18">
        <f t="shared" si="3"/>
        <v>1000000</v>
      </c>
      <c r="BE69" s="18">
        <f t="shared" si="4"/>
        <v>0</v>
      </c>
      <c r="BF69" s="18">
        <f t="shared" si="5"/>
        <v>1000000</v>
      </c>
      <c r="BG69" s="15"/>
      <c r="BH69" s="15"/>
      <c r="BI69" s="15"/>
      <c r="BJ69" s="12" t="s">
        <v>34</v>
      </c>
      <c r="BK69" s="12" t="s">
        <v>35</v>
      </c>
      <c r="BL69" s="32">
        <v>460000.0</v>
      </c>
    </row>
    <row r="70">
      <c r="A70" s="21">
        <f t="shared" si="1"/>
        <v>68</v>
      </c>
      <c r="B70" s="22" t="s">
        <v>398</v>
      </c>
      <c r="C70" s="23">
        <v>2.025070219E9</v>
      </c>
      <c r="D70" s="24" t="s">
        <v>399</v>
      </c>
      <c r="E70" s="24" t="s">
        <v>400</v>
      </c>
      <c r="F70" s="24" t="s">
        <v>401</v>
      </c>
      <c r="G70" s="25" t="s">
        <v>402</v>
      </c>
      <c r="H70" s="23" t="s">
        <v>34</v>
      </c>
      <c r="I70" s="23" t="s">
        <v>35</v>
      </c>
      <c r="J70" s="25">
        <v>2.0</v>
      </c>
      <c r="K70" s="25" t="s">
        <v>102</v>
      </c>
      <c r="L70" s="26" t="s">
        <v>403</v>
      </c>
      <c r="M70" s="27"/>
      <c r="N70" s="27"/>
      <c r="O70" s="27"/>
      <c r="P70" s="27"/>
      <c r="Q70" s="27"/>
      <c r="R70" s="27"/>
      <c r="S70" s="27"/>
      <c r="T70" s="27">
        <v>450000.0</v>
      </c>
      <c r="U70" s="27">
        <v>450000.0</v>
      </c>
      <c r="V70" s="27">
        <v>450000.0</v>
      </c>
      <c r="W70" s="27">
        <v>450000.0</v>
      </c>
      <c r="X70" s="27">
        <v>450000.0</v>
      </c>
      <c r="Y70" s="27">
        <v>450000.0</v>
      </c>
      <c r="Z70" s="27">
        <v>450000.0</v>
      </c>
      <c r="AA70" s="27"/>
      <c r="AB70" s="27">
        <v>500000.0</v>
      </c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>
        <v>500000.0</v>
      </c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>
        <f t="shared" si="2"/>
        <v>3150000</v>
      </c>
      <c r="BD70" s="27">
        <f t="shared" si="3"/>
        <v>1000000</v>
      </c>
      <c r="BE70" s="27">
        <f t="shared" si="4"/>
        <v>0</v>
      </c>
      <c r="BF70" s="27">
        <f t="shared" si="5"/>
        <v>4150000</v>
      </c>
      <c r="BG70" s="24"/>
      <c r="BH70" s="24"/>
      <c r="BI70" s="24"/>
      <c r="BJ70" s="21" t="s">
        <v>34</v>
      </c>
      <c r="BK70" s="21" t="s">
        <v>35</v>
      </c>
      <c r="BL70" s="33">
        <v>460000.0</v>
      </c>
    </row>
    <row r="71">
      <c r="A71" s="12">
        <f t="shared" si="1"/>
        <v>69</v>
      </c>
      <c r="B71" s="13" t="s">
        <v>404</v>
      </c>
      <c r="C71" s="14">
        <v>2.025070616E9</v>
      </c>
      <c r="D71" s="15" t="s">
        <v>405</v>
      </c>
      <c r="E71" s="15" t="s">
        <v>406</v>
      </c>
      <c r="F71" s="15" t="s">
        <v>407</v>
      </c>
      <c r="G71" s="16" t="s">
        <v>125</v>
      </c>
      <c r="H71" s="14" t="s">
        <v>34</v>
      </c>
      <c r="I71" s="14" t="s">
        <v>43</v>
      </c>
      <c r="J71" s="16">
        <v>2.0</v>
      </c>
      <c r="K71" s="16" t="s">
        <v>311</v>
      </c>
      <c r="L71" s="17" t="s">
        <v>408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>
        <f t="shared" si="2"/>
        <v>0</v>
      </c>
      <c r="BD71" s="18">
        <f t="shared" si="3"/>
        <v>0</v>
      </c>
      <c r="BE71" s="18">
        <f t="shared" si="4"/>
        <v>0</v>
      </c>
      <c r="BF71" s="18">
        <f t="shared" si="5"/>
        <v>0</v>
      </c>
      <c r="BG71" s="15"/>
      <c r="BH71" s="15"/>
      <c r="BI71" s="15"/>
      <c r="BJ71" s="12" t="s">
        <v>34</v>
      </c>
      <c r="BK71" s="12" t="s">
        <v>43</v>
      </c>
      <c r="BL71" s="32">
        <v>460000.0</v>
      </c>
    </row>
    <row r="72">
      <c r="A72" s="21">
        <f t="shared" si="1"/>
        <v>70</v>
      </c>
      <c r="B72" s="22" t="s">
        <v>409</v>
      </c>
      <c r="C72" s="23">
        <v>2.025070416E9</v>
      </c>
      <c r="D72" s="24" t="s">
        <v>410</v>
      </c>
      <c r="E72" s="24" t="s">
        <v>411</v>
      </c>
      <c r="F72" s="24" t="s">
        <v>412</v>
      </c>
      <c r="G72" s="25" t="s">
        <v>33</v>
      </c>
      <c r="H72" s="23" t="s">
        <v>34</v>
      </c>
      <c r="I72" s="23" t="s">
        <v>50</v>
      </c>
      <c r="J72" s="25">
        <v>2.0</v>
      </c>
      <c r="K72" s="25" t="s">
        <v>36</v>
      </c>
      <c r="L72" s="26" t="s">
        <v>413</v>
      </c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>
        <f t="shared" si="2"/>
        <v>0</v>
      </c>
      <c r="BD72" s="27">
        <f t="shared" si="3"/>
        <v>0</v>
      </c>
      <c r="BE72" s="27">
        <f t="shared" si="4"/>
        <v>0</v>
      </c>
      <c r="BF72" s="27">
        <f t="shared" si="5"/>
        <v>0</v>
      </c>
      <c r="BG72" s="24"/>
      <c r="BH72" s="24"/>
      <c r="BI72" s="24"/>
      <c r="BJ72" s="21" t="s">
        <v>34</v>
      </c>
      <c r="BK72" s="21" t="s">
        <v>50</v>
      </c>
      <c r="BL72" s="33">
        <v>460000.0</v>
      </c>
    </row>
    <row r="73">
      <c r="A73" s="12">
        <f t="shared" si="1"/>
        <v>71</v>
      </c>
      <c r="B73" s="13" t="s">
        <v>414</v>
      </c>
      <c r="C73" s="14">
        <v>2.025070564E9</v>
      </c>
      <c r="D73" s="15" t="s">
        <v>415</v>
      </c>
      <c r="E73" s="15" t="s">
        <v>416</v>
      </c>
      <c r="F73" s="15" t="s">
        <v>417</v>
      </c>
      <c r="G73" s="16" t="s">
        <v>82</v>
      </c>
      <c r="H73" s="14" t="s">
        <v>34</v>
      </c>
      <c r="I73" s="14" t="s">
        <v>43</v>
      </c>
      <c r="J73" s="16">
        <v>2.0</v>
      </c>
      <c r="K73" s="16" t="s">
        <v>311</v>
      </c>
      <c r="L73" s="17" t="s">
        <v>418</v>
      </c>
      <c r="M73" s="18"/>
      <c r="N73" s="18"/>
      <c r="O73" s="18"/>
      <c r="P73" s="18"/>
      <c r="Q73" s="18"/>
      <c r="R73" s="18"/>
      <c r="S73" s="18"/>
      <c r="T73" s="18"/>
      <c r="U73" s="18"/>
      <c r="V73" s="18">
        <v>450000.0</v>
      </c>
      <c r="W73" s="18">
        <v>450000.0</v>
      </c>
      <c r="X73" s="18">
        <v>450000.0</v>
      </c>
      <c r="Y73" s="18">
        <v>450000.0</v>
      </c>
      <c r="Z73" s="18">
        <v>450000.0</v>
      </c>
      <c r="AA73" s="18"/>
      <c r="AB73" s="18">
        <v>500000.0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>
        <v>500000.0</v>
      </c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>
        <f t="shared" si="2"/>
        <v>2250000</v>
      </c>
      <c r="BD73" s="18">
        <f t="shared" si="3"/>
        <v>1000000</v>
      </c>
      <c r="BE73" s="18">
        <f t="shared" si="4"/>
        <v>0</v>
      </c>
      <c r="BF73" s="18">
        <f t="shared" si="5"/>
        <v>3250000</v>
      </c>
      <c r="BG73" s="15"/>
      <c r="BH73" s="15"/>
      <c r="BI73" s="15"/>
      <c r="BJ73" s="12" t="s">
        <v>34</v>
      </c>
      <c r="BK73" s="12" t="s">
        <v>43</v>
      </c>
      <c r="BL73" s="32">
        <v>460000.0</v>
      </c>
    </row>
    <row r="74">
      <c r="A74" s="21">
        <f t="shared" si="1"/>
        <v>72</v>
      </c>
      <c r="B74" s="22" t="s">
        <v>419</v>
      </c>
      <c r="C74" s="23">
        <v>2.025070435E9</v>
      </c>
      <c r="D74" s="24" t="s">
        <v>420</v>
      </c>
      <c r="E74" s="24" t="s">
        <v>421</v>
      </c>
      <c r="F74" s="24" t="s">
        <v>422</v>
      </c>
      <c r="G74" s="25" t="s">
        <v>385</v>
      </c>
      <c r="H74" s="23" t="s">
        <v>34</v>
      </c>
      <c r="I74" s="23" t="s">
        <v>114</v>
      </c>
      <c r="J74" s="25">
        <v>2.0</v>
      </c>
      <c r="K74" s="25" t="s">
        <v>367</v>
      </c>
      <c r="L74" s="26" t="s">
        <v>423</v>
      </c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>
        <f t="shared" si="2"/>
        <v>0</v>
      </c>
      <c r="BD74" s="27">
        <f t="shared" si="3"/>
        <v>0</v>
      </c>
      <c r="BE74" s="27">
        <f t="shared" si="4"/>
        <v>0</v>
      </c>
      <c r="BF74" s="27">
        <f t="shared" si="5"/>
        <v>0</v>
      </c>
      <c r="BG74" s="24"/>
      <c r="BH74" s="24"/>
      <c r="BI74" s="24"/>
      <c r="BJ74" s="21" t="s">
        <v>34</v>
      </c>
      <c r="BK74" s="21" t="s">
        <v>114</v>
      </c>
      <c r="BL74" s="33">
        <v>460000.0</v>
      </c>
    </row>
    <row r="75">
      <c r="A75" s="12">
        <f t="shared" si="1"/>
        <v>73</v>
      </c>
      <c r="B75" s="13" t="s">
        <v>424</v>
      </c>
      <c r="C75" s="14">
        <v>2.02507012E9</v>
      </c>
      <c r="D75" s="15" t="s">
        <v>425</v>
      </c>
      <c r="E75" s="15" t="s">
        <v>426</v>
      </c>
      <c r="F75" s="15" t="s">
        <v>32</v>
      </c>
      <c r="G75" s="16" t="s">
        <v>33</v>
      </c>
      <c r="H75" s="14" t="s">
        <v>34</v>
      </c>
      <c r="I75" s="14" t="s">
        <v>35</v>
      </c>
      <c r="J75" s="16">
        <v>2.0</v>
      </c>
      <c r="K75" s="16" t="s">
        <v>36</v>
      </c>
      <c r="L75" s="17" t="s">
        <v>427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>
        <v>450000.0</v>
      </c>
      <c r="AA75" s="18"/>
      <c r="AB75" s="18">
        <v>500000.0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>
        <v>500000.0</v>
      </c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>
        <f t="shared" si="2"/>
        <v>450000</v>
      </c>
      <c r="BD75" s="18">
        <f t="shared" si="3"/>
        <v>1000000</v>
      </c>
      <c r="BE75" s="18">
        <f t="shared" si="4"/>
        <v>0</v>
      </c>
      <c r="BF75" s="18">
        <f t="shared" si="5"/>
        <v>1450000</v>
      </c>
      <c r="BG75" s="15"/>
      <c r="BH75" s="15"/>
      <c r="BI75" s="15"/>
      <c r="BJ75" s="12" t="s">
        <v>34</v>
      </c>
      <c r="BK75" s="12" t="s">
        <v>35</v>
      </c>
      <c r="BL75" s="32">
        <v>460000.0</v>
      </c>
    </row>
    <row r="76">
      <c r="A76" s="21">
        <f t="shared" si="1"/>
        <v>74</v>
      </c>
      <c r="B76" s="22" t="s">
        <v>428</v>
      </c>
      <c r="C76" s="23">
        <v>2.025070409E9</v>
      </c>
      <c r="D76" s="24" t="s">
        <v>429</v>
      </c>
      <c r="E76" s="24" t="s">
        <v>430</v>
      </c>
      <c r="F76" s="24" t="s">
        <v>431</v>
      </c>
      <c r="G76" s="25" t="s">
        <v>33</v>
      </c>
      <c r="H76" s="23" t="s">
        <v>34</v>
      </c>
      <c r="I76" s="23" t="s">
        <v>35</v>
      </c>
      <c r="J76" s="25">
        <v>2.0</v>
      </c>
      <c r="K76" s="25" t="s">
        <v>36</v>
      </c>
      <c r="L76" s="26" t="s">
        <v>432</v>
      </c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>
        <f t="shared" si="2"/>
        <v>0</v>
      </c>
      <c r="BD76" s="27">
        <f t="shared" si="3"/>
        <v>0</v>
      </c>
      <c r="BE76" s="27">
        <f t="shared" si="4"/>
        <v>0</v>
      </c>
      <c r="BF76" s="27">
        <f t="shared" si="5"/>
        <v>0</v>
      </c>
      <c r="BG76" s="24"/>
      <c r="BH76" s="24"/>
      <c r="BI76" s="24"/>
      <c r="BJ76" s="21" t="s">
        <v>34</v>
      </c>
      <c r="BK76" s="21" t="s">
        <v>35</v>
      </c>
      <c r="BL76" s="33">
        <v>460000.0</v>
      </c>
    </row>
    <row r="77">
      <c r="A77" s="12">
        <f t="shared" si="1"/>
        <v>75</v>
      </c>
      <c r="B77" s="13" t="s">
        <v>433</v>
      </c>
      <c r="C77" s="14">
        <v>2.025070376E9</v>
      </c>
      <c r="D77" s="15" t="s">
        <v>434</v>
      </c>
      <c r="E77" s="15" t="s">
        <v>435</v>
      </c>
      <c r="F77" s="15" t="s">
        <v>436</v>
      </c>
      <c r="G77" s="16" t="s">
        <v>437</v>
      </c>
      <c r="H77" s="14" t="s">
        <v>34</v>
      </c>
      <c r="I77" s="14" t="s">
        <v>35</v>
      </c>
      <c r="J77" s="16">
        <v>2.0</v>
      </c>
      <c r="K77" s="16" t="s">
        <v>367</v>
      </c>
      <c r="L77" s="17" t="s">
        <v>438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>
        <v>500000.0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>
        <v>500000.0</v>
      </c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>
        <f t="shared" si="2"/>
        <v>0</v>
      </c>
      <c r="BD77" s="18">
        <f t="shared" si="3"/>
        <v>1000000</v>
      </c>
      <c r="BE77" s="18">
        <f t="shared" si="4"/>
        <v>0</v>
      </c>
      <c r="BF77" s="18">
        <f t="shared" si="5"/>
        <v>1000000</v>
      </c>
      <c r="BG77" s="15"/>
      <c r="BH77" s="15"/>
      <c r="BI77" s="15"/>
      <c r="BJ77" s="12" t="s">
        <v>34</v>
      </c>
      <c r="BK77" s="12" t="s">
        <v>35</v>
      </c>
      <c r="BL77" s="32">
        <v>460000.0</v>
      </c>
    </row>
    <row r="78">
      <c r="A78" s="21">
        <f t="shared" si="1"/>
        <v>76</v>
      </c>
      <c r="B78" s="22" t="s">
        <v>439</v>
      </c>
      <c r="C78" s="23">
        <v>2.025070623E9</v>
      </c>
      <c r="D78" s="24" t="s">
        <v>440</v>
      </c>
      <c r="E78" s="24" t="s">
        <v>441</v>
      </c>
      <c r="F78" s="24" t="s">
        <v>442</v>
      </c>
      <c r="G78" s="25" t="s">
        <v>82</v>
      </c>
      <c r="H78" s="23" t="s">
        <v>34</v>
      </c>
      <c r="I78" s="23" t="s">
        <v>43</v>
      </c>
      <c r="J78" s="25">
        <v>2.0</v>
      </c>
      <c r="K78" s="25" t="s">
        <v>311</v>
      </c>
      <c r="L78" s="26" t="s">
        <v>443</v>
      </c>
      <c r="M78" s="27"/>
      <c r="N78" s="27"/>
      <c r="O78" s="27"/>
      <c r="P78" s="27"/>
      <c r="Q78" s="27"/>
      <c r="R78" s="27"/>
      <c r="S78" s="27">
        <v>450000.0</v>
      </c>
      <c r="T78" s="27">
        <v>450000.0</v>
      </c>
      <c r="U78" s="27">
        <v>450000.0</v>
      </c>
      <c r="V78" s="27">
        <v>450000.0</v>
      </c>
      <c r="W78" s="27">
        <v>450000.0</v>
      </c>
      <c r="X78" s="27">
        <v>450000.0</v>
      </c>
      <c r="Y78" s="27">
        <v>450000.0</v>
      </c>
      <c r="Z78" s="27">
        <v>450000.0</v>
      </c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>
        <v>500000.0</v>
      </c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>
        <f t="shared" si="2"/>
        <v>3600000</v>
      </c>
      <c r="BD78" s="27">
        <f t="shared" si="3"/>
        <v>500000</v>
      </c>
      <c r="BE78" s="27">
        <f t="shared" si="4"/>
        <v>0</v>
      </c>
      <c r="BF78" s="27">
        <f t="shared" si="5"/>
        <v>4100000</v>
      </c>
      <c r="BG78" s="24"/>
      <c r="BH78" s="24"/>
      <c r="BI78" s="24"/>
      <c r="BJ78" s="21" t="s">
        <v>34</v>
      </c>
      <c r="BK78" s="21" t="s">
        <v>43</v>
      </c>
      <c r="BL78" s="33">
        <v>460000.0</v>
      </c>
    </row>
    <row r="79">
      <c r="A79" s="12">
        <f t="shared" si="1"/>
        <v>77</v>
      </c>
      <c r="B79" s="13" t="s">
        <v>444</v>
      </c>
      <c r="C79" s="14">
        <v>2.025070615E9</v>
      </c>
      <c r="D79" s="15" t="s">
        <v>445</v>
      </c>
      <c r="E79" s="15" t="s">
        <v>446</v>
      </c>
      <c r="F79" s="15" t="s">
        <v>447</v>
      </c>
      <c r="G79" s="16" t="s">
        <v>215</v>
      </c>
      <c r="H79" s="14" t="s">
        <v>34</v>
      </c>
      <c r="I79" s="14" t="s">
        <v>83</v>
      </c>
      <c r="J79" s="16">
        <v>2.0</v>
      </c>
      <c r="K79" s="16" t="s">
        <v>311</v>
      </c>
      <c r="L79" s="17" t="s">
        <v>448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>
        <f t="shared" si="2"/>
        <v>0</v>
      </c>
      <c r="BD79" s="18">
        <f t="shared" si="3"/>
        <v>0</v>
      </c>
      <c r="BE79" s="18">
        <f t="shared" si="4"/>
        <v>0</v>
      </c>
      <c r="BF79" s="18">
        <f t="shared" si="5"/>
        <v>0</v>
      </c>
      <c r="BG79" s="15"/>
      <c r="BH79" s="15"/>
      <c r="BI79" s="15"/>
      <c r="BJ79" s="12" t="s">
        <v>34</v>
      </c>
      <c r="BK79" s="12" t="s">
        <v>83</v>
      </c>
      <c r="BL79" s="32">
        <v>460000.0</v>
      </c>
    </row>
    <row r="80">
      <c r="A80" s="21">
        <f t="shared" si="1"/>
        <v>78</v>
      </c>
      <c r="B80" s="22" t="s">
        <v>449</v>
      </c>
      <c r="C80" s="23">
        <v>2.025070538E9</v>
      </c>
      <c r="D80" s="24" t="s">
        <v>450</v>
      </c>
      <c r="E80" s="24" t="s">
        <v>451</v>
      </c>
      <c r="F80" s="24" t="s">
        <v>452</v>
      </c>
      <c r="G80" s="25" t="s">
        <v>151</v>
      </c>
      <c r="H80" s="23" t="s">
        <v>34</v>
      </c>
      <c r="I80" s="23" t="s">
        <v>83</v>
      </c>
      <c r="J80" s="25">
        <v>2.0</v>
      </c>
      <c r="K80" s="25" t="s">
        <v>311</v>
      </c>
      <c r="L80" s="26" t="s">
        <v>453</v>
      </c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>
        <v>500000.0</v>
      </c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>
        <v>500000.0</v>
      </c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>
        <f t="shared" si="2"/>
        <v>0</v>
      </c>
      <c r="BD80" s="27">
        <f t="shared" si="3"/>
        <v>1000000</v>
      </c>
      <c r="BE80" s="27">
        <f t="shared" si="4"/>
        <v>0</v>
      </c>
      <c r="BF80" s="27">
        <f t="shared" si="5"/>
        <v>1000000</v>
      </c>
      <c r="BG80" s="24"/>
      <c r="BH80" s="24"/>
      <c r="BI80" s="24"/>
      <c r="BJ80" s="21" t="s">
        <v>34</v>
      </c>
      <c r="BK80" s="21" t="s">
        <v>83</v>
      </c>
      <c r="BL80" s="33">
        <v>460000.0</v>
      </c>
    </row>
    <row r="81">
      <c r="A81" s="12">
        <f t="shared" si="1"/>
        <v>79</v>
      </c>
      <c r="B81" s="13" t="s">
        <v>454</v>
      </c>
      <c r="C81" s="14">
        <v>2.025070228E9</v>
      </c>
      <c r="D81" s="15" t="s">
        <v>455</v>
      </c>
      <c r="E81" s="15" t="s">
        <v>456</v>
      </c>
      <c r="F81" s="15" t="s">
        <v>457</v>
      </c>
      <c r="G81" s="16" t="s">
        <v>184</v>
      </c>
      <c r="H81" s="14" t="s">
        <v>34</v>
      </c>
      <c r="I81" s="14" t="s">
        <v>35</v>
      </c>
      <c r="J81" s="16">
        <v>2.0</v>
      </c>
      <c r="K81" s="16" t="s">
        <v>367</v>
      </c>
      <c r="L81" s="17" t="s">
        <v>458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>
        <v>500000.0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>
        <v>500000.0</v>
      </c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>
        <f t="shared" si="2"/>
        <v>0</v>
      </c>
      <c r="BD81" s="18">
        <f t="shared" si="3"/>
        <v>1000000</v>
      </c>
      <c r="BE81" s="18">
        <f t="shared" si="4"/>
        <v>0</v>
      </c>
      <c r="BF81" s="18">
        <f t="shared" si="5"/>
        <v>1000000</v>
      </c>
      <c r="BG81" s="15"/>
      <c r="BH81" s="15"/>
      <c r="BI81" s="15"/>
      <c r="BJ81" s="12" t="s">
        <v>34</v>
      </c>
      <c r="BK81" s="12" t="s">
        <v>35</v>
      </c>
      <c r="BL81" s="32">
        <v>460000.0</v>
      </c>
    </row>
    <row r="82">
      <c r="A82" s="21">
        <f t="shared" si="1"/>
        <v>80</v>
      </c>
      <c r="B82" s="22" t="s">
        <v>459</v>
      </c>
      <c r="C82" s="23">
        <v>2.025070471E9</v>
      </c>
      <c r="D82" s="24" t="s">
        <v>460</v>
      </c>
      <c r="E82" s="24" t="s">
        <v>461</v>
      </c>
      <c r="F82" s="24" t="s">
        <v>462</v>
      </c>
      <c r="G82" s="25" t="s">
        <v>66</v>
      </c>
      <c r="H82" s="23" t="s">
        <v>34</v>
      </c>
      <c r="I82" s="23" t="s">
        <v>43</v>
      </c>
      <c r="J82" s="25">
        <v>2.0</v>
      </c>
      <c r="K82" s="25" t="s">
        <v>311</v>
      </c>
      <c r="L82" s="26" t="s">
        <v>463</v>
      </c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>
        <v>500000.0</v>
      </c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>
        <f t="shared" si="2"/>
        <v>0</v>
      </c>
      <c r="BD82" s="27">
        <f t="shared" si="3"/>
        <v>500000</v>
      </c>
      <c r="BE82" s="27">
        <f t="shared" si="4"/>
        <v>0</v>
      </c>
      <c r="BF82" s="27">
        <f t="shared" si="5"/>
        <v>500000</v>
      </c>
      <c r="BG82" s="24"/>
      <c r="BH82" s="24"/>
      <c r="BI82" s="24"/>
      <c r="BJ82" s="21" t="s">
        <v>34</v>
      </c>
      <c r="BK82" s="21" t="s">
        <v>43</v>
      </c>
      <c r="BL82" s="33">
        <v>460000.0</v>
      </c>
    </row>
    <row r="83">
      <c r="A83" s="12">
        <f t="shared" si="1"/>
        <v>81</v>
      </c>
      <c r="B83" s="13" t="s">
        <v>464</v>
      </c>
      <c r="C83" s="14">
        <v>2.025070555E9</v>
      </c>
      <c r="D83" s="15" t="s">
        <v>465</v>
      </c>
      <c r="E83" s="15" t="s">
        <v>466</v>
      </c>
      <c r="F83" s="15" t="s">
        <v>467</v>
      </c>
      <c r="G83" s="16" t="s">
        <v>89</v>
      </c>
      <c r="H83" s="14" t="s">
        <v>34</v>
      </c>
      <c r="I83" s="14" t="s">
        <v>43</v>
      </c>
      <c r="J83" s="16">
        <v>2.0</v>
      </c>
      <c r="K83" s="16" t="s">
        <v>311</v>
      </c>
      <c r="L83" s="17" t="s">
        <v>468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>
        <v>500000.0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>
        <v>500000.0</v>
      </c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>
        <f t="shared" si="2"/>
        <v>0</v>
      </c>
      <c r="BD83" s="18">
        <f t="shared" si="3"/>
        <v>1000000</v>
      </c>
      <c r="BE83" s="18">
        <f t="shared" si="4"/>
        <v>0</v>
      </c>
      <c r="BF83" s="18">
        <f t="shared" si="5"/>
        <v>1000000</v>
      </c>
      <c r="BG83" s="15"/>
      <c r="BH83" s="15"/>
      <c r="BI83" s="15"/>
      <c r="BJ83" s="12" t="s">
        <v>34</v>
      </c>
      <c r="BK83" s="12" t="s">
        <v>43</v>
      </c>
      <c r="BL83" s="32">
        <v>460000.0</v>
      </c>
    </row>
    <row r="84">
      <c r="A84" s="21">
        <f t="shared" si="1"/>
        <v>82</v>
      </c>
      <c r="B84" s="22" t="s">
        <v>469</v>
      </c>
      <c r="C84" s="23">
        <v>2.02507048E9</v>
      </c>
      <c r="D84" s="24" t="s">
        <v>212</v>
      </c>
      <c r="E84" s="24" t="s">
        <v>470</v>
      </c>
      <c r="F84" s="24" t="s">
        <v>471</v>
      </c>
      <c r="G84" s="25" t="s">
        <v>275</v>
      </c>
      <c r="H84" s="23" t="s">
        <v>34</v>
      </c>
      <c r="I84" s="23" t="s">
        <v>152</v>
      </c>
      <c r="J84" s="25">
        <v>2.0</v>
      </c>
      <c r="K84" s="23" t="s">
        <v>227</v>
      </c>
      <c r="L84" s="26" t="s">
        <v>472</v>
      </c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>
        <f t="shared" si="2"/>
        <v>0</v>
      </c>
      <c r="BD84" s="27">
        <f t="shared" si="3"/>
        <v>0</v>
      </c>
      <c r="BE84" s="27">
        <f t="shared" si="4"/>
        <v>0</v>
      </c>
      <c r="BF84" s="27">
        <f t="shared" si="5"/>
        <v>0</v>
      </c>
      <c r="BG84" s="24"/>
      <c r="BH84" s="24"/>
      <c r="BI84" s="24"/>
      <c r="BJ84" s="21" t="s">
        <v>34</v>
      </c>
      <c r="BK84" s="21" t="s">
        <v>152</v>
      </c>
      <c r="BL84" s="30">
        <v>270000.0</v>
      </c>
    </row>
    <row r="85">
      <c r="A85" s="12">
        <f t="shared" si="1"/>
        <v>83</v>
      </c>
      <c r="B85" s="13" t="s">
        <v>473</v>
      </c>
      <c r="C85" s="14">
        <v>2.025070609E9</v>
      </c>
      <c r="D85" s="15" t="s">
        <v>474</v>
      </c>
      <c r="E85" s="15" t="s">
        <v>475</v>
      </c>
      <c r="F85" s="15" t="s">
        <v>476</v>
      </c>
      <c r="G85" s="16" t="s">
        <v>151</v>
      </c>
      <c r="H85" s="14" t="s">
        <v>34</v>
      </c>
      <c r="I85" s="14" t="s">
        <v>152</v>
      </c>
      <c r="J85" s="16">
        <v>2.0</v>
      </c>
      <c r="K85" s="14" t="s">
        <v>227</v>
      </c>
      <c r="L85" s="17" t="s">
        <v>477</v>
      </c>
      <c r="M85" s="18"/>
      <c r="N85" s="18"/>
      <c r="O85" s="18"/>
      <c r="P85" s="18"/>
      <c r="Q85" s="18"/>
      <c r="R85" s="18"/>
      <c r="S85" s="18"/>
      <c r="T85" s="18">
        <v>450000.0</v>
      </c>
      <c r="U85" s="18">
        <v>450000.0</v>
      </c>
      <c r="V85" s="18">
        <v>450000.0</v>
      </c>
      <c r="W85" s="18">
        <v>450000.0</v>
      </c>
      <c r="X85" s="18">
        <v>450000.0</v>
      </c>
      <c r="Y85" s="18">
        <v>450000.0</v>
      </c>
      <c r="Z85" s="18">
        <v>450000.0</v>
      </c>
      <c r="AA85" s="18"/>
      <c r="AB85" s="18">
        <v>500000.0</v>
      </c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>
        <v>500000.0</v>
      </c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>
        <f t="shared" si="2"/>
        <v>3150000</v>
      </c>
      <c r="BD85" s="18">
        <f t="shared" si="3"/>
        <v>1000000</v>
      </c>
      <c r="BE85" s="18">
        <f t="shared" si="4"/>
        <v>0</v>
      </c>
      <c r="BF85" s="18">
        <f t="shared" si="5"/>
        <v>4150000</v>
      </c>
      <c r="BG85" s="15"/>
      <c r="BH85" s="15"/>
      <c r="BI85" s="15"/>
      <c r="BJ85" s="12" t="s">
        <v>34</v>
      </c>
      <c r="BK85" s="12" t="s">
        <v>152</v>
      </c>
      <c r="BL85" s="32">
        <v>460000.0</v>
      </c>
    </row>
    <row r="86">
      <c r="A86" s="21">
        <f t="shared" si="1"/>
        <v>84</v>
      </c>
      <c r="B86" s="22" t="s">
        <v>478</v>
      </c>
      <c r="C86" s="23">
        <v>2.02507007E9</v>
      </c>
      <c r="D86" s="24" t="s">
        <v>479</v>
      </c>
      <c r="E86" s="24" t="s">
        <v>480</v>
      </c>
      <c r="F86" s="24" t="s">
        <v>481</v>
      </c>
      <c r="G86" s="25" t="s">
        <v>361</v>
      </c>
      <c r="H86" s="23" t="s">
        <v>34</v>
      </c>
      <c r="I86" s="23" t="s">
        <v>35</v>
      </c>
      <c r="J86" s="25">
        <v>2.0</v>
      </c>
      <c r="K86" s="25" t="s">
        <v>367</v>
      </c>
      <c r="L86" s="26" t="s">
        <v>482</v>
      </c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>
        <v>450000.0</v>
      </c>
      <c r="AA86" s="27"/>
      <c r="AB86" s="27">
        <v>500000.0</v>
      </c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>
        <v>500000.0</v>
      </c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>
        <f t="shared" si="2"/>
        <v>450000</v>
      </c>
      <c r="BD86" s="27">
        <f t="shared" si="3"/>
        <v>1000000</v>
      </c>
      <c r="BE86" s="27">
        <f t="shared" si="4"/>
        <v>0</v>
      </c>
      <c r="BF86" s="27">
        <f t="shared" si="5"/>
        <v>1450000</v>
      </c>
      <c r="BG86" s="24"/>
      <c r="BH86" s="24"/>
      <c r="BI86" s="24"/>
      <c r="BJ86" s="21" t="s">
        <v>34</v>
      </c>
      <c r="BK86" s="21" t="s">
        <v>35</v>
      </c>
      <c r="BL86" s="33">
        <v>460000.0</v>
      </c>
    </row>
    <row r="87">
      <c r="A87" s="12">
        <f t="shared" si="1"/>
        <v>85</v>
      </c>
      <c r="B87" s="13" t="s">
        <v>483</v>
      </c>
      <c r="C87" s="14">
        <v>2.025070429E9</v>
      </c>
      <c r="D87" s="15" t="s">
        <v>484</v>
      </c>
      <c r="E87" s="15" t="s">
        <v>485</v>
      </c>
      <c r="F87" s="15" t="s">
        <v>486</v>
      </c>
      <c r="G87" s="16" t="s">
        <v>101</v>
      </c>
      <c r="H87" s="14" t="s">
        <v>34</v>
      </c>
      <c r="I87" s="14" t="s">
        <v>114</v>
      </c>
      <c r="J87" s="16">
        <v>2.0</v>
      </c>
      <c r="K87" s="16" t="s">
        <v>367</v>
      </c>
      <c r="L87" s="17" t="s">
        <v>487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>
        <v>450000.0</v>
      </c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>
        <f t="shared" si="2"/>
        <v>450000</v>
      </c>
      <c r="BD87" s="18">
        <f t="shared" si="3"/>
        <v>0</v>
      </c>
      <c r="BE87" s="18">
        <f t="shared" si="4"/>
        <v>0</v>
      </c>
      <c r="BF87" s="18">
        <f t="shared" si="5"/>
        <v>450000</v>
      </c>
      <c r="BG87" s="15"/>
      <c r="BH87" s="15"/>
      <c r="BI87" s="15"/>
      <c r="BJ87" s="12" t="s">
        <v>34</v>
      </c>
      <c r="BK87" s="12" t="s">
        <v>114</v>
      </c>
      <c r="BL87" s="32">
        <v>460000.0</v>
      </c>
    </row>
    <row r="88">
      <c r="A88" s="21">
        <f t="shared" si="1"/>
        <v>86</v>
      </c>
      <c r="B88" s="22" t="s">
        <v>488</v>
      </c>
      <c r="C88" s="23">
        <v>2.025070065E9</v>
      </c>
      <c r="D88" s="24" t="s">
        <v>489</v>
      </c>
      <c r="E88" s="24" t="s">
        <v>490</v>
      </c>
      <c r="F88" s="24" t="s">
        <v>491</v>
      </c>
      <c r="G88" s="25" t="s">
        <v>361</v>
      </c>
      <c r="H88" s="23" t="s">
        <v>34</v>
      </c>
      <c r="I88" s="23" t="s">
        <v>35</v>
      </c>
      <c r="J88" s="25">
        <v>2.0</v>
      </c>
      <c r="K88" s="25" t="s">
        <v>367</v>
      </c>
      <c r="L88" s="26" t="s">
        <v>492</v>
      </c>
      <c r="M88" s="27"/>
      <c r="N88" s="27"/>
      <c r="O88" s="27"/>
      <c r="P88" s="27">
        <v>450000.0</v>
      </c>
      <c r="Q88" s="27">
        <v>450000.0</v>
      </c>
      <c r="R88" s="27">
        <v>450000.0</v>
      </c>
      <c r="S88" s="27">
        <v>450000.0</v>
      </c>
      <c r="T88" s="27">
        <v>450000.0</v>
      </c>
      <c r="U88" s="27">
        <v>450000.0</v>
      </c>
      <c r="V88" s="27">
        <v>450000.0</v>
      </c>
      <c r="W88" s="27">
        <v>450000.0</v>
      </c>
      <c r="X88" s="27">
        <v>450000.0</v>
      </c>
      <c r="Y88" s="27">
        <v>450000.0</v>
      </c>
      <c r="Z88" s="27">
        <v>450000.0</v>
      </c>
      <c r="AA88" s="27"/>
      <c r="AB88" s="27">
        <v>500000.0</v>
      </c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>
        <v>500000.0</v>
      </c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>
        <f t="shared" si="2"/>
        <v>4950000</v>
      </c>
      <c r="BD88" s="27">
        <f t="shared" si="3"/>
        <v>1000000</v>
      </c>
      <c r="BE88" s="27">
        <f t="shared" si="4"/>
        <v>0</v>
      </c>
      <c r="BF88" s="27">
        <f t="shared" si="5"/>
        <v>5950000</v>
      </c>
      <c r="BG88" s="24"/>
      <c r="BH88" s="24"/>
      <c r="BI88" s="24"/>
      <c r="BJ88" s="21" t="s">
        <v>34</v>
      </c>
      <c r="BK88" s="21" t="s">
        <v>35</v>
      </c>
      <c r="BL88" s="33">
        <v>460000.0</v>
      </c>
    </row>
    <row r="89">
      <c r="A89" s="12">
        <f t="shared" si="1"/>
        <v>87</v>
      </c>
      <c r="B89" s="13" t="s">
        <v>493</v>
      </c>
      <c r="C89" s="14">
        <v>2.025070497E9</v>
      </c>
      <c r="D89" s="15" t="s">
        <v>494</v>
      </c>
      <c r="E89" s="15" t="s">
        <v>495</v>
      </c>
      <c r="F89" s="15" t="s">
        <v>496</v>
      </c>
      <c r="G89" s="16" t="s">
        <v>82</v>
      </c>
      <c r="H89" s="14" t="s">
        <v>34</v>
      </c>
      <c r="I89" s="14" t="s">
        <v>43</v>
      </c>
      <c r="J89" s="16">
        <v>2.0</v>
      </c>
      <c r="K89" s="16" t="s">
        <v>311</v>
      </c>
      <c r="L89" s="17" t="s">
        <v>497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>
        <v>500000.0</v>
      </c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>
        <v>500000.0</v>
      </c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>
        <f t="shared" si="2"/>
        <v>0</v>
      </c>
      <c r="BD89" s="18">
        <f t="shared" si="3"/>
        <v>1000000</v>
      </c>
      <c r="BE89" s="18">
        <f t="shared" si="4"/>
        <v>0</v>
      </c>
      <c r="BF89" s="18">
        <f t="shared" si="5"/>
        <v>1000000</v>
      </c>
      <c r="BG89" s="15"/>
      <c r="BH89" s="15"/>
      <c r="BI89" s="15"/>
      <c r="BJ89" s="12" t="s">
        <v>34</v>
      </c>
      <c r="BK89" s="12" t="s">
        <v>43</v>
      </c>
      <c r="BL89" s="32">
        <v>460000.0</v>
      </c>
    </row>
    <row r="90">
      <c r="A90" s="21">
        <f t="shared" si="1"/>
        <v>88</v>
      </c>
      <c r="B90" s="22" t="s">
        <v>498</v>
      </c>
      <c r="C90" s="23">
        <v>2.02507004E9</v>
      </c>
      <c r="D90" s="24" t="s">
        <v>499</v>
      </c>
      <c r="E90" s="24" t="s">
        <v>500</v>
      </c>
      <c r="F90" s="24" t="s">
        <v>467</v>
      </c>
      <c r="G90" s="25" t="s">
        <v>402</v>
      </c>
      <c r="H90" s="23" t="s">
        <v>34</v>
      </c>
      <c r="I90" s="23" t="s">
        <v>35</v>
      </c>
      <c r="J90" s="25">
        <v>2.0</v>
      </c>
      <c r="K90" s="25" t="s">
        <v>367</v>
      </c>
      <c r="L90" s="26" t="s">
        <v>501</v>
      </c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>
        <v>500000.0</v>
      </c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>
        <v>500000.0</v>
      </c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>
        <f t="shared" si="2"/>
        <v>0</v>
      </c>
      <c r="BD90" s="27">
        <f t="shared" si="3"/>
        <v>1000000</v>
      </c>
      <c r="BE90" s="27">
        <f t="shared" si="4"/>
        <v>0</v>
      </c>
      <c r="BF90" s="27">
        <f t="shared" si="5"/>
        <v>1000000</v>
      </c>
      <c r="BG90" s="24"/>
      <c r="BH90" s="24"/>
      <c r="BI90" s="24"/>
      <c r="BJ90" s="21" t="s">
        <v>34</v>
      </c>
      <c r="BK90" s="21" t="s">
        <v>35</v>
      </c>
      <c r="BL90" s="33">
        <v>460000.0</v>
      </c>
    </row>
    <row r="91">
      <c r="A91" s="12">
        <f t="shared" si="1"/>
        <v>89</v>
      </c>
      <c r="B91" s="13" t="s">
        <v>502</v>
      </c>
      <c r="C91" s="14">
        <v>2.025070452E9</v>
      </c>
      <c r="D91" s="15" t="s">
        <v>503</v>
      </c>
      <c r="E91" s="15" t="s">
        <v>504</v>
      </c>
      <c r="F91" s="15" t="s">
        <v>505</v>
      </c>
      <c r="G91" s="16" t="s">
        <v>113</v>
      </c>
      <c r="H91" s="14" t="s">
        <v>34</v>
      </c>
      <c r="I91" s="14" t="s">
        <v>35</v>
      </c>
      <c r="J91" s="16">
        <v>2.0</v>
      </c>
      <c r="K91" s="16" t="s">
        <v>367</v>
      </c>
      <c r="L91" s="17" t="s">
        <v>506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>
        <v>500000.0</v>
      </c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>
        <v>500000.0</v>
      </c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>
        <f t="shared" si="2"/>
        <v>0</v>
      </c>
      <c r="BD91" s="18">
        <f t="shared" si="3"/>
        <v>1000000</v>
      </c>
      <c r="BE91" s="18">
        <f t="shared" si="4"/>
        <v>0</v>
      </c>
      <c r="BF91" s="18">
        <f t="shared" si="5"/>
        <v>1000000</v>
      </c>
      <c r="BG91" s="15"/>
      <c r="BH91" s="15"/>
      <c r="BI91" s="15"/>
      <c r="BJ91" s="12" t="s">
        <v>34</v>
      </c>
      <c r="BK91" s="12" t="s">
        <v>35</v>
      </c>
      <c r="BL91" s="32">
        <v>460000.0</v>
      </c>
    </row>
    <row r="92">
      <c r="A92" s="21">
        <f t="shared" si="1"/>
        <v>90</v>
      </c>
      <c r="B92" s="22" t="s">
        <v>507</v>
      </c>
      <c r="C92" s="23">
        <v>2.025070059E9</v>
      </c>
      <c r="D92" s="24" t="s">
        <v>508</v>
      </c>
      <c r="E92" s="24" t="s">
        <v>509</v>
      </c>
      <c r="F92" s="24" t="s">
        <v>510</v>
      </c>
      <c r="G92" s="25" t="s">
        <v>361</v>
      </c>
      <c r="H92" s="23" t="s">
        <v>34</v>
      </c>
      <c r="I92" s="23" t="s">
        <v>35</v>
      </c>
      <c r="J92" s="25">
        <v>2.0</v>
      </c>
      <c r="K92" s="25" t="s">
        <v>367</v>
      </c>
      <c r="L92" s="26" t="s">
        <v>511</v>
      </c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>
        <v>450000.0</v>
      </c>
      <c r="Y92" s="27">
        <v>450000.0</v>
      </c>
      <c r="Z92" s="27">
        <v>450000.0</v>
      </c>
      <c r="AA92" s="27"/>
      <c r="AB92" s="27">
        <v>500000.0</v>
      </c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>
        <v>500000.0</v>
      </c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>
        <f t="shared" si="2"/>
        <v>1350000</v>
      </c>
      <c r="BD92" s="27">
        <f t="shared" si="3"/>
        <v>1000000</v>
      </c>
      <c r="BE92" s="27">
        <f t="shared" si="4"/>
        <v>0</v>
      </c>
      <c r="BF92" s="27">
        <f t="shared" si="5"/>
        <v>2350000</v>
      </c>
      <c r="BG92" s="24"/>
      <c r="BH92" s="24"/>
      <c r="BI92" s="24"/>
      <c r="BJ92" s="21" t="s">
        <v>34</v>
      </c>
      <c r="BK92" s="21" t="s">
        <v>35</v>
      </c>
      <c r="BL92" s="33">
        <v>460000.0</v>
      </c>
    </row>
    <row r="93">
      <c r="A93" s="12">
        <f t="shared" si="1"/>
        <v>91</v>
      </c>
      <c r="B93" s="13" t="s">
        <v>512</v>
      </c>
      <c r="C93" s="14">
        <v>2.025070577E9</v>
      </c>
      <c r="D93" s="15" t="s">
        <v>513</v>
      </c>
      <c r="E93" s="15" t="s">
        <v>514</v>
      </c>
      <c r="F93" s="15" t="s">
        <v>515</v>
      </c>
      <c r="G93" s="16" t="s">
        <v>125</v>
      </c>
      <c r="H93" s="14" t="s">
        <v>34</v>
      </c>
      <c r="I93" s="14" t="s">
        <v>43</v>
      </c>
      <c r="J93" s="16">
        <v>2.0</v>
      </c>
      <c r="K93" s="16" t="s">
        <v>311</v>
      </c>
      <c r="L93" s="17" t="s">
        <v>516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>
        <v>500000.0</v>
      </c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>
        <f t="shared" si="2"/>
        <v>0</v>
      </c>
      <c r="BD93" s="18">
        <f t="shared" si="3"/>
        <v>500000</v>
      </c>
      <c r="BE93" s="18">
        <f t="shared" si="4"/>
        <v>0</v>
      </c>
      <c r="BF93" s="18">
        <f t="shared" si="5"/>
        <v>500000</v>
      </c>
      <c r="BG93" s="15"/>
      <c r="BH93" s="15"/>
      <c r="BI93" s="15"/>
      <c r="BJ93" s="12" t="s">
        <v>34</v>
      </c>
      <c r="BK93" s="12" t="s">
        <v>43</v>
      </c>
      <c r="BL93" s="32">
        <v>460000.0</v>
      </c>
    </row>
    <row r="94">
      <c r="A94" s="21">
        <f t="shared" si="1"/>
        <v>92</v>
      </c>
      <c r="B94" s="22" t="s">
        <v>517</v>
      </c>
      <c r="C94" s="23">
        <v>2.025070576E9</v>
      </c>
      <c r="D94" s="24" t="s">
        <v>518</v>
      </c>
      <c r="E94" s="24" t="s">
        <v>519</v>
      </c>
      <c r="F94" s="24" t="s">
        <v>520</v>
      </c>
      <c r="G94" s="25" t="s">
        <v>125</v>
      </c>
      <c r="H94" s="23" t="s">
        <v>34</v>
      </c>
      <c r="I94" s="23" t="s">
        <v>83</v>
      </c>
      <c r="J94" s="25">
        <v>2.0</v>
      </c>
      <c r="K94" s="25" t="s">
        <v>311</v>
      </c>
      <c r="L94" s="26" t="s">
        <v>521</v>
      </c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>
        <v>500000.0</v>
      </c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>
        <v>500000.0</v>
      </c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>
        <f t="shared" si="2"/>
        <v>0</v>
      </c>
      <c r="BD94" s="27">
        <f t="shared" si="3"/>
        <v>1000000</v>
      </c>
      <c r="BE94" s="27">
        <f t="shared" si="4"/>
        <v>0</v>
      </c>
      <c r="BF94" s="27">
        <f t="shared" si="5"/>
        <v>1000000</v>
      </c>
      <c r="BG94" s="24"/>
      <c r="BH94" s="24"/>
      <c r="BI94" s="24"/>
      <c r="BJ94" s="21" t="s">
        <v>34</v>
      </c>
      <c r="BK94" s="21" t="s">
        <v>83</v>
      </c>
      <c r="BL94" s="33">
        <v>460000.0</v>
      </c>
    </row>
    <row r="95">
      <c r="A95" s="12">
        <f t="shared" si="1"/>
        <v>93</v>
      </c>
      <c r="B95" s="13" t="s">
        <v>522</v>
      </c>
      <c r="C95" s="14">
        <v>2.025070608E9</v>
      </c>
      <c r="D95" s="15" t="s">
        <v>523</v>
      </c>
      <c r="E95" s="15" t="s">
        <v>524</v>
      </c>
      <c r="F95" s="15" t="s">
        <v>525</v>
      </c>
      <c r="G95" s="16" t="s">
        <v>82</v>
      </c>
      <c r="H95" s="14" t="s">
        <v>34</v>
      </c>
      <c r="I95" s="14" t="s">
        <v>43</v>
      </c>
      <c r="J95" s="16">
        <v>2.0</v>
      </c>
      <c r="K95" s="16" t="s">
        <v>311</v>
      </c>
      <c r="L95" s="17" t="s">
        <v>526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>
        <v>450000.0</v>
      </c>
      <c r="AA95" s="18"/>
      <c r="AB95" s="18">
        <v>500000.0</v>
      </c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>
        <v>500000.0</v>
      </c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 t="s">
        <v>527</v>
      </c>
      <c r="BC95" s="18">
        <f t="shared" si="2"/>
        <v>450000</v>
      </c>
      <c r="BD95" s="18">
        <f t="shared" si="3"/>
        <v>1000000</v>
      </c>
      <c r="BE95" s="18">
        <f t="shared" si="4"/>
        <v>0</v>
      </c>
      <c r="BF95" s="18">
        <f t="shared" si="5"/>
        <v>1450000</v>
      </c>
      <c r="BG95" s="15"/>
      <c r="BH95" s="15"/>
      <c r="BI95" s="15"/>
      <c r="BJ95" s="12" t="s">
        <v>34</v>
      </c>
      <c r="BK95" s="12" t="s">
        <v>43</v>
      </c>
      <c r="BL95" s="32">
        <v>460000.0</v>
      </c>
    </row>
    <row r="96">
      <c r="A96" s="21">
        <f t="shared" si="1"/>
        <v>94</v>
      </c>
      <c r="B96" s="22" t="s">
        <v>528</v>
      </c>
      <c r="C96" s="23">
        <v>2.025070014E9</v>
      </c>
      <c r="D96" s="24" t="s">
        <v>529</v>
      </c>
      <c r="E96" s="24" t="s">
        <v>530</v>
      </c>
      <c r="F96" s="24" t="s">
        <v>531</v>
      </c>
      <c r="G96" s="25" t="s">
        <v>532</v>
      </c>
      <c r="H96" s="23" t="s">
        <v>34</v>
      </c>
      <c r="I96" s="23" t="s">
        <v>35</v>
      </c>
      <c r="J96" s="25">
        <v>2.0</v>
      </c>
      <c r="K96" s="25" t="s">
        <v>367</v>
      </c>
      <c r="L96" s="26" t="s">
        <v>533</v>
      </c>
      <c r="M96" s="27"/>
      <c r="N96" s="27"/>
      <c r="O96" s="27"/>
      <c r="P96" s="27"/>
      <c r="Q96" s="27"/>
      <c r="R96" s="27"/>
      <c r="S96" s="27"/>
      <c r="T96" s="27"/>
      <c r="U96" s="27">
        <v>450000.0</v>
      </c>
      <c r="V96" s="27">
        <v>450000.0</v>
      </c>
      <c r="W96" s="27">
        <v>450000.0</v>
      </c>
      <c r="X96" s="27">
        <v>450000.0</v>
      </c>
      <c r="Y96" s="27">
        <v>450000.0</v>
      </c>
      <c r="Z96" s="27">
        <v>450000.0</v>
      </c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>
        <f t="shared" si="2"/>
        <v>2700000</v>
      </c>
      <c r="BD96" s="27">
        <f t="shared" si="3"/>
        <v>0</v>
      </c>
      <c r="BE96" s="27">
        <f t="shared" si="4"/>
        <v>0</v>
      </c>
      <c r="BF96" s="27">
        <f t="shared" si="5"/>
        <v>2700000</v>
      </c>
      <c r="BG96" s="24"/>
      <c r="BH96" s="24"/>
      <c r="BI96" s="24"/>
      <c r="BJ96" s="21" t="s">
        <v>34</v>
      </c>
      <c r="BK96" s="21" t="s">
        <v>35</v>
      </c>
      <c r="BL96" s="33">
        <v>460000.0</v>
      </c>
    </row>
    <row r="97">
      <c r="A97" s="12">
        <f t="shared" si="1"/>
        <v>95</v>
      </c>
      <c r="B97" s="13" t="s">
        <v>534</v>
      </c>
      <c r="C97" s="14">
        <v>2.025070537E9</v>
      </c>
      <c r="D97" s="15" t="s">
        <v>535</v>
      </c>
      <c r="E97" s="15" t="s">
        <v>536</v>
      </c>
      <c r="F97" s="15" t="s">
        <v>537</v>
      </c>
      <c r="G97" s="16" t="s">
        <v>89</v>
      </c>
      <c r="H97" s="14" t="s">
        <v>34</v>
      </c>
      <c r="I97" s="14" t="s">
        <v>83</v>
      </c>
      <c r="J97" s="16">
        <v>2.0</v>
      </c>
      <c r="K97" s="16" t="s">
        <v>311</v>
      </c>
      <c r="L97" s="17" t="s">
        <v>538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>
        <v>500000.0</v>
      </c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>
        <v>500000.0</v>
      </c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>
        <f t="shared" si="2"/>
        <v>0</v>
      </c>
      <c r="BD97" s="18">
        <f t="shared" si="3"/>
        <v>1000000</v>
      </c>
      <c r="BE97" s="18">
        <f t="shared" si="4"/>
        <v>0</v>
      </c>
      <c r="BF97" s="18">
        <f t="shared" si="5"/>
        <v>1000000</v>
      </c>
      <c r="BG97" s="15"/>
      <c r="BH97" s="15"/>
      <c r="BI97" s="15"/>
      <c r="BJ97" s="12" t="s">
        <v>34</v>
      </c>
      <c r="BK97" s="12" t="s">
        <v>83</v>
      </c>
      <c r="BL97" s="32">
        <v>460000.0</v>
      </c>
    </row>
    <row r="98">
      <c r="A98" s="21">
        <f t="shared" si="1"/>
        <v>96</v>
      </c>
      <c r="B98" s="22" t="s">
        <v>539</v>
      </c>
      <c r="C98" s="23">
        <v>2.025070505E9</v>
      </c>
      <c r="D98" s="24" t="s">
        <v>540</v>
      </c>
      <c r="E98" s="24" t="s">
        <v>541</v>
      </c>
      <c r="F98" s="24" t="s">
        <v>542</v>
      </c>
      <c r="G98" s="25" t="s">
        <v>95</v>
      </c>
      <c r="H98" s="23" t="s">
        <v>34</v>
      </c>
      <c r="I98" s="23" t="s">
        <v>152</v>
      </c>
      <c r="J98" s="25">
        <v>2.0</v>
      </c>
      <c r="K98" s="23" t="s">
        <v>227</v>
      </c>
      <c r="L98" s="26" t="s">
        <v>543</v>
      </c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>
        <v>450000.0</v>
      </c>
      <c r="AA98" s="27"/>
      <c r="AB98" s="27">
        <v>500000.0</v>
      </c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>
        <v>500000.0</v>
      </c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>
        <f t="shared" si="2"/>
        <v>450000</v>
      </c>
      <c r="BD98" s="27">
        <f t="shared" si="3"/>
        <v>1000000</v>
      </c>
      <c r="BE98" s="27">
        <f t="shared" si="4"/>
        <v>0</v>
      </c>
      <c r="BF98" s="27">
        <f t="shared" si="5"/>
        <v>1450000</v>
      </c>
      <c r="BG98" s="24"/>
      <c r="BH98" s="24"/>
      <c r="BI98" s="24"/>
      <c r="BJ98" s="21" t="s">
        <v>34</v>
      </c>
      <c r="BK98" s="21" t="s">
        <v>152</v>
      </c>
      <c r="BL98" s="33">
        <v>460000.0</v>
      </c>
    </row>
    <row r="99">
      <c r="A99" s="12">
        <f t="shared" si="1"/>
        <v>97</v>
      </c>
      <c r="B99" s="13" t="s">
        <v>544</v>
      </c>
      <c r="C99" s="14">
        <v>2.025070369E9</v>
      </c>
      <c r="D99" s="15" t="s">
        <v>545</v>
      </c>
      <c r="E99" s="15" t="s">
        <v>546</v>
      </c>
      <c r="F99" s="15" t="s">
        <v>547</v>
      </c>
      <c r="G99" s="16" t="s">
        <v>243</v>
      </c>
      <c r="H99" s="14" t="s">
        <v>34</v>
      </c>
      <c r="I99" s="14" t="s">
        <v>35</v>
      </c>
      <c r="J99" s="16">
        <v>2.0</v>
      </c>
      <c r="K99" s="16" t="s">
        <v>367</v>
      </c>
      <c r="L99" s="17" t="s">
        <v>548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>
        <v>500000.0</v>
      </c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>
        <v>500000.0</v>
      </c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>
        <f t="shared" si="2"/>
        <v>0</v>
      </c>
      <c r="BD99" s="18">
        <f t="shared" si="3"/>
        <v>1000000</v>
      </c>
      <c r="BE99" s="18">
        <f t="shared" si="4"/>
        <v>0</v>
      </c>
      <c r="BF99" s="18">
        <f t="shared" si="5"/>
        <v>1000000</v>
      </c>
      <c r="BG99" s="15"/>
      <c r="BH99" s="15"/>
      <c r="BI99" s="15"/>
      <c r="BJ99" s="12" t="s">
        <v>34</v>
      </c>
      <c r="BK99" s="12" t="s">
        <v>35</v>
      </c>
      <c r="BL99" s="32">
        <v>460000.0</v>
      </c>
    </row>
    <row r="100">
      <c r="A100" s="21">
        <f t="shared" si="1"/>
        <v>98</v>
      </c>
      <c r="B100" s="22" t="s">
        <v>549</v>
      </c>
      <c r="C100" s="23">
        <v>2.025070185E9</v>
      </c>
      <c r="D100" s="24" t="s">
        <v>550</v>
      </c>
      <c r="E100" s="24" t="s">
        <v>551</v>
      </c>
      <c r="F100" s="24" t="s">
        <v>552</v>
      </c>
      <c r="G100" s="25" t="s">
        <v>184</v>
      </c>
      <c r="H100" s="23" t="s">
        <v>34</v>
      </c>
      <c r="I100" s="23" t="s">
        <v>114</v>
      </c>
      <c r="J100" s="25">
        <v>2.0</v>
      </c>
      <c r="K100" s="25" t="s">
        <v>367</v>
      </c>
      <c r="L100" s="26" t="s">
        <v>553</v>
      </c>
      <c r="M100" s="27"/>
      <c r="N100" s="27"/>
      <c r="O100" s="27"/>
      <c r="P100" s="27"/>
      <c r="Q100" s="27"/>
      <c r="R100" s="27"/>
      <c r="S100" s="27"/>
      <c r="T100" s="27"/>
      <c r="U100" s="27">
        <v>450000.0</v>
      </c>
      <c r="V100" s="27">
        <v>450000.0</v>
      </c>
      <c r="W100" s="27">
        <v>450000.0</v>
      </c>
      <c r="X100" s="27">
        <v>450000.0</v>
      </c>
      <c r="Y100" s="27">
        <v>450000.0</v>
      </c>
      <c r="Z100" s="27">
        <v>450000.0</v>
      </c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>
        <f t="shared" si="2"/>
        <v>2700000</v>
      </c>
      <c r="BD100" s="27">
        <f t="shared" si="3"/>
        <v>0</v>
      </c>
      <c r="BE100" s="27">
        <f t="shared" si="4"/>
        <v>0</v>
      </c>
      <c r="BF100" s="27">
        <f t="shared" si="5"/>
        <v>2700000</v>
      </c>
      <c r="BG100" s="24"/>
      <c r="BH100" s="24"/>
      <c r="BI100" s="24"/>
      <c r="BJ100" s="21" t="s">
        <v>34</v>
      </c>
      <c r="BK100" s="21" t="s">
        <v>114</v>
      </c>
      <c r="BL100" s="33">
        <v>460000.0</v>
      </c>
    </row>
    <row r="101">
      <c r="A101" s="12">
        <f t="shared" si="1"/>
        <v>99</v>
      </c>
      <c r="B101" s="13" t="s">
        <v>554</v>
      </c>
      <c r="C101" s="14">
        <v>2.025070294E9</v>
      </c>
      <c r="D101" s="15" t="s">
        <v>555</v>
      </c>
      <c r="E101" s="15" t="s">
        <v>556</v>
      </c>
      <c r="F101" s="15" t="s">
        <v>557</v>
      </c>
      <c r="G101" s="16" t="s">
        <v>437</v>
      </c>
      <c r="H101" s="14" t="s">
        <v>34</v>
      </c>
      <c r="I101" s="14" t="s">
        <v>35</v>
      </c>
      <c r="J101" s="16">
        <v>2.0</v>
      </c>
      <c r="K101" s="16" t="s">
        <v>367</v>
      </c>
      <c r="L101" s="17" t="s">
        <v>558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>
        <v>500000.0</v>
      </c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>
        <v>500000.0</v>
      </c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>
        <f t="shared" si="2"/>
        <v>0</v>
      </c>
      <c r="BD101" s="18">
        <f t="shared" si="3"/>
        <v>1000000</v>
      </c>
      <c r="BE101" s="18">
        <f t="shared" si="4"/>
        <v>0</v>
      </c>
      <c r="BF101" s="18">
        <f t="shared" si="5"/>
        <v>1000000</v>
      </c>
      <c r="BG101" s="15"/>
      <c r="BH101" s="15"/>
      <c r="BI101" s="15"/>
      <c r="BJ101" s="12" t="s">
        <v>34</v>
      </c>
      <c r="BK101" s="12" t="s">
        <v>35</v>
      </c>
      <c r="BL101" s="32">
        <v>460000.0</v>
      </c>
    </row>
    <row r="102">
      <c r="A102" s="21">
        <f t="shared" si="1"/>
        <v>100</v>
      </c>
      <c r="B102" s="22" t="s">
        <v>559</v>
      </c>
      <c r="C102" s="23">
        <v>2.025070489E9</v>
      </c>
      <c r="D102" s="24" t="s">
        <v>560</v>
      </c>
      <c r="E102" s="24" t="s">
        <v>561</v>
      </c>
      <c r="F102" s="24" t="s">
        <v>562</v>
      </c>
      <c r="G102" s="25" t="s">
        <v>275</v>
      </c>
      <c r="H102" s="23" t="s">
        <v>34</v>
      </c>
      <c r="I102" s="23" t="s">
        <v>43</v>
      </c>
      <c r="J102" s="25">
        <v>2.0</v>
      </c>
      <c r="K102" s="25" t="s">
        <v>311</v>
      </c>
      <c r="L102" s="26" t="s">
        <v>563</v>
      </c>
      <c r="M102" s="27">
        <v>600000.0</v>
      </c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>
        <f t="shared" si="2"/>
        <v>0</v>
      </c>
      <c r="BD102" s="27">
        <f t="shared" si="3"/>
        <v>600000</v>
      </c>
      <c r="BE102" s="27">
        <f t="shared" si="4"/>
        <v>0</v>
      </c>
      <c r="BF102" s="27">
        <f t="shared" si="5"/>
        <v>600000</v>
      </c>
      <c r="BG102" s="24"/>
      <c r="BH102" s="24"/>
      <c r="BI102" s="24"/>
      <c r="BJ102" s="21" t="s">
        <v>34</v>
      </c>
      <c r="BK102" s="21" t="s">
        <v>43</v>
      </c>
      <c r="BL102" s="33">
        <v>460000.0</v>
      </c>
    </row>
    <row r="103">
      <c r="A103" s="12">
        <f t="shared" si="1"/>
        <v>101</v>
      </c>
      <c r="B103" s="13" t="s">
        <v>564</v>
      </c>
      <c r="C103" s="14">
        <v>2.025070403E9</v>
      </c>
      <c r="D103" s="15" t="s">
        <v>565</v>
      </c>
      <c r="E103" s="15" t="s">
        <v>566</v>
      </c>
      <c r="F103" s="15" t="s">
        <v>567</v>
      </c>
      <c r="G103" s="16" t="s">
        <v>33</v>
      </c>
      <c r="H103" s="14" t="s">
        <v>34</v>
      </c>
      <c r="I103" s="14" t="s">
        <v>35</v>
      </c>
      <c r="J103" s="16">
        <v>2.0</v>
      </c>
      <c r="K103" s="16" t="s">
        <v>36</v>
      </c>
      <c r="L103" s="17" t="s">
        <v>568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>
        <v>500000.0</v>
      </c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>
        <v>500000.0</v>
      </c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>
        <f t="shared" si="2"/>
        <v>0</v>
      </c>
      <c r="BD103" s="18">
        <f t="shared" si="3"/>
        <v>1000000</v>
      </c>
      <c r="BE103" s="18">
        <f t="shared" si="4"/>
        <v>0</v>
      </c>
      <c r="BF103" s="18">
        <f t="shared" si="5"/>
        <v>1000000</v>
      </c>
      <c r="BG103" s="15"/>
      <c r="BH103" s="15"/>
      <c r="BI103" s="15"/>
      <c r="BJ103" s="12" t="s">
        <v>34</v>
      </c>
      <c r="BK103" s="12" t="s">
        <v>35</v>
      </c>
      <c r="BL103" s="32">
        <v>460000.0</v>
      </c>
    </row>
    <row r="104">
      <c r="A104" s="21">
        <f t="shared" si="1"/>
        <v>102</v>
      </c>
      <c r="B104" s="22" t="s">
        <v>569</v>
      </c>
      <c r="C104" s="23">
        <v>2.025070396E9</v>
      </c>
      <c r="D104" s="24" t="s">
        <v>570</v>
      </c>
      <c r="E104" s="24" t="s">
        <v>571</v>
      </c>
      <c r="F104" s="24" t="s">
        <v>183</v>
      </c>
      <c r="G104" s="25" t="s">
        <v>361</v>
      </c>
      <c r="H104" s="23" t="s">
        <v>34</v>
      </c>
      <c r="I104" s="23" t="s">
        <v>35</v>
      </c>
      <c r="J104" s="25">
        <v>2.0</v>
      </c>
      <c r="K104" s="25" t="s">
        <v>367</v>
      </c>
      <c r="L104" s="26" t="s">
        <v>572</v>
      </c>
      <c r="M104" s="27">
        <v>600000.0</v>
      </c>
      <c r="N104" s="27"/>
      <c r="O104" s="27"/>
      <c r="P104" s="27"/>
      <c r="Q104" s="27"/>
      <c r="R104" s="27">
        <v>450000.0</v>
      </c>
      <c r="S104" s="27">
        <v>450000.0</v>
      </c>
      <c r="T104" s="27">
        <v>450000.0</v>
      </c>
      <c r="U104" s="27">
        <v>450000.0</v>
      </c>
      <c r="V104" s="27">
        <v>450000.0</v>
      </c>
      <c r="W104" s="27">
        <v>450000.0</v>
      </c>
      <c r="X104" s="27">
        <v>450000.0</v>
      </c>
      <c r="Y104" s="27">
        <v>450000.0</v>
      </c>
      <c r="Z104" s="27">
        <v>450000.0</v>
      </c>
      <c r="AA104" s="27"/>
      <c r="AB104" s="27">
        <v>500000.0</v>
      </c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>
        <v>500000.0</v>
      </c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>
        <f t="shared" si="2"/>
        <v>4050000</v>
      </c>
      <c r="BD104" s="27">
        <f t="shared" si="3"/>
        <v>1600000</v>
      </c>
      <c r="BE104" s="27">
        <f t="shared" si="4"/>
        <v>0</v>
      </c>
      <c r="BF104" s="27">
        <f t="shared" si="5"/>
        <v>5650000</v>
      </c>
      <c r="BG104" s="24"/>
      <c r="BH104" s="24"/>
      <c r="BI104" s="24"/>
      <c r="BJ104" s="21" t="s">
        <v>34</v>
      </c>
      <c r="BK104" s="21" t="s">
        <v>35</v>
      </c>
      <c r="BL104" s="33">
        <v>460000.0</v>
      </c>
    </row>
    <row r="105">
      <c r="A105" s="12">
        <f t="shared" si="1"/>
        <v>103</v>
      </c>
      <c r="B105" s="13" t="s">
        <v>573</v>
      </c>
      <c r="C105" s="14">
        <v>2.025070501E9</v>
      </c>
      <c r="D105" s="15" t="s">
        <v>574</v>
      </c>
      <c r="E105" s="15" t="s">
        <v>575</v>
      </c>
      <c r="F105" s="15" t="s">
        <v>576</v>
      </c>
      <c r="G105" s="16" t="s">
        <v>42</v>
      </c>
      <c r="H105" s="14" t="s">
        <v>34</v>
      </c>
      <c r="I105" s="14" t="s">
        <v>43</v>
      </c>
      <c r="J105" s="16">
        <v>2.0</v>
      </c>
      <c r="K105" s="16" t="s">
        <v>311</v>
      </c>
      <c r="L105" s="17" t="s">
        <v>577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>
        <v>500000.0</v>
      </c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>
        <v>500000.0</v>
      </c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>
        <f t="shared" si="2"/>
        <v>0</v>
      </c>
      <c r="BD105" s="18">
        <f t="shared" si="3"/>
        <v>1000000</v>
      </c>
      <c r="BE105" s="18">
        <f t="shared" si="4"/>
        <v>0</v>
      </c>
      <c r="BF105" s="18">
        <f t="shared" si="5"/>
        <v>1000000</v>
      </c>
      <c r="BG105" s="15"/>
      <c r="BH105" s="15"/>
      <c r="BI105" s="15"/>
      <c r="BJ105" s="12" t="s">
        <v>34</v>
      </c>
      <c r="BK105" s="12" t="s">
        <v>43</v>
      </c>
      <c r="BL105" s="32">
        <v>460000.0</v>
      </c>
    </row>
    <row r="106">
      <c r="A106" s="21">
        <f t="shared" si="1"/>
        <v>104</v>
      </c>
      <c r="B106" s="22" t="s">
        <v>578</v>
      </c>
      <c r="C106" s="23">
        <v>2.025070351E9</v>
      </c>
      <c r="D106" s="24" t="s">
        <v>579</v>
      </c>
      <c r="E106" s="24" t="s">
        <v>580</v>
      </c>
      <c r="F106" s="24" t="s">
        <v>581</v>
      </c>
      <c r="G106" s="25" t="s">
        <v>33</v>
      </c>
      <c r="H106" s="23" t="s">
        <v>34</v>
      </c>
      <c r="I106" s="23" t="s">
        <v>50</v>
      </c>
      <c r="J106" s="25">
        <v>2.0</v>
      </c>
      <c r="K106" s="25" t="s">
        <v>36</v>
      </c>
      <c r="L106" s="26" t="s">
        <v>582</v>
      </c>
      <c r="M106" s="27">
        <v>600000.0</v>
      </c>
      <c r="N106" s="27">
        <v>200000.0</v>
      </c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>
        <v>500000.0</v>
      </c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>
        <v>500000.0</v>
      </c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>
        <f t="shared" si="2"/>
        <v>0</v>
      </c>
      <c r="BD106" s="27">
        <f t="shared" si="3"/>
        <v>1600000</v>
      </c>
      <c r="BE106" s="27">
        <f t="shared" si="4"/>
        <v>0</v>
      </c>
      <c r="BF106" s="27">
        <f t="shared" si="5"/>
        <v>1600000</v>
      </c>
      <c r="BG106" s="24"/>
      <c r="BH106" s="24"/>
      <c r="BI106" s="24"/>
      <c r="BJ106" s="21" t="s">
        <v>34</v>
      </c>
      <c r="BK106" s="21" t="s">
        <v>50</v>
      </c>
      <c r="BL106" s="33">
        <v>460000.0</v>
      </c>
    </row>
    <row r="107">
      <c r="A107" s="12">
        <f t="shared" si="1"/>
        <v>105</v>
      </c>
      <c r="B107" s="13" t="s">
        <v>583</v>
      </c>
      <c r="C107" s="14">
        <v>2.025070462E9</v>
      </c>
      <c r="D107" s="15" t="s">
        <v>584</v>
      </c>
      <c r="E107" s="15" t="s">
        <v>585</v>
      </c>
      <c r="F107" s="15" t="s">
        <v>586</v>
      </c>
      <c r="G107" s="16" t="s">
        <v>101</v>
      </c>
      <c r="H107" s="14" t="s">
        <v>34</v>
      </c>
      <c r="I107" s="14" t="s">
        <v>35</v>
      </c>
      <c r="J107" s="16">
        <v>2.0</v>
      </c>
      <c r="K107" s="16" t="s">
        <v>367</v>
      </c>
      <c r="L107" s="17" t="s">
        <v>587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>
        <f t="shared" si="2"/>
        <v>0</v>
      </c>
      <c r="BD107" s="18">
        <f t="shared" si="3"/>
        <v>0</v>
      </c>
      <c r="BE107" s="18">
        <f t="shared" si="4"/>
        <v>0</v>
      </c>
      <c r="BF107" s="18">
        <f t="shared" si="5"/>
        <v>0</v>
      </c>
      <c r="BG107" s="15"/>
      <c r="BH107" s="15"/>
      <c r="BI107" s="15"/>
      <c r="BJ107" s="12" t="s">
        <v>34</v>
      </c>
      <c r="BK107" s="12" t="s">
        <v>35</v>
      </c>
      <c r="BL107" s="32">
        <v>460000.0</v>
      </c>
    </row>
    <row r="108">
      <c r="A108" s="21">
        <f t="shared" si="1"/>
        <v>106</v>
      </c>
      <c r="B108" s="22" t="s">
        <v>588</v>
      </c>
      <c r="C108" s="23">
        <v>2.025070378E9</v>
      </c>
      <c r="D108" s="24" t="s">
        <v>589</v>
      </c>
      <c r="E108" s="24" t="s">
        <v>590</v>
      </c>
      <c r="F108" s="24" t="s">
        <v>242</v>
      </c>
      <c r="G108" s="25" t="s">
        <v>591</v>
      </c>
      <c r="H108" s="23" t="s">
        <v>592</v>
      </c>
      <c r="I108" s="23" t="s">
        <v>593</v>
      </c>
      <c r="J108" s="25">
        <v>2.0</v>
      </c>
      <c r="K108" s="25" t="s">
        <v>594</v>
      </c>
      <c r="L108" s="26" t="s">
        <v>595</v>
      </c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>
        <f t="shared" si="2"/>
        <v>0</v>
      </c>
      <c r="BD108" s="27">
        <f t="shared" si="3"/>
        <v>0</v>
      </c>
      <c r="BE108" s="27">
        <f t="shared" si="4"/>
        <v>0</v>
      </c>
      <c r="BF108" s="27">
        <f t="shared" si="5"/>
        <v>0</v>
      </c>
      <c r="BG108" s="24"/>
      <c r="BH108" s="24"/>
      <c r="BI108" s="24"/>
      <c r="BJ108" s="21" t="s">
        <v>592</v>
      </c>
      <c r="BK108" s="21" t="s">
        <v>593</v>
      </c>
      <c r="BL108" s="33">
        <v>460000.0</v>
      </c>
    </row>
    <row r="109">
      <c r="A109" s="12">
        <f t="shared" si="1"/>
        <v>107</v>
      </c>
      <c r="B109" s="13" t="s">
        <v>596</v>
      </c>
      <c r="C109" s="14">
        <v>2.025070483E9</v>
      </c>
      <c r="D109" s="15" t="s">
        <v>597</v>
      </c>
      <c r="E109" s="15" t="s">
        <v>598</v>
      </c>
      <c r="F109" s="15" t="s">
        <v>599</v>
      </c>
      <c r="G109" s="16" t="s">
        <v>600</v>
      </c>
      <c r="H109" s="14" t="s">
        <v>592</v>
      </c>
      <c r="I109" s="14" t="s">
        <v>601</v>
      </c>
      <c r="J109" s="16">
        <v>2.0</v>
      </c>
      <c r="K109" s="16" t="s">
        <v>602</v>
      </c>
      <c r="L109" s="17" t="s">
        <v>603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>
        <v>500000.0</v>
      </c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>
        <v>500000.0</v>
      </c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>
        <f t="shared" si="2"/>
        <v>0</v>
      </c>
      <c r="BD109" s="18">
        <f t="shared" si="3"/>
        <v>1000000</v>
      </c>
      <c r="BE109" s="18">
        <f t="shared" si="4"/>
        <v>0</v>
      </c>
      <c r="BF109" s="18">
        <f t="shared" si="5"/>
        <v>1000000</v>
      </c>
      <c r="BG109" s="15"/>
      <c r="BH109" s="15"/>
      <c r="BI109" s="15"/>
      <c r="BJ109" s="12" t="s">
        <v>592</v>
      </c>
      <c r="BK109" s="12" t="s">
        <v>601</v>
      </c>
      <c r="BL109" s="32">
        <v>460000.0</v>
      </c>
    </row>
    <row r="110">
      <c r="A110" s="21">
        <f t="shared" si="1"/>
        <v>108</v>
      </c>
      <c r="B110" s="22" t="s">
        <v>604</v>
      </c>
      <c r="C110" s="23">
        <v>2.025070543E9</v>
      </c>
      <c r="D110" s="24" t="s">
        <v>605</v>
      </c>
      <c r="E110" s="24" t="s">
        <v>606</v>
      </c>
      <c r="F110" s="24" t="s">
        <v>607</v>
      </c>
      <c r="G110" s="25" t="s">
        <v>82</v>
      </c>
      <c r="H110" s="23" t="s">
        <v>592</v>
      </c>
      <c r="I110" s="23" t="s">
        <v>608</v>
      </c>
      <c r="J110" s="25">
        <v>2.0</v>
      </c>
      <c r="K110" s="25" t="s">
        <v>609</v>
      </c>
      <c r="L110" s="26" t="s">
        <v>610</v>
      </c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>
        <v>500000.0</v>
      </c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>
        <v>500000.0</v>
      </c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>
        <f t="shared" si="2"/>
        <v>0</v>
      </c>
      <c r="BD110" s="27">
        <f t="shared" si="3"/>
        <v>1000000</v>
      </c>
      <c r="BE110" s="27">
        <f t="shared" si="4"/>
        <v>0</v>
      </c>
      <c r="BF110" s="27">
        <f t="shared" si="5"/>
        <v>1000000</v>
      </c>
      <c r="BG110" s="24"/>
      <c r="BH110" s="24"/>
      <c r="BI110" s="24"/>
      <c r="BJ110" s="21" t="s">
        <v>592</v>
      </c>
      <c r="BK110" s="21" t="s">
        <v>608</v>
      </c>
      <c r="BL110" s="33">
        <v>460000.0</v>
      </c>
    </row>
    <row r="111">
      <c r="A111" s="12">
        <f t="shared" si="1"/>
        <v>109</v>
      </c>
      <c r="B111" s="13" t="s">
        <v>611</v>
      </c>
      <c r="C111" s="14">
        <v>2.025070662E9</v>
      </c>
      <c r="D111" s="15" t="s">
        <v>612</v>
      </c>
      <c r="E111" s="15" t="s">
        <v>613</v>
      </c>
      <c r="F111" s="15" t="s">
        <v>614</v>
      </c>
      <c r="G111" s="16" t="s">
        <v>615</v>
      </c>
      <c r="H111" s="14" t="s">
        <v>592</v>
      </c>
      <c r="I111" s="14" t="s">
        <v>616</v>
      </c>
      <c r="J111" s="16">
        <v>2.0</v>
      </c>
      <c r="K111" s="16" t="s">
        <v>617</v>
      </c>
      <c r="L111" s="17" t="s">
        <v>618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>
        <f t="shared" si="2"/>
        <v>0</v>
      </c>
      <c r="BD111" s="18">
        <f t="shared" si="3"/>
        <v>0</v>
      </c>
      <c r="BE111" s="18">
        <f t="shared" si="4"/>
        <v>0</v>
      </c>
      <c r="BF111" s="18">
        <f t="shared" si="5"/>
        <v>0</v>
      </c>
      <c r="BG111" s="15"/>
      <c r="BH111" s="15"/>
      <c r="BI111" s="15"/>
      <c r="BJ111" s="12" t="s">
        <v>592</v>
      </c>
      <c r="BK111" s="12" t="s">
        <v>616</v>
      </c>
      <c r="BL111" s="32">
        <v>460000.0</v>
      </c>
    </row>
    <row r="112">
      <c r="A112" s="21">
        <f t="shared" si="1"/>
        <v>110</v>
      </c>
      <c r="B112" s="22" t="s">
        <v>619</v>
      </c>
      <c r="C112" s="23">
        <v>2.025070488E9</v>
      </c>
      <c r="D112" s="24" t="s">
        <v>620</v>
      </c>
      <c r="E112" s="24" t="s">
        <v>606</v>
      </c>
      <c r="F112" s="24" t="s">
        <v>621</v>
      </c>
      <c r="G112" s="25" t="s">
        <v>275</v>
      </c>
      <c r="H112" s="23" t="s">
        <v>592</v>
      </c>
      <c r="I112" s="23" t="s">
        <v>616</v>
      </c>
      <c r="J112" s="25">
        <v>2.0</v>
      </c>
      <c r="K112" s="25" t="s">
        <v>609</v>
      </c>
      <c r="L112" s="26" t="s">
        <v>622</v>
      </c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>
        <f t="shared" si="2"/>
        <v>0</v>
      </c>
      <c r="BD112" s="27">
        <f t="shared" si="3"/>
        <v>0</v>
      </c>
      <c r="BE112" s="27">
        <f t="shared" si="4"/>
        <v>0</v>
      </c>
      <c r="BF112" s="27">
        <f t="shared" si="5"/>
        <v>0</v>
      </c>
      <c r="BG112" s="24"/>
      <c r="BH112" s="24"/>
      <c r="BI112" s="24"/>
      <c r="BJ112" s="21" t="s">
        <v>592</v>
      </c>
      <c r="BK112" s="21" t="s">
        <v>616</v>
      </c>
      <c r="BL112" s="33">
        <v>460000.0</v>
      </c>
    </row>
    <row r="113">
      <c r="A113" s="12">
        <f t="shared" si="1"/>
        <v>111</v>
      </c>
      <c r="B113" s="13" t="s">
        <v>623</v>
      </c>
      <c r="C113" s="14">
        <v>2.025070542E9</v>
      </c>
      <c r="D113" s="15" t="s">
        <v>624</v>
      </c>
      <c r="E113" s="15" t="s">
        <v>625</v>
      </c>
      <c r="F113" s="15" t="s">
        <v>626</v>
      </c>
      <c r="G113" s="16" t="s">
        <v>215</v>
      </c>
      <c r="H113" s="14" t="s">
        <v>592</v>
      </c>
      <c r="I113" s="14" t="s">
        <v>608</v>
      </c>
      <c r="J113" s="16">
        <v>2.0</v>
      </c>
      <c r="K113" s="16" t="s">
        <v>627</v>
      </c>
      <c r="L113" s="17" t="s">
        <v>628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 t="s">
        <v>629</v>
      </c>
      <c r="Y113" s="18">
        <v>450000.0</v>
      </c>
      <c r="Z113" s="18">
        <v>450000.0</v>
      </c>
      <c r="AA113" s="18"/>
      <c r="AB113" s="18">
        <v>500000.0</v>
      </c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>
        <v>500000.0</v>
      </c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>
        <f t="shared" si="2"/>
        <v>900000</v>
      </c>
      <c r="BD113" s="18">
        <f t="shared" si="3"/>
        <v>1000000</v>
      </c>
      <c r="BE113" s="18">
        <f t="shared" si="4"/>
        <v>0</v>
      </c>
      <c r="BF113" s="18">
        <f t="shared" si="5"/>
        <v>1900000</v>
      </c>
      <c r="BG113" s="15"/>
      <c r="BH113" s="15"/>
      <c r="BI113" s="15"/>
      <c r="BJ113" s="12" t="s">
        <v>592</v>
      </c>
      <c r="BK113" s="12" t="s">
        <v>608</v>
      </c>
      <c r="BL113" s="32">
        <v>460000.0</v>
      </c>
    </row>
    <row r="114">
      <c r="A114" s="21">
        <f t="shared" si="1"/>
        <v>112</v>
      </c>
      <c r="B114" s="22" t="s">
        <v>630</v>
      </c>
      <c r="C114" s="23">
        <v>2.025070649E9</v>
      </c>
      <c r="D114" s="24" t="s">
        <v>631</v>
      </c>
      <c r="E114" s="24" t="s">
        <v>632</v>
      </c>
      <c r="F114" s="24" t="s">
        <v>633</v>
      </c>
      <c r="G114" s="25" t="s">
        <v>125</v>
      </c>
      <c r="H114" s="23" t="s">
        <v>592</v>
      </c>
      <c r="I114" s="23" t="s">
        <v>608</v>
      </c>
      <c r="J114" s="25">
        <v>2.0</v>
      </c>
      <c r="K114" s="25" t="s">
        <v>609</v>
      </c>
      <c r="L114" s="26" t="s">
        <v>634</v>
      </c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>
        <v>450000.0</v>
      </c>
      <c r="Z114" s="27">
        <v>450000.0</v>
      </c>
      <c r="AA114" s="27"/>
      <c r="AB114" s="27">
        <v>500000.0</v>
      </c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>
        <v>500000.0</v>
      </c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>
        <f t="shared" si="2"/>
        <v>900000</v>
      </c>
      <c r="BD114" s="27">
        <f t="shared" si="3"/>
        <v>1000000</v>
      </c>
      <c r="BE114" s="27">
        <f t="shared" si="4"/>
        <v>0</v>
      </c>
      <c r="BF114" s="27">
        <f t="shared" si="5"/>
        <v>1900000</v>
      </c>
      <c r="BG114" s="24"/>
      <c r="BH114" s="24"/>
      <c r="BI114" s="24"/>
      <c r="BJ114" s="21" t="s">
        <v>592</v>
      </c>
      <c r="BK114" s="21" t="s">
        <v>608</v>
      </c>
      <c r="BL114" s="33">
        <v>460000.0</v>
      </c>
    </row>
    <row r="115">
      <c r="A115" s="12">
        <f t="shared" si="1"/>
        <v>113</v>
      </c>
      <c r="B115" s="13" t="s">
        <v>635</v>
      </c>
      <c r="C115" s="14">
        <v>2.025070017E9</v>
      </c>
      <c r="D115" s="15" t="s">
        <v>636</v>
      </c>
      <c r="E115" s="15" t="s">
        <v>637</v>
      </c>
      <c r="F115" s="15" t="s">
        <v>135</v>
      </c>
      <c r="G115" s="16" t="s">
        <v>243</v>
      </c>
      <c r="H115" s="14" t="s">
        <v>592</v>
      </c>
      <c r="I115" s="14" t="s">
        <v>593</v>
      </c>
      <c r="J115" s="16">
        <v>2.0</v>
      </c>
      <c r="K115" s="16" t="s">
        <v>638</v>
      </c>
      <c r="L115" s="17" t="s">
        <v>639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>
        <v>500000.0</v>
      </c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>
        <v>500000.0</v>
      </c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>
        <f t="shared" si="2"/>
        <v>0</v>
      </c>
      <c r="BD115" s="18">
        <f t="shared" si="3"/>
        <v>1000000</v>
      </c>
      <c r="BE115" s="18">
        <f t="shared" si="4"/>
        <v>0</v>
      </c>
      <c r="BF115" s="18">
        <f t="shared" si="5"/>
        <v>1000000</v>
      </c>
      <c r="BG115" s="15"/>
      <c r="BH115" s="15"/>
      <c r="BI115" s="15"/>
      <c r="BJ115" s="12" t="s">
        <v>592</v>
      </c>
      <c r="BK115" s="12" t="s">
        <v>593</v>
      </c>
      <c r="BL115" s="32">
        <v>460000.0</v>
      </c>
    </row>
    <row r="116">
      <c r="A116" s="21">
        <f t="shared" si="1"/>
        <v>114</v>
      </c>
      <c r="B116" s="22" t="s">
        <v>640</v>
      </c>
      <c r="C116" s="23">
        <v>2.025070502E9</v>
      </c>
      <c r="D116" s="24" t="s">
        <v>641</v>
      </c>
      <c r="E116" s="24" t="s">
        <v>642</v>
      </c>
      <c r="F116" s="24" t="s">
        <v>643</v>
      </c>
      <c r="G116" s="25" t="s">
        <v>275</v>
      </c>
      <c r="H116" s="23" t="s">
        <v>592</v>
      </c>
      <c r="I116" s="23" t="s">
        <v>616</v>
      </c>
      <c r="J116" s="25">
        <v>2.0</v>
      </c>
      <c r="K116" s="25" t="s">
        <v>627</v>
      </c>
      <c r="L116" s="26" t="s">
        <v>644</v>
      </c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>
        <f t="shared" si="2"/>
        <v>0</v>
      </c>
      <c r="BD116" s="27">
        <f t="shared" si="3"/>
        <v>0</v>
      </c>
      <c r="BE116" s="27">
        <f t="shared" si="4"/>
        <v>0</v>
      </c>
      <c r="BF116" s="27">
        <f t="shared" si="5"/>
        <v>0</v>
      </c>
      <c r="BG116" s="24"/>
      <c r="BH116" s="24"/>
      <c r="BI116" s="24"/>
      <c r="BJ116" s="21" t="s">
        <v>592</v>
      </c>
      <c r="BK116" s="21" t="s">
        <v>616</v>
      </c>
      <c r="BL116" s="33">
        <v>460000.0</v>
      </c>
    </row>
    <row r="117">
      <c r="A117" s="12">
        <f t="shared" si="1"/>
        <v>115</v>
      </c>
      <c r="B117" s="13" t="s">
        <v>645</v>
      </c>
      <c r="C117" s="14">
        <v>2.025070398E9</v>
      </c>
      <c r="D117" s="15" t="s">
        <v>646</v>
      </c>
      <c r="E117" s="15" t="s">
        <v>647</v>
      </c>
      <c r="F117" s="15" t="s">
        <v>486</v>
      </c>
      <c r="G117" s="16" t="s">
        <v>158</v>
      </c>
      <c r="H117" s="14" t="s">
        <v>592</v>
      </c>
      <c r="I117" s="14" t="s">
        <v>593</v>
      </c>
      <c r="J117" s="16">
        <v>2.0</v>
      </c>
      <c r="K117" s="16" t="s">
        <v>594</v>
      </c>
      <c r="L117" s="17" t="s">
        <v>648</v>
      </c>
      <c r="M117" s="18">
        <v>600000.0</v>
      </c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>
        <v>500000.0</v>
      </c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>
        <v>500000.0</v>
      </c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>
        <f t="shared" si="2"/>
        <v>0</v>
      </c>
      <c r="BD117" s="18">
        <f t="shared" si="3"/>
        <v>1600000</v>
      </c>
      <c r="BE117" s="18">
        <f t="shared" si="4"/>
        <v>0</v>
      </c>
      <c r="BF117" s="18">
        <f t="shared" si="5"/>
        <v>1600000</v>
      </c>
      <c r="BG117" s="15"/>
      <c r="BH117" s="15"/>
      <c r="BI117" s="15"/>
      <c r="BJ117" s="12" t="s">
        <v>592</v>
      </c>
      <c r="BK117" s="12" t="s">
        <v>593</v>
      </c>
      <c r="BL117" s="32">
        <v>460000.0</v>
      </c>
    </row>
    <row r="118">
      <c r="A118" s="21">
        <f t="shared" si="1"/>
        <v>116</v>
      </c>
      <c r="B118" s="22" t="s">
        <v>649</v>
      </c>
      <c r="C118" s="23">
        <v>2.025070235E9</v>
      </c>
      <c r="D118" s="24" t="s">
        <v>650</v>
      </c>
      <c r="E118" s="24" t="s">
        <v>651</v>
      </c>
      <c r="F118" s="24" t="s">
        <v>652</v>
      </c>
      <c r="G118" s="25" t="s">
        <v>158</v>
      </c>
      <c r="H118" s="23" t="s">
        <v>592</v>
      </c>
      <c r="I118" s="23" t="s">
        <v>593</v>
      </c>
      <c r="J118" s="25">
        <v>2.0</v>
      </c>
      <c r="K118" s="25" t="s">
        <v>638</v>
      </c>
      <c r="L118" s="26" t="s">
        <v>653</v>
      </c>
      <c r="M118" s="27">
        <v>600000.0</v>
      </c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>
        <v>450000.0</v>
      </c>
      <c r="Z118" s="27">
        <v>450000.0</v>
      </c>
      <c r="AA118" s="27"/>
      <c r="AB118" s="27">
        <v>500000.0</v>
      </c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>
        <v>500000.0</v>
      </c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>
        <f t="shared" si="2"/>
        <v>900000</v>
      </c>
      <c r="BD118" s="27">
        <f t="shared" si="3"/>
        <v>1600000</v>
      </c>
      <c r="BE118" s="27">
        <f t="shared" si="4"/>
        <v>0</v>
      </c>
      <c r="BF118" s="27">
        <f t="shared" si="5"/>
        <v>2500000</v>
      </c>
      <c r="BG118" s="24"/>
      <c r="BH118" s="24"/>
      <c r="BI118" s="24"/>
      <c r="BJ118" s="21" t="s">
        <v>592</v>
      </c>
      <c r="BK118" s="21" t="s">
        <v>593</v>
      </c>
      <c r="BL118" s="33">
        <v>460000.0</v>
      </c>
    </row>
    <row r="119">
      <c r="A119" s="12">
        <f t="shared" si="1"/>
        <v>117</v>
      </c>
      <c r="B119" s="13" t="s">
        <v>654</v>
      </c>
      <c r="C119" s="14">
        <v>2.025070098E9</v>
      </c>
      <c r="D119" s="15" t="s">
        <v>655</v>
      </c>
      <c r="E119" s="15" t="s">
        <v>656</v>
      </c>
      <c r="F119" s="15" t="s">
        <v>657</v>
      </c>
      <c r="G119" s="16" t="s">
        <v>658</v>
      </c>
      <c r="H119" s="14" t="s">
        <v>592</v>
      </c>
      <c r="I119" s="14" t="s">
        <v>593</v>
      </c>
      <c r="J119" s="16">
        <v>2.0</v>
      </c>
      <c r="K119" s="16" t="s">
        <v>594</v>
      </c>
      <c r="L119" s="17" t="s">
        <v>659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>
        <v>450000.0</v>
      </c>
      <c r="Z119" s="18">
        <v>450000.0</v>
      </c>
      <c r="AA119" s="18"/>
      <c r="AB119" s="18">
        <v>200000.0</v>
      </c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>
        <v>500000.0</v>
      </c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>
        <f t="shared" si="2"/>
        <v>900000</v>
      </c>
      <c r="BD119" s="18">
        <f t="shared" si="3"/>
        <v>700000</v>
      </c>
      <c r="BE119" s="18">
        <f t="shared" si="4"/>
        <v>0</v>
      </c>
      <c r="BF119" s="18">
        <f t="shared" si="5"/>
        <v>1600000</v>
      </c>
      <c r="BG119" s="15"/>
      <c r="BH119" s="15"/>
      <c r="BI119" s="15"/>
      <c r="BJ119" s="12" t="s">
        <v>592</v>
      </c>
      <c r="BK119" s="12" t="s">
        <v>593</v>
      </c>
      <c r="BL119" s="32">
        <v>460000.0</v>
      </c>
    </row>
    <row r="120">
      <c r="A120" s="21">
        <f t="shared" si="1"/>
        <v>118</v>
      </c>
      <c r="B120" s="22" t="s">
        <v>660</v>
      </c>
      <c r="C120" s="23">
        <v>2.025070061E9</v>
      </c>
      <c r="D120" s="24" t="s">
        <v>661</v>
      </c>
      <c r="E120" s="24" t="s">
        <v>662</v>
      </c>
      <c r="F120" s="24" t="s">
        <v>663</v>
      </c>
      <c r="G120" s="25" t="s">
        <v>158</v>
      </c>
      <c r="H120" s="23" t="s">
        <v>592</v>
      </c>
      <c r="I120" s="23" t="s">
        <v>593</v>
      </c>
      <c r="J120" s="25">
        <v>2.0</v>
      </c>
      <c r="K120" s="25" t="s">
        <v>594</v>
      </c>
      <c r="L120" s="26" t="s">
        <v>664</v>
      </c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>
        <v>500000.0</v>
      </c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>
        <v>500000.0</v>
      </c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>
        <f t="shared" si="2"/>
        <v>0</v>
      </c>
      <c r="BD120" s="27">
        <f t="shared" si="3"/>
        <v>1000000</v>
      </c>
      <c r="BE120" s="27">
        <f t="shared" si="4"/>
        <v>0</v>
      </c>
      <c r="BF120" s="27">
        <f t="shared" si="5"/>
        <v>1000000</v>
      </c>
      <c r="BG120" s="24"/>
      <c r="BH120" s="24"/>
      <c r="BI120" s="24"/>
      <c r="BJ120" s="21" t="s">
        <v>592</v>
      </c>
      <c r="BK120" s="21" t="s">
        <v>593</v>
      </c>
      <c r="BL120" s="33">
        <v>460000.0</v>
      </c>
    </row>
    <row r="121">
      <c r="A121" s="12">
        <f t="shared" si="1"/>
        <v>119</v>
      </c>
      <c r="B121" s="13" t="s">
        <v>665</v>
      </c>
      <c r="C121" s="14">
        <v>2.025070377E9</v>
      </c>
      <c r="D121" s="15" t="s">
        <v>666</v>
      </c>
      <c r="E121" s="15" t="s">
        <v>667</v>
      </c>
      <c r="F121" s="15" t="s">
        <v>668</v>
      </c>
      <c r="G121" s="16" t="s">
        <v>158</v>
      </c>
      <c r="H121" s="14" t="s">
        <v>592</v>
      </c>
      <c r="I121" s="14" t="s">
        <v>593</v>
      </c>
      <c r="J121" s="16">
        <v>2.0</v>
      </c>
      <c r="K121" s="16" t="s">
        <v>594</v>
      </c>
      <c r="L121" s="17" t="s">
        <v>669</v>
      </c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>
        <f t="shared" si="2"/>
        <v>0</v>
      </c>
      <c r="BD121" s="18">
        <f t="shared" si="3"/>
        <v>0</v>
      </c>
      <c r="BE121" s="18">
        <f t="shared" si="4"/>
        <v>0</v>
      </c>
      <c r="BF121" s="18">
        <f t="shared" si="5"/>
        <v>0</v>
      </c>
      <c r="BG121" s="15"/>
      <c r="BH121" s="15"/>
      <c r="BI121" s="15"/>
      <c r="BJ121" s="12" t="s">
        <v>592</v>
      </c>
      <c r="BK121" s="12" t="s">
        <v>593</v>
      </c>
      <c r="BL121" s="32">
        <v>460000.0</v>
      </c>
    </row>
    <row r="122">
      <c r="A122" s="21">
        <f t="shared" si="1"/>
        <v>120</v>
      </c>
      <c r="B122" s="22" t="s">
        <v>670</v>
      </c>
      <c r="C122" s="23">
        <v>2.02507027E9</v>
      </c>
      <c r="D122" s="24" t="s">
        <v>671</v>
      </c>
      <c r="E122" s="24" t="s">
        <v>672</v>
      </c>
      <c r="F122" s="24" t="s">
        <v>673</v>
      </c>
      <c r="G122" s="25" t="s">
        <v>532</v>
      </c>
      <c r="H122" s="23" t="s">
        <v>592</v>
      </c>
      <c r="I122" s="23" t="s">
        <v>593</v>
      </c>
      <c r="J122" s="25">
        <v>2.0</v>
      </c>
      <c r="K122" s="25" t="s">
        <v>638</v>
      </c>
      <c r="L122" s="26" t="s">
        <v>674</v>
      </c>
      <c r="M122" s="27"/>
      <c r="N122" s="27"/>
      <c r="O122" s="27"/>
      <c r="P122" s="27"/>
      <c r="Q122" s="27"/>
      <c r="R122" s="27" t="s">
        <v>675</v>
      </c>
      <c r="S122" s="27"/>
      <c r="T122" s="27"/>
      <c r="U122" s="27"/>
      <c r="V122" s="27"/>
      <c r="W122" s="27"/>
      <c r="X122" s="27"/>
      <c r="Y122" s="27"/>
      <c r="Z122" s="27"/>
      <c r="AA122" s="27"/>
      <c r="AB122" s="27">
        <v>500000.0</v>
      </c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>
        <v>500000.0</v>
      </c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>
        <f t="shared" si="2"/>
        <v>0</v>
      </c>
      <c r="BD122" s="27">
        <f t="shared" si="3"/>
        <v>1000000</v>
      </c>
      <c r="BE122" s="27">
        <f t="shared" si="4"/>
        <v>0</v>
      </c>
      <c r="BF122" s="27">
        <f t="shared" si="5"/>
        <v>1000000</v>
      </c>
      <c r="BG122" s="24"/>
      <c r="BH122" s="24"/>
      <c r="BI122" s="24"/>
      <c r="BJ122" s="21" t="s">
        <v>592</v>
      </c>
      <c r="BK122" s="21" t="s">
        <v>593</v>
      </c>
      <c r="BL122" s="33">
        <v>460000.0</v>
      </c>
    </row>
    <row r="123">
      <c r="A123" s="12">
        <f t="shared" si="1"/>
        <v>121</v>
      </c>
      <c r="B123" s="13" t="s">
        <v>676</v>
      </c>
      <c r="C123" s="14">
        <v>2.025070047E9</v>
      </c>
      <c r="D123" s="15" t="s">
        <v>677</v>
      </c>
      <c r="E123" s="15" t="s">
        <v>678</v>
      </c>
      <c r="F123" s="15" t="s">
        <v>679</v>
      </c>
      <c r="G123" s="16" t="s">
        <v>361</v>
      </c>
      <c r="H123" s="14" t="s">
        <v>592</v>
      </c>
      <c r="I123" s="14" t="s">
        <v>593</v>
      </c>
      <c r="J123" s="16">
        <v>2.0</v>
      </c>
      <c r="K123" s="16" t="s">
        <v>617</v>
      </c>
      <c r="L123" s="17" t="s">
        <v>680</v>
      </c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>
        <f t="shared" si="2"/>
        <v>0</v>
      </c>
      <c r="BD123" s="18">
        <f t="shared" si="3"/>
        <v>0</v>
      </c>
      <c r="BE123" s="18">
        <f t="shared" si="4"/>
        <v>0</v>
      </c>
      <c r="BF123" s="18">
        <f t="shared" si="5"/>
        <v>0</v>
      </c>
      <c r="BG123" s="15"/>
      <c r="BH123" s="15"/>
      <c r="BI123" s="15"/>
      <c r="BJ123" s="12" t="s">
        <v>592</v>
      </c>
      <c r="BK123" s="12" t="s">
        <v>593</v>
      </c>
      <c r="BL123" s="32">
        <v>460000.0</v>
      </c>
    </row>
    <row r="124">
      <c r="A124" s="21">
        <f t="shared" si="1"/>
        <v>122</v>
      </c>
      <c r="B124" s="22" t="s">
        <v>681</v>
      </c>
      <c r="C124" s="23">
        <v>2.02507049E9</v>
      </c>
      <c r="D124" s="24" t="s">
        <v>682</v>
      </c>
      <c r="E124" s="24" t="s">
        <v>683</v>
      </c>
      <c r="F124" s="24" t="s">
        <v>684</v>
      </c>
      <c r="G124" s="25" t="s">
        <v>600</v>
      </c>
      <c r="H124" s="23" t="s">
        <v>592</v>
      </c>
      <c r="I124" s="23" t="s">
        <v>601</v>
      </c>
      <c r="J124" s="25">
        <v>2.0</v>
      </c>
      <c r="K124" s="25" t="s">
        <v>609</v>
      </c>
      <c r="L124" s="26" t="s">
        <v>685</v>
      </c>
      <c r="M124" s="27">
        <v>600000.0</v>
      </c>
      <c r="N124" s="27">
        <v>200000.0</v>
      </c>
      <c r="O124" s="27">
        <v>450000.0</v>
      </c>
      <c r="P124" s="27">
        <v>450000.0</v>
      </c>
      <c r="Q124" s="27">
        <v>450000.0</v>
      </c>
      <c r="R124" s="27">
        <v>450000.0</v>
      </c>
      <c r="S124" s="27">
        <v>450000.0</v>
      </c>
      <c r="T124" s="27">
        <v>450000.0</v>
      </c>
      <c r="U124" s="27">
        <v>450000.0</v>
      </c>
      <c r="V124" s="27">
        <v>450000.0</v>
      </c>
      <c r="W124" s="27">
        <v>450000.0</v>
      </c>
      <c r="X124" s="27">
        <v>450000.0</v>
      </c>
      <c r="Y124" s="27">
        <v>450000.0</v>
      </c>
      <c r="Z124" s="27">
        <v>450000.0</v>
      </c>
      <c r="AA124" s="27"/>
      <c r="AB124" s="27">
        <v>500000.0</v>
      </c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>
        <v>500000.0</v>
      </c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>
        <f t="shared" si="2"/>
        <v>5400000</v>
      </c>
      <c r="BD124" s="27">
        <f t="shared" si="3"/>
        <v>1600000</v>
      </c>
      <c r="BE124" s="27">
        <f t="shared" si="4"/>
        <v>0</v>
      </c>
      <c r="BF124" s="27">
        <f t="shared" si="5"/>
        <v>7000000</v>
      </c>
      <c r="BG124" s="24"/>
      <c r="BH124" s="24"/>
      <c r="BI124" s="24"/>
      <c r="BJ124" s="21" t="s">
        <v>592</v>
      </c>
      <c r="BK124" s="21" t="s">
        <v>601</v>
      </c>
      <c r="BL124" s="33">
        <v>460000.0</v>
      </c>
    </row>
    <row r="125">
      <c r="A125" s="12">
        <f t="shared" si="1"/>
        <v>123</v>
      </c>
      <c r="B125" s="13" t="s">
        <v>686</v>
      </c>
      <c r="C125" s="14">
        <v>2.025070253E9</v>
      </c>
      <c r="D125" s="15" t="s">
        <v>687</v>
      </c>
      <c r="E125" s="15" t="s">
        <v>688</v>
      </c>
      <c r="F125" s="15" t="s">
        <v>689</v>
      </c>
      <c r="G125" s="16" t="s">
        <v>532</v>
      </c>
      <c r="H125" s="14" t="s">
        <v>592</v>
      </c>
      <c r="I125" s="12"/>
      <c r="J125" s="16">
        <v>2.0</v>
      </c>
      <c r="K125" s="16" t="s">
        <v>638</v>
      </c>
      <c r="L125" s="17" t="s">
        <v>690</v>
      </c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>
        <v>500000.0</v>
      </c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>
        <v>500000.0</v>
      </c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>
        <f t="shared" si="2"/>
        <v>0</v>
      </c>
      <c r="BD125" s="18">
        <f t="shared" si="3"/>
        <v>1000000</v>
      </c>
      <c r="BE125" s="18">
        <f t="shared" si="4"/>
        <v>0</v>
      </c>
      <c r="BF125" s="18">
        <f t="shared" si="5"/>
        <v>1000000</v>
      </c>
      <c r="BG125" s="15"/>
      <c r="BH125" s="15"/>
      <c r="BI125" s="15"/>
      <c r="BJ125" s="12" t="s">
        <v>592</v>
      </c>
      <c r="BK125" s="12"/>
      <c r="BL125" s="32">
        <v>460000.0</v>
      </c>
    </row>
    <row r="126">
      <c r="A126" s="21">
        <f t="shared" si="1"/>
        <v>124</v>
      </c>
      <c r="B126" s="22" t="s">
        <v>691</v>
      </c>
      <c r="C126" s="23">
        <v>2.025070118E9</v>
      </c>
      <c r="D126" s="24" t="s">
        <v>692</v>
      </c>
      <c r="E126" s="24" t="s">
        <v>693</v>
      </c>
      <c r="F126" s="24" t="s">
        <v>694</v>
      </c>
      <c r="G126" s="25" t="s">
        <v>591</v>
      </c>
      <c r="H126" s="23" t="s">
        <v>592</v>
      </c>
      <c r="I126" s="23" t="s">
        <v>695</v>
      </c>
      <c r="J126" s="25">
        <v>2.0</v>
      </c>
      <c r="K126" s="25" t="s">
        <v>594</v>
      </c>
      <c r="L126" s="26" t="s">
        <v>696</v>
      </c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>
        <v>450000.0</v>
      </c>
      <c r="Z126" s="27">
        <v>450000.0</v>
      </c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>
        <f t="shared" si="2"/>
        <v>900000</v>
      </c>
      <c r="BD126" s="27">
        <f t="shared" si="3"/>
        <v>0</v>
      </c>
      <c r="BE126" s="27">
        <f t="shared" si="4"/>
        <v>0</v>
      </c>
      <c r="BF126" s="27">
        <f t="shared" si="5"/>
        <v>900000</v>
      </c>
      <c r="BG126" s="24"/>
      <c r="BH126" s="24"/>
      <c r="BI126" s="24"/>
      <c r="BJ126" s="21" t="s">
        <v>592</v>
      </c>
      <c r="BK126" s="21" t="s">
        <v>695</v>
      </c>
      <c r="BL126" s="33">
        <v>460000.0</v>
      </c>
    </row>
    <row r="127">
      <c r="A127" s="12">
        <f t="shared" si="1"/>
        <v>125</v>
      </c>
      <c r="B127" s="13" t="s">
        <v>697</v>
      </c>
      <c r="C127" s="14">
        <v>2.025070626E9</v>
      </c>
      <c r="D127" s="15" t="s">
        <v>698</v>
      </c>
      <c r="E127" s="15" t="s">
        <v>699</v>
      </c>
      <c r="F127" s="15" t="s">
        <v>700</v>
      </c>
      <c r="G127" s="16" t="s">
        <v>125</v>
      </c>
      <c r="H127" s="14" t="s">
        <v>592</v>
      </c>
      <c r="I127" s="14" t="s">
        <v>608</v>
      </c>
      <c r="J127" s="16">
        <v>2.0</v>
      </c>
      <c r="K127" s="16" t="s">
        <v>609</v>
      </c>
      <c r="L127" s="17" t="s">
        <v>701</v>
      </c>
      <c r="M127" s="18"/>
      <c r="N127" s="18"/>
      <c r="O127" s="18" t="s">
        <v>0</v>
      </c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>
        <v>500000.0</v>
      </c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>
        <v>500000.0</v>
      </c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>
        <f t="shared" si="2"/>
        <v>0</v>
      </c>
      <c r="BD127" s="18">
        <f t="shared" si="3"/>
        <v>1000000</v>
      </c>
      <c r="BE127" s="18">
        <f t="shared" si="4"/>
        <v>0</v>
      </c>
      <c r="BF127" s="18">
        <f t="shared" si="5"/>
        <v>1000000</v>
      </c>
      <c r="BG127" s="15"/>
      <c r="BH127" s="15"/>
      <c r="BI127" s="15"/>
      <c r="BJ127" s="12" t="s">
        <v>592</v>
      </c>
      <c r="BK127" s="12" t="s">
        <v>608</v>
      </c>
      <c r="BL127" s="32">
        <v>460000.0</v>
      </c>
    </row>
    <row r="128">
      <c r="A128" s="21">
        <f t="shared" si="1"/>
        <v>126</v>
      </c>
      <c r="B128" s="22" t="s">
        <v>702</v>
      </c>
      <c r="C128" s="23">
        <v>2.025070119E9</v>
      </c>
      <c r="D128" s="24" t="s">
        <v>703</v>
      </c>
      <c r="E128" s="24" t="s">
        <v>704</v>
      </c>
      <c r="F128" s="24" t="s">
        <v>705</v>
      </c>
      <c r="G128" s="25" t="s">
        <v>33</v>
      </c>
      <c r="H128" s="23" t="s">
        <v>592</v>
      </c>
      <c r="I128" s="23" t="s">
        <v>695</v>
      </c>
      <c r="J128" s="25">
        <v>2.0</v>
      </c>
      <c r="K128" s="25" t="s">
        <v>706</v>
      </c>
      <c r="L128" s="26" t="s">
        <v>707</v>
      </c>
      <c r="M128" s="27">
        <v>600000.0</v>
      </c>
      <c r="N128" s="27"/>
      <c r="O128" s="27"/>
      <c r="P128" s="27">
        <v>450000.0</v>
      </c>
      <c r="Q128" s="27">
        <v>450000.0</v>
      </c>
      <c r="R128" s="27">
        <v>450000.0</v>
      </c>
      <c r="S128" s="27">
        <v>450000.0</v>
      </c>
      <c r="T128" s="27">
        <v>450000.0</v>
      </c>
      <c r="U128" s="27">
        <v>450000.0</v>
      </c>
      <c r="V128" s="27">
        <v>450000.0</v>
      </c>
      <c r="W128" s="27">
        <v>450000.0</v>
      </c>
      <c r="X128" s="27">
        <v>450000.0</v>
      </c>
      <c r="Y128" s="27">
        <v>450000.0</v>
      </c>
      <c r="Z128" s="27">
        <v>450000.0</v>
      </c>
      <c r="AA128" s="27"/>
      <c r="AB128" s="27">
        <v>500000.0</v>
      </c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>
        <v>500000.0</v>
      </c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>
        <f t="shared" si="2"/>
        <v>4950000</v>
      </c>
      <c r="BD128" s="27">
        <f t="shared" si="3"/>
        <v>1600000</v>
      </c>
      <c r="BE128" s="27">
        <f t="shared" si="4"/>
        <v>0</v>
      </c>
      <c r="BF128" s="27">
        <f t="shared" si="5"/>
        <v>6550000</v>
      </c>
      <c r="BG128" s="24"/>
      <c r="BH128" s="24"/>
      <c r="BI128" s="24"/>
      <c r="BJ128" s="21" t="s">
        <v>592</v>
      </c>
      <c r="BK128" s="21" t="s">
        <v>695</v>
      </c>
      <c r="BL128" s="33">
        <v>460000.0</v>
      </c>
    </row>
    <row r="129">
      <c r="A129" s="12">
        <f t="shared" si="1"/>
        <v>127</v>
      </c>
      <c r="B129" s="13" t="s">
        <v>708</v>
      </c>
      <c r="C129" s="14">
        <v>2.025070468E9</v>
      </c>
      <c r="D129" s="15" t="s">
        <v>148</v>
      </c>
      <c r="E129" s="15" t="s">
        <v>709</v>
      </c>
      <c r="F129" s="15" t="s">
        <v>710</v>
      </c>
      <c r="G129" s="16" t="s">
        <v>275</v>
      </c>
      <c r="H129" s="14" t="s">
        <v>592</v>
      </c>
      <c r="I129" s="14" t="s">
        <v>616</v>
      </c>
      <c r="J129" s="16">
        <v>2.0</v>
      </c>
      <c r="K129" s="16" t="s">
        <v>602</v>
      </c>
      <c r="L129" s="17" t="s">
        <v>711</v>
      </c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>
        <f t="shared" si="2"/>
        <v>0</v>
      </c>
      <c r="BD129" s="18">
        <f t="shared" si="3"/>
        <v>0</v>
      </c>
      <c r="BE129" s="18">
        <f t="shared" si="4"/>
        <v>0</v>
      </c>
      <c r="BF129" s="18">
        <f t="shared" si="5"/>
        <v>0</v>
      </c>
      <c r="BG129" s="15"/>
      <c r="BH129" s="15"/>
      <c r="BI129" s="15"/>
      <c r="BJ129" s="12" t="s">
        <v>592</v>
      </c>
      <c r="BK129" s="12" t="s">
        <v>616</v>
      </c>
      <c r="BL129" s="32">
        <v>460000.0</v>
      </c>
    </row>
    <row r="130">
      <c r="A130" s="21">
        <f t="shared" si="1"/>
        <v>128</v>
      </c>
      <c r="B130" s="22" t="s">
        <v>712</v>
      </c>
      <c r="C130" s="23">
        <v>2.025070276E9</v>
      </c>
      <c r="D130" s="24" t="s">
        <v>713</v>
      </c>
      <c r="E130" s="24" t="s">
        <v>714</v>
      </c>
      <c r="F130" s="24" t="s">
        <v>715</v>
      </c>
      <c r="G130" s="25" t="s">
        <v>658</v>
      </c>
      <c r="H130" s="23" t="s">
        <v>592</v>
      </c>
      <c r="I130" s="23" t="s">
        <v>593</v>
      </c>
      <c r="J130" s="25">
        <v>2.0</v>
      </c>
      <c r="K130" s="25" t="s">
        <v>594</v>
      </c>
      <c r="L130" s="26" t="s">
        <v>716</v>
      </c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>
        <v>500000.0</v>
      </c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>
        <v>500000.0</v>
      </c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>
        <f t="shared" si="2"/>
        <v>0</v>
      </c>
      <c r="BD130" s="27">
        <f t="shared" si="3"/>
        <v>1000000</v>
      </c>
      <c r="BE130" s="27">
        <f t="shared" si="4"/>
        <v>0</v>
      </c>
      <c r="BF130" s="27">
        <f t="shared" si="5"/>
        <v>1000000</v>
      </c>
      <c r="BG130" s="24"/>
      <c r="BH130" s="24"/>
      <c r="BI130" s="24"/>
      <c r="BJ130" s="21" t="s">
        <v>592</v>
      </c>
      <c r="BK130" s="21" t="s">
        <v>593</v>
      </c>
      <c r="BL130" s="33">
        <v>460000.0</v>
      </c>
    </row>
    <row r="131">
      <c r="A131" s="12">
        <f t="shared" si="1"/>
        <v>129</v>
      </c>
      <c r="B131" s="13" t="s">
        <v>717</v>
      </c>
      <c r="C131" s="14">
        <v>2.025070484E9</v>
      </c>
      <c r="D131" s="15" t="s">
        <v>718</v>
      </c>
      <c r="E131" s="15" t="s">
        <v>446</v>
      </c>
      <c r="F131" s="15" t="s">
        <v>719</v>
      </c>
      <c r="G131" s="16" t="s">
        <v>600</v>
      </c>
      <c r="H131" s="14" t="s">
        <v>592</v>
      </c>
      <c r="I131" s="14" t="s">
        <v>601</v>
      </c>
      <c r="J131" s="16">
        <v>2.0</v>
      </c>
      <c r="K131" s="16" t="s">
        <v>609</v>
      </c>
      <c r="L131" s="17" t="s">
        <v>720</v>
      </c>
      <c r="M131" s="18">
        <v>600000.0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>
        <v>500000.0</v>
      </c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>
        <v>500000.0</v>
      </c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>
        <f t="shared" si="2"/>
        <v>0</v>
      </c>
      <c r="BD131" s="18">
        <f t="shared" si="3"/>
        <v>1600000</v>
      </c>
      <c r="BE131" s="18">
        <f t="shared" si="4"/>
        <v>0</v>
      </c>
      <c r="BF131" s="18">
        <f t="shared" si="5"/>
        <v>1600000</v>
      </c>
      <c r="BG131" s="15"/>
      <c r="BH131" s="15"/>
      <c r="BI131" s="15"/>
      <c r="BJ131" s="12" t="s">
        <v>592</v>
      </c>
      <c r="BK131" s="12" t="s">
        <v>601</v>
      </c>
      <c r="BL131" s="32">
        <v>460000.0</v>
      </c>
    </row>
    <row r="132">
      <c r="A132" s="21">
        <f t="shared" si="1"/>
        <v>130</v>
      </c>
      <c r="B132" s="22" t="s">
        <v>721</v>
      </c>
      <c r="C132" s="23">
        <v>2.02507009E9</v>
      </c>
      <c r="D132" s="24" t="s">
        <v>722</v>
      </c>
      <c r="E132" s="24" t="s">
        <v>723</v>
      </c>
      <c r="F132" s="24" t="s">
        <v>724</v>
      </c>
      <c r="G132" s="25" t="s">
        <v>243</v>
      </c>
      <c r="H132" s="23" t="s">
        <v>592</v>
      </c>
      <c r="I132" s="23" t="s">
        <v>601</v>
      </c>
      <c r="J132" s="25">
        <v>2.0</v>
      </c>
      <c r="K132" s="25" t="s">
        <v>617</v>
      </c>
      <c r="L132" s="26" t="s">
        <v>725</v>
      </c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>
        <f t="shared" si="2"/>
        <v>0</v>
      </c>
      <c r="BD132" s="27">
        <f t="shared" si="3"/>
        <v>0</v>
      </c>
      <c r="BE132" s="27">
        <f t="shared" si="4"/>
        <v>0</v>
      </c>
      <c r="BF132" s="27">
        <f t="shared" si="5"/>
        <v>0</v>
      </c>
      <c r="BG132" s="24"/>
      <c r="BH132" s="24"/>
      <c r="BI132" s="24"/>
      <c r="BJ132" s="21" t="s">
        <v>592</v>
      </c>
      <c r="BK132" s="21" t="s">
        <v>601</v>
      </c>
      <c r="BL132" s="33">
        <v>460000.0</v>
      </c>
    </row>
    <row r="133">
      <c r="A133" s="12">
        <f t="shared" si="1"/>
        <v>131</v>
      </c>
      <c r="B133" s="13" t="s">
        <v>726</v>
      </c>
      <c r="C133" s="14">
        <v>2.025070005E9</v>
      </c>
      <c r="D133" s="15" t="s">
        <v>727</v>
      </c>
      <c r="E133" s="15" t="s">
        <v>728</v>
      </c>
      <c r="F133" s="15" t="s">
        <v>729</v>
      </c>
      <c r="G133" s="16" t="s">
        <v>243</v>
      </c>
      <c r="H133" s="14" t="s">
        <v>592</v>
      </c>
      <c r="I133" s="14" t="s">
        <v>593</v>
      </c>
      <c r="J133" s="16">
        <v>2.0</v>
      </c>
      <c r="K133" s="16" t="s">
        <v>594</v>
      </c>
      <c r="L133" s="17" t="s">
        <v>730</v>
      </c>
      <c r="M133" s="18"/>
      <c r="N133" s="18"/>
      <c r="O133" s="18"/>
      <c r="P133" s="18"/>
      <c r="Q133" s="18"/>
      <c r="R133" s="18"/>
      <c r="S133" s="18"/>
      <c r="T133" s="18"/>
      <c r="U133" s="18">
        <v>450000.0</v>
      </c>
      <c r="V133" s="18">
        <v>450000.0</v>
      </c>
      <c r="W133" s="18">
        <v>450000.0</v>
      </c>
      <c r="X133" s="18">
        <v>450000.0</v>
      </c>
      <c r="Y133" s="18">
        <v>450000.0</v>
      </c>
      <c r="Z133" s="18">
        <v>450000.0</v>
      </c>
      <c r="AA133" s="18"/>
      <c r="AB133" s="18">
        <v>500000.0</v>
      </c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>
        <v>500000.0</v>
      </c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>
        <f t="shared" si="2"/>
        <v>2700000</v>
      </c>
      <c r="BD133" s="18">
        <f t="shared" si="3"/>
        <v>1000000</v>
      </c>
      <c r="BE133" s="18">
        <f t="shared" si="4"/>
        <v>0</v>
      </c>
      <c r="BF133" s="18">
        <f t="shared" si="5"/>
        <v>3700000</v>
      </c>
      <c r="BG133" s="15"/>
      <c r="BH133" s="15"/>
      <c r="BI133" s="15"/>
      <c r="BJ133" s="12" t="s">
        <v>592</v>
      </c>
      <c r="BK133" s="12" t="s">
        <v>593</v>
      </c>
      <c r="BL133" s="32">
        <v>460000.0</v>
      </c>
    </row>
    <row r="134">
      <c r="A134" s="21">
        <f t="shared" si="1"/>
        <v>132</v>
      </c>
      <c r="B134" s="22" t="s">
        <v>731</v>
      </c>
      <c r="C134" s="23">
        <v>2.025070125E9</v>
      </c>
      <c r="D134" s="24" t="s">
        <v>732</v>
      </c>
      <c r="E134" s="24" t="s">
        <v>733</v>
      </c>
      <c r="F134" s="24" t="s">
        <v>734</v>
      </c>
      <c r="G134" s="25" t="s">
        <v>658</v>
      </c>
      <c r="H134" s="23" t="s">
        <v>592</v>
      </c>
      <c r="I134" s="23" t="s">
        <v>593</v>
      </c>
      <c r="J134" s="25">
        <v>2.0</v>
      </c>
      <c r="K134" s="25" t="s">
        <v>638</v>
      </c>
      <c r="L134" s="26" t="s">
        <v>735</v>
      </c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>
        <v>450000.0</v>
      </c>
      <c r="Y134" s="27">
        <v>450000.0</v>
      </c>
      <c r="Z134" s="27">
        <v>450000.0</v>
      </c>
      <c r="AA134" s="27"/>
      <c r="AB134" s="27">
        <v>500000.0</v>
      </c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>
        <v>500000.0</v>
      </c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>
        <f t="shared" si="2"/>
        <v>1350000</v>
      </c>
      <c r="BD134" s="27">
        <f t="shared" si="3"/>
        <v>1000000</v>
      </c>
      <c r="BE134" s="27">
        <f t="shared" si="4"/>
        <v>0</v>
      </c>
      <c r="BF134" s="27">
        <f t="shared" si="5"/>
        <v>2350000</v>
      </c>
      <c r="BG134" s="24"/>
      <c r="BH134" s="24"/>
      <c r="BI134" s="24"/>
      <c r="BJ134" s="21" t="s">
        <v>592</v>
      </c>
      <c r="BK134" s="21" t="s">
        <v>593</v>
      </c>
      <c r="BL134" s="33">
        <v>460000.0</v>
      </c>
    </row>
    <row r="135">
      <c r="A135" s="12">
        <f t="shared" si="1"/>
        <v>133</v>
      </c>
      <c r="B135" s="13" t="s">
        <v>736</v>
      </c>
      <c r="C135" s="14">
        <v>2.025070204E9</v>
      </c>
      <c r="D135" s="15" t="s">
        <v>737</v>
      </c>
      <c r="E135" s="15" t="s">
        <v>738</v>
      </c>
      <c r="F135" s="15" t="s">
        <v>739</v>
      </c>
      <c r="G135" s="16" t="s">
        <v>437</v>
      </c>
      <c r="H135" s="14" t="s">
        <v>592</v>
      </c>
      <c r="I135" s="14" t="s">
        <v>593</v>
      </c>
      <c r="J135" s="16">
        <v>2.0</v>
      </c>
      <c r="K135" s="16" t="s">
        <v>594</v>
      </c>
      <c r="L135" s="17" t="s">
        <v>740</v>
      </c>
      <c r="M135" s="18">
        <v>600000.0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>
        <v>450000.0</v>
      </c>
      <c r="AA135" s="18"/>
      <c r="AB135" s="18">
        <v>500000.0</v>
      </c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>
        <v>500000.0</v>
      </c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>
        <f t="shared" si="2"/>
        <v>450000</v>
      </c>
      <c r="BD135" s="18">
        <f t="shared" si="3"/>
        <v>1600000</v>
      </c>
      <c r="BE135" s="18">
        <f t="shared" si="4"/>
        <v>0</v>
      </c>
      <c r="BF135" s="18">
        <f t="shared" si="5"/>
        <v>2050000</v>
      </c>
      <c r="BG135" s="15"/>
      <c r="BH135" s="15"/>
      <c r="BI135" s="15"/>
      <c r="BJ135" s="12" t="s">
        <v>592</v>
      </c>
      <c r="BK135" s="12" t="s">
        <v>593</v>
      </c>
      <c r="BL135" s="32">
        <v>460000.0</v>
      </c>
    </row>
    <row r="136">
      <c r="A136" s="21">
        <f t="shared" si="1"/>
        <v>134</v>
      </c>
      <c r="B136" s="22" t="s">
        <v>741</v>
      </c>
      <c r="C136" s="23">
        <v>2.025070074E9</v>
      </c>
      <c r="D136" s="24" t="s">
        <v>742</v>
      </c>
      <c r="E136" s="24" t="s">
        <v>743</v>
      </c>
      <c r="F136" s="24" t="s">
        <v>744</v>
      </c>
      <c r="G136" s="25" t="s">
        <v>532</v>
      </c>
      <c r="H136" s="23" t="s">
        <v>592</v>
      </c>
      <c r="I136" s="23" t="s">
        <v>593</v>
      </c>
      <c r="J136" s="25">
        <v>2.0</v>
      </c>
      <c r="K136" s="25" t="s">
        <v>594</v>
      </c>
      <c r="L136" s="26" t="s">
        <v>745</v>
      </c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>
        <v>500000.0</v>
      </c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>
        <v>500000.0</v>
      </c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>
        <f t="shared" si="2"/>
        <v>0</v>
      </c>
      <c r="BD136" s="27">
        <f t="shared" si="3"/>
        <v>1000000</v>
      </c>
      <c r="BE136" s="27">
        <f t="shared" si="4"/>
        <v>0</v>
      </c>
      <c r="BF136" s="27">
        <f t="shared" si="5"/>
        <v>1000000</v>
      </c>
      <c r="BG136" s="24"/>
      <c r="BH136" s="24"/>
      <c r="BI136" s="24"/>
      <c r="BJ136" s="21" t="s">
        <v>592</v>
      </c>
      <c r="BK136" s="21" t="s">
        <v>593</v>
      </c>
      <c r="BL136" s="33">
        <v>460000.0</v>
      </c>
    </row>
    <row r="137">
      <c r="A137" s="12">
        <f t="shared" si="1"/>
        <v>135</v>
      </c>
      <c r="B137" s="13" t="s">
        <v>746</v>
      </c>
      <c r="C137" s="14">
        <v>2.025070221E9</v>
      </c>
      <c r="D137" s="15" t="s">
        <v>747</v>
      </c>
      <c r="E137" s="15" t="s">
        <v>748</v>
      </c>
      <c r="F137" s="15" t="s">
        <v>749</v>
      </c>
      <c r="G137" s="16" t="s">
        <v>532</v>
      </c>
      <c r="H137" s="14" t="s">
        <v>592</v>
      </c>
      <c r="I137" s="14" t="s">
        <v>593</v>
      </c>
      <c r="J137" s="16">
        <v>2.0</v>
      </c>
      <c r="K137" s="16" t="s">
        <v>594</v>
      </c>
      <c r="L137" s="17" t="s">
        <v>750</v>
      </c>
      <c r="M137" s="18">
        <v>600000.0</v>
      </c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>
        <v>450000.0</v>
      </c>
      <c r="Y137" s="18">
        <v>450000.0</v>
      </c>
      <c r="Z137" s="18">
        <v>450000.0</v>
      </c>
      <c r="AA137" s="18"/>
      <c r="AB137" s="18">
        <v>500000.0</v>
      </c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>
        <v>500000.0</v>
      </c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>
        <f t="shared" si="2"/>
        <v>1350000</v>
      </c>
      <c r="BD137" s="18">
        <f t="shared" si="3"/>
        <v>1600000</v>
      </c>
      <c r="BE137" s="18">
        <f t="shared" si="4"/>
        <v>0</v>
      </c>
      <c r="BF137" s="18">
        <f t="shared" si="5"/>
        <v>2950000</v>
      </c>
      <c r="BG137" s="15"/>
      <c r="BH137" s="15"/>
      <c r="BI137" s="15"/>
      <c r="BJ137" s="12" t="s">
        <v>592</v>
      </c>
      <c r="BK137" s="12" t="s">
        <v>593</v>
      </c>
      <c r="BL137" s="32">
        <v>460000.0</v>
      </c>
    </row>
    <row r="138">
      <c r="A138" s="21">
        <f t="shared" si="1"/>
        <v>136</v>
      </c>
      <c r="B138" s="22" t="s">
        <v>751</v>
      </c>
      <c r="C138" s="23">
        <v>2.025070379E9</v>
      </c>
      <c r="D138" s="24" t="s">
        <v>752</v>
      </c>
      <c r="E138" s="24" t="s">
        <v>753</v>
      </c>
      <c r="F138" s="24" t="s">
        <v>754</v>
      </c>
      <c r="G138" s="25" t="s">
        <v>658</v>
      </c>
      <c r="H138" s="23" t="s">
        <v>592</v>
      </c>
      <c r="I138" s="23" t="s">
        <v>593</v>
      </c>
      <c r="J138" s="25">
        <v>2.0</v>
      </c>
      <c r="K138" s="25" t="s">
        <v>617</v>
      </c>
      <c r="L138" s="26" t="s">
        <v>755</v>
      </c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>
        <f t="shared" si="2"/>
        <v>0</v>
      </c>
      <c r="BD138" s="27">
        <f t="shared" si="3"/>
        <v>0</v>
      </c>
      <c r="BE138" s="27">
        <f t="shared" si="4"/>
        <v>0</v>
      </c>
      <c r="BF138" s="27">
        <f t="shared" si="5"/>
        <v>0</v>
      </c>
      <c r="BG138" s="24"/>
      <c r="BH138" s="24"/>
      <c r="BI138" s="24"/>
      <c r="BJ138" s="21" t="s">
        <v>592</v>
      </c>
      <c r="BK138" s="21" t="s">
        <v>593</v>
      </c>
      <c r="BL138" s="33">
        <v>460000.0</v>
      </c>
    </row>
    <row r="139">
      <c r="A139" s="12">
        <f t="shared" si="1"/>
        <v>137</v>
      </c>
      <c r="B139" s="13" t="s">
        <v>756</v>
      </c>
      <c r="C139" s="14">
        <v>2.025070068E9</v>
      </c>
      <c r="D139" s="15" t="s">
        <v>757</v>
      </c>
      <c r="E139" s="15" t="s">
        <v>758</v>
      </c>
      <c r="F139" s="15" t="s">
        <v>759</v>
      </c>
      <c r="G139" s="16" t="s">
        <v>361</v>
      </c>
      <c r="H139" s="14" t="s">
        <v>592</v>
      </c>
      <c r="I139" s="14" t="s">
        <v>601</v>
      </c>
      <c r="J139" s="16">
        <v>2.0</v>
      </c>
      <c r="K139" s="16" t="s">
        <v>617</v>
      </c>
      <c r="L139" s="17" t="s">
        <v>760</v>
      </c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>
        <v>450000.0</v>
      </c>
      <c r="Z139" s="18">
        <v>450000.0</v>
      </c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>
        <f t="shared" si="2"/>
        <v>900000</v>
      </c>
      <c r="BD139" s="18">
        <f t="shared" si="3"/>
        <v>0</v>
      </c>
      <c r="BE139" s="18">
        <f t="shared" si="4"/>
        <v>0</v>
      </c>
      <c r="BF139" s="18">
        <f t="shared" si="5"/>
        <v>900000</v>
      </c>
      <c r="BG139" s="15"/>
      <c r="BH139" s="15"/>
      <c r="BI139" s="15"/>
      <c r="BJ139" s="12" t="s">
        <v>592</v>
      </c>
      <c r="BK139" s="12" t="s">
        <v>601</v>
      </c>
      <c r="BL139" s="32">
        <v>460000.0</v>
      </c>
    </row>
    <row r="140">
      <c r="A140" s="21">
        <f t="shared" si="1"/>
        <v>138</v>
      </c>
      <c r="B140" s="22" t="s">
        <v>761</v>
      </c>
      <c r="C140" s="23">
        <v>2.025070481E9</v>
      </c>
      <c r="D140" s="24" t="s">
        <v>762</v>
      </c>
      <c r="E140" s="24" t="s">
        <v>763</v>
      </c>
      <c r="F140" s="24" t="s">
        <v>764</v>
      </c>
      <c r="G140" s="25" t="s">
        <v>600</v>
      </c>
      <c r="H140" s="23" t="s">
        <v>592</v>
      </c>
      <c r="I140" s="23" t="s">
        <v>601</v>
      </c>
      <c r="J140" s="25">
        <v>2.0</v>
      </c>
      <c r="K140" s="25" t="s">
        <v>609</v>
      </c>
      <c r="L140" s="26" t="s">
        <v>765</v>
      </c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>
        <v>450000.0</v>
      </c>
      <c r="X140" s="27">
        <v>450000.0</v>
      </c>
      <c r="Y140" s="27">
        <v>450000.0</v>
      </c>
      <c r="Z140" s="27">
        <v>450000.0</v>
      </c>
      <c r="AA140" s="27"/>
      <c r="AB140" s="27">
        <v>500000.0</v>
      </c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>
        <v>500000.0</v>
      </c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>
        <f t="shared" si="2"/>
        <v>1800000</v>
      </c>
      <c r="BD140" s="27">
        <f t="shared" si="3"/>
        <v>1000000</v>
      </c>
      <c r="BE140" s="27">
        <f t="shared" si="4"/>
        <v>0</v>
      </c>
      <c r="BF140" s="27">
        <f t="shared" si="5"/>
        <v>2800000</v>
      </c>
      <c r="BG140" s="24"/>
      <c r="BH140" s="24"/>
      <c r="BI140" s="24"/>
      <c r="BJ140" s="21" t="s">
        <v>592</v>
      </c>
      <c r="BK140" s="21" t="s">
        <v>601</v>
      </c>
      <c r="BL140" s="33">
        <v>460000.0</v>
      </c>
    </row>
    <row r="141">
      <c r="A141" s="12">
        <f t="shared" si="1"/>
        <v>139</v>
      </c>
      <c r="B141" s="13" t="s">
        <v>766</v>
      </c>
      <c r="C141" s="14">
        <v>2.025070438E9</v>
      </c>
      <c r="D141" s="15" t="s">
        <v>767</v>
      </c>
      <c r="E141" s="15" t="s">
        <v>768</v>
      </c>
      <c r="F141" s="15" t="s">
        <v>769</v>
      </c>
      <c r="G141" s="16" t="s">
        <v>770</v>
      </c>
      <c r="H141" s="14" t="s">
        <v>592</v>
      </c>
      <c r="I141" s="14" t="s">
        <v>601</v>
      </c>
      <c r="J141" s="16">
        <v>2.0</v>
      </c>
      <c r="K141" s="16" t="s">
        <v>594</v>
      </c>
      <c r="L141" s="17" t="s">
        <v>771</v>
      </c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>
        <f t="shared" si="2"/>
        <v>0</v>
      </c>
      <c r="BD141" s="18">
        <f t="shared" si="3"/>
        <v>0</v>
      </c>
      <c r="BE141" s="18">
        <f t="shared" si="4"/>
        <v>0</v>
      </c>
      <c r="BF141" s="18">
        <f t="shared" si="5"/>
        <v>0</v>
      </c>
      <c r="BG141" s="15"/>
      <c r="BH141" s="15"/>
      <c r="BI141" s="15"/>
      <c r="BJ141" s="12" t="s">
        <v>592</v>
      </c>
      <c r="BK141" s="12" t="s">
        <v>601</v>
      </c>
      <c r="BL141" s="32">
        <v>460000.0</v>
      </c>
    </row>
    <row r="142">
      <c r="A142" s="21">
        <f t="shared" si="1"/>
        <v>140</v>
      </c>
      <c r="B142" s="22" t="s">
        <v>772</v>
      </c>
      <c r="C142" s="23">
        <v>2.025070093E9</v>
      </c>
      <c r="D142" s="24" t="s">
        <v>773</v>
      </c>
      <c r="E142" s="24" t="s">
        <v>774</v>
      </c>
      <c r="F142" s="24" t="s">
        <v>775</v>
      </c>
      <c r="G142" s="25" t="s">
        <v>776</v>
      </c>
      <c r="H142" s="23" t="s">
        <v>592</v>
      </c>
      <c r="I142" s="23" t="s">
        <v>616</v>
      </c>
      <c r="J142" s="25">
        <v>2.0</v>
      </c>
      <c r="K142" s="23" t="s">
        <v>777</v>
      </c>
      <c r="L142" s="26" t="s">
        <v>778</v>
      </c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>
        <f t="shared" si="2"/>
        <v>0</v>
      </c>
      <c r="BD142" s="27">
        <f t="shared" si="3"/>
        <v>0</v>
      </c>
      <c r="BE142" s="27">
        <f t="shared" si="4"/>
        <v>0</v>
      </c>
      <c r="BF142" s="27">
        <f t="shared" si="5"/>
        <v>0</v>
      </c>
      <c r="BG142" s="24"/>
      <c r="BH142" s="24"/>
      <c r="BI142" s="24"/>
      <c r="BJ142" s="21" t="s">
        <v>592</v>
      </c>
      <c r="BK142" s="21" t="s">
        <v>616</v>
      </c>
      <c r="BL142" s="33">
        <v>460000.0</v>
      </c>
    </row>
    <row r="143">
      <c r="A143" s="12">
        <f t="shared" si="1"/>
        <v>141</v>
      </c>
      <c r="B143" s="13" t="s">
        <v>779</v>
      </c>
      <c r="C143" s="14">
        <v>2.025070453E9</v>
      </c>
      <c r="D143" s="15" t="s">
        <v>780</v>
      </c>
      <c r="E143" s="15" t="s">
        <v>781</v>
      </c>
      <c r="F143" s="15" t="s">
        <v>782</v>
      </c>
      <c r="G143" s="16" t="s">
        <v>385</v>
      </c>
      <c r="H143" s="14" t="s">
        <v>592</v>
      </c>
      <c r="I143" s="14" t="s">
        <v>616</v>
      </c>
      <c r="J143" s="16">
        <v>2.0</v>
      </c>
      <c r="K143" s="16" t="s">
        <v>594</v>
      </c>
      <c r="L143" s="17" t="s">
        <v>783</v>
      </c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>
        <v>500000.0</v>
      </c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>
        <v>500000.0</v>
      </c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>
        <f t="shared" si="2"/>
        <v>0</v>
      </c>
      <c r="BD143" s="18">
        <f t="shared" si="3"/>
        <v>1000000</v>
      </c>
      <c r="BE143" s="18">
        <f t="shared" si="4"/>
        <v>0</v>
      </c>
      <c r="BF143" s="18">
        <f t="shared" si="5"/>
        <v>1000000</v>
      </c>
      <c r="BG143" s="15"/>
      <c r="BH143" s="15"/>
      <c r="BI143" s="15"/>
      <c r="BJ143" s="12" t="s">
        <v>592</v>
      </c>
      <c r="BK143" s="12" t="s">
        <v>616</v>
      </c>
      <c r="BL143" s="32">
        <v>460000.0</v>
      </c>
    </row>
    <row r="144">
      <c r="A144" s="21">
        <f t="shared" si="1"/>
        <v>142</v>
      </c>
      <c r="B144" s="22" t="s">
        <v>784</v>
      </c>
      <c r="C144" s="23">
        <v>2.025070469E9</v>
      </c>
      <c r="D144" s="24" t="s">
        <v>785</v>
      </c>
      <c r="E144" s="24" t="s">
        <v>786</v>
      </c>
      <c r="F144" s="24" t="s">
        <v>787</v>
      </c>
      <c r="G144" s="25" t="s">
        <v>275</v>
      </c>
      <c r="H144" s="23" t="s">
        <v>592</v>
      </c>
      <c r="I144" s="23" t="s">
        <v>616</v>
      </c>
      <c r="J144" s="25">
        <v>2.0</v>
      </c>
      <c r="K144" s="25" t="s">
        <v>627</v>
      </c>
      <c r="L144" s="26" t="s">
        <v>788</v>
      </c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>
        <v>500000.0</v>
      </c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>
        <f t="shared" si="2"/>
        <v>0</v>
      </c>
      <c r="BD144" s="27">
        <f t="shared" si="3"/>
        <v>500000</v>
      </c>
      <c r="BE144" s="27">
        <f t="shared" si="4"/>
        <v>0</v>
      </c>
      <c r="BF144" s="27">
        <f t="shared" si="5"/>
        <v>500000</v>
      </c>
      <c r="BG144" s="24"/>
      <c r="BH144" s="24"/>
      <c r="BI144" s="24"/>
      <c r="BJ144" s="21" t="s">
        <v>592</v>
      </c>
      <c r="BK144" s="21" t="s">
        <v>616</v>
      </c>
      <c r="BL144" s="33">
        <v>460000.0</v>
      </c>
    </row>
    <row r="145">
      <c r="A145" s="12">
        <f t="shared" si="1"/>
        <v>143</v>
      </c>
      <c r="B145" s="13" t="s">
        <v>789</v>
      </c>
      <c r="C145" s="14">
        <v>2.025070588E9</v>
      </c>
      <c r="D145" s="15" t="s">
        <v>790</v>
      </c>
      <c r="E145" s="15" t="s">
        <v>791</v>
      </c>
      <c r="F145" s="15" t="s">
        <v>792</v>
      </c>
      <c r="G145" s="16" t="s">
        <v>95</v>
      </c>
      <c r="H145" s="14" t="s">
        <v>592</v>
      </c>
      <c r="I145" s="14" t="s">
        <v>608</v>
      </c>
      <c r="J145" s="16">
        <v>2.0</v>
      </c>
      <c r="K145" s="16" t="s">
        <v>602</v>
      </c>
      <c r="L145" s="17" t="s">
        <v>793</v>
      </c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>
        <v>500000.0</v>
      </c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>
        <f t="shared" si="2"/>
        <v>0</v>
      </c>
      <c r="BD145" s="18">
        <f t="shared" si="3"/>
        <v>500000</v>
      </c>
      <c r="BE145" s="18">
        <f t="shared" si="4"/>
        <v>0</v>
      </c>
      <c r="BF145" s="18">
        <f t="shared" si="5"/>
        <v>500000</v>
      </c>
      <c r="BG145" s="15"/>
      <c r="BH145" s="15"/>
      <c r="BI145" s="15"/>
      <c r="BJ145" s="12" t="s">
        <v>592</v>
      </c>
      <c r="BK145" s="12" t="s">
        <v>608</v>
      </c>
      <c r="BL145" s="32">
        <v>460000.0</v>
      </c>
    </row>
    <row r="146">
      <c r="A146" s="21">
        <f t="shared" si="1"/>
        <v>144</v>
      </c>
      <c r="B146" s="22" t="s">
        <v>794</v>
      </c>
      <c r="C146" s="23">
        <v>2.025070201E9</v>
      </c>
      <c r="D146" s="24" t="s">
        <v>795</v>
      </c>
      <c r="E146" s="24" t="s">
        <v>796</v>
      </c>
      <c r="F146" s="24" t="s">
        <v>797</v>
      </c>
      <c r="G146" s="25" t="s">
        <v>532</v>
      </c>
      <c r="H146" s="23" t="s">
        <v>592</v>
      </c>
      <c r="I146" s="23" t="s">
        <v>601</v>
      </c>
      <c r="J146" s="25">
        <v>2.0</v>
      </c>
      <c r="K146" s="25" t="s">
        <v>594</v>
      </c>
      <c r="L146" s="26" t="s">
        <v>798</v>
      </c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>
        <v>450000.0</v>
      </c>
      <c r="Y146" s="27">
        <v>450000.0</v>
      </c>
      <c r="Z146" s="27">
        <v>450000.0</v>
      </c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>
        <f t="shared" si="2"/>
        <v>1350000</v>
      </c>
      <c r="BD146" s="27">
        <f t="shared" si="3"/>
        <v>0</v>
      </c>
      <c r="BE146" s="27">
        <f t="shared" si="4"/>
        <v>0</v>
      </c>
      <c r="BF146" s="27">
        <f t="shared" si="5"/>
        <v>1350000</v>
      </c>
      <c r="BG146" s="24"/>
      <c r="BH146" s="24"/>
      <c r="BI146" s="24"/>
      <c r="BJ146" s="21" t="s">
        <v>592</v>
      </c>
      <c r="BK146" s="21" t="s">
        <v>601</v>
      </c>
      <c r="BL146" s="33">
        <v>460000.0</v>
      </c>
    </row>
    <row r="147">
      <c r="A147" s="12">
        <f t="shared" si="1"/>
        <v>145</v>
      </c>
      <c r="B147" s="13" t="s">
        <v>799</v>
      </c>
      <c r="C147" s="14">
        <v>2.025070475E9</v>
      </c>
      <c r="D147" s="15" t="s">
        <v>800</v>
      </c>
      <c r="E147" s="15" t="s">
        <v>801</v>
      </c>
      <c r="F147" s="15" t="s">
        <v>802</v>
      </c>
      <c r="G147" s="16" t="s">
        <v>275</v>
      </c>
      <c r="H147" s="14" t="s">
        <v>592</v>
      </c>
      <c r="I147" s="14" t="s">
        <v>616</v>
      </c>
      <c r="J147" s="16">
        <v>2.0</v>
      </c>
      <c r="K147" s="16" t="s">
        <v>627</v>
      </c>
      <c r="L147" s="17" t="s">
        <v>803</v>
      </c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>
        <v>500000.0</v>
      </c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>
        <v>500000.0</v>
      </c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>
        <f t="shared" si="2"/>
        <v>0</v>
      </c>
      <c r="BD147" s="18">
        <f t="shared" si="3"/>
        <v>1000000</v>
      </c>
      <c r="BE147" s="18">
        <f t="shared" si="4"/>
        <v>0</v>
      </c>
      <c r="BF147" s="18">
        <f t="shared" si="5"/>
        <v>1000000</v>
      </c>
      <c r="BG147" s="15"/>
      <c r="BH147" s="15"/>
      <c r="BI147" s="15"/>
      <c r="BJ147" s="12" t="s">
        <v>592</v>
      </c>
      <c r="BK147" s="12" t="s">
        <v>616</v>
      </c>
      <c r="BL147" s="32">
        <v>460000.0</v>
      </c>
    </row>
    <row r="148">
      <c r="A148" s="21">
        <f t="shared" si="1"/>
        <v>146</v>
      </c>
      <c r="B148" s="22" t="s">
        <v>804</v>
      </c>
      <c r="C148" s="23">
        <v>2.025070533E9</v>
      </c>
      <c r="D148" s="24" t="s">
        <v>805</v>
      </c>
      <c r="E148" s="24" t="s">
        <v>806</v>
      </c>
      <c r="F148" s="24" t="s">
        <v>807</v>
      </c>
      <c r="G148" s="25" t="s">
        <v>82</v>
      </c>
      <c r="H148" s="23" t="s">
        <v>592</v>
      </c>
      <c r="I148" s="23" t="s">
        <v>608</v>
      </c>
      <c r="J148" s="25">
        <v>2.0</v>
      </c>
      <c r="K148" s="25" t="s">
        <v>609</v>
      </c>
      <c r="L148" s="26" t="s">
        <v>808</v>
      </c>
      <c r="M148" s="27"/>
      <c r="N148" s="27"/>
      <c r="O148" s="27"/>
      <c r="P148" s="27"/>
      <c r="Q148" s="27"/>
      <c r="R148" s="27"/>
      <c r="S148" s="27"/>
      <c r="T148" s="27">
        <v>450000.0</v>
      </c>
      <c r="U148" s="27">
        <v>450000.0</v>
      </c>
      <c r="V148" s="27">
        <v>450000.0</v>
      </c>
      <c r="W148" s="27">
        <v>450000.0</v>
      </c>
      <c r="X148" s="27">
        <v>450000.0</v>
      </c>
      <c r="Y148" s="27">
        <v>450000.0</v>
      </c>
      <c r="Z148" s="27">
        <v>450000.0</v>
      </c>
      <c r="AA148" s="27"/>
      <c r="AB148" s="27">
        <v>500000.0</v>
      </c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>
        <v>500000.0</v>
      </c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>
        <f t="shared" si="2"/>
        <v>3150000</v>
      </c>
      <c r="BD148" s="27">
        <f t="shared" si="3"/>
        <v>1000000</v>
      </c>
      <c r="BE148" s="27">
        <f t="shared" si="4"/>
        <v>0</v>
      </c>
      <c r="BF148" s="27">
        <f t="shared" si="5"/>
        <v>4150000</v>
      </c>
      <c r="BG148" s="24"/>
      <c r="BH148" s="24"/>
      <c r="BI148" s="24"/>
      <c r="BJ148" s="21" t="s">
        <v>592</v>
      </c>
      <c r="BK148" s="21" t="s">
        <v>608</v>
      </c>
      <c r="BL148" s="33">
        <v>460000.0</v>
      </c>
    </row>
    <row r="149">
      <c r="A149" s="12">
        <f t="shared" si="1"/>
        <v>147</v>
      </c>
      <c r="B149" s="13" t="s">
        <v>809</v>
      </c>
      <c r="C149" s="14">
        <v>2.025070091E9</v>
      </c>
      <c r="D149" s="15" t="s">
        <v>810</v>
      </c>
      <c r="E149" s="15" t="s">
        <v>811</v>
      </c>
      <c r="F149" s="15" t="s">
        <v>812</v>
      </c>
      <c r="G149" s="16" t="s">
        <v>158</v>
      </c>
      <c r="H149" s="14" t="s">
        <v>592</v>
      </c>
      <c r="I149" s="14" t="s">
        <v>593</v>
      </c>
      <c r="J149" s="16">
        <v>2.0</v>
      </c>
      <c r="K149" s="16" t="s">
        <v>617</v>
      </c>
      <c r="L149" s="17" t="s">
        <v>813</v>
      </c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>
        <v>500000.0</v>
      </c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>
        <f t="shared" si="2"/>
        <v>0</v>
      </c>
      <c r="BD149" s="18">
        <f t="shared" si="3"/>
        <v>500000</v>
      </c>
      <c r="BE149" s="18">
        <f t="shared" si="4"/>
        <v>0</v>
      </c>
      <c r="BF149" s="18">
        <f t="shared" si="5"/>
        <v>500000</v>
      </c>
      <c r="BG149" s="15"/>
      <c r="BH149" s="15"/>
      <c r="BI149" s="15"/>
      <c r="BJ149" s="12" t="s">
        <v>592</v>
      </c>
      <c r="BK149" s="12" t="s">
        <v>593</v>
      </c>
      <c r="BL149" s="32">
        <v>460000.0</v>
      </c>
    </row>
    <row r="150">
      <c r="A150" s="21">
        <f t="shared" si="1"/>
        <v>148</v>
      </c>
      <c r="B150" s="22" t="s">
        <v>814</v>
      </c>
      <c r="C150" s="23">
        <v>2.025070477E9</v>
      </c>
      <c r="D150" s="24" t="s">
        <v>815</v>
      </c>
      <c r="E150" s="24" t="s">
        <v>816</v>
      </c>
      <c r="F150" s="24" t="s">
        <v>817</v>
      </c>
      <c r="G150" s="25" t="s">
        <v>600</v>
      </c>
      <c r="H150" s="23" t="s">
        <v>592</v>
      </c>
      <c r="I150" s="23" t="s">
        <v>601</v>
      </c>
      <c r="J150" s="25">
        <v>2.0</v>
      </c>
      <c r="K150" s="25" t="s">
        <v>627</v>
      </c>
      <c r="L150" s="26" t="s">
        <v>818</v>
      </c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>
        <v>500000.0</v>
      </c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>
        <f t="shared" si="2"/>
        <v>0</v>
      </c>
      <c r="BD150" s="27">
        <f t="shared" si="3"/>
        <v>500000</v>
      </c>
      <c r="BE150" s="27">
        <f t="shared" si="4"/>
        <v>0</v>
      </c>
      <c r="BF150" s="27">
        <f t="shared" si="5"/>
        <v>500000</v>
      </c>
      <c r="BG150" s="24"/>
      <c r="BH150" s="24"/>
      <c r="BI150" s="24"/>
      <c r="BJ150" s="21" t="s">
        <v>592</v>
      </c>
      <c r="BK150" s="21" t="s">
        <v>601</v>
      </c>
      <c r="BL150" s="33">
        <v>460000.0</v>
      </c>
    </row>
    <row r="151">
      <c r="A151" s="12">
        <f t="shared" si="1"/>
        <v>149</v>
      </c>
      <c r="B151" s="13" t="s">
        <v>819</v>
      </c>
      <c r="C151" s="14">
        <v>2.02507047E9</v>
      </c>
      <c r="D151" s="15" t="s">
        <v>820</v>
      </c>
      <c r="E151" s="15" t="s">
        <v>821</v>
      </c>
      <c r="F151" s="15" t="s">
        <v>822</v>
      </c>
      <c r="G151" s="16" t="s">
        <v>66</v>
      </c>
      <c r="H151" s="14" t="s">
        <v>592</v>
      </c>
      <c r="I151" s="14" t="s">
        <v>616</v>
      </c>
      <c r="J151" s="16">
        <v>2.0</v>
      </c>
      <c r="K151" s="16" t="s">
        <v>602</v>
      </c>
      <c r="L151" s="17" t="s">
        <v>823</v>
      </c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>
        <v>500000.0</v>
      </c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>
        <f t="shared" si="2"/>
        <v>0</v>
      </c>
      <c r="BD151" s="18">
        <f t="shared" si="3"/>
        <v>500000</v>
      </c>
      <c r="BE151" s="18">
        <f t="shared" si="4"/>
        <v>0</v>
      </c>
      <c r="BF151" s="18">
        <f t="shared" si="5"/>
        <v>500000</v>
      </c>
      <c r="BG151" s="15"/>
      <c r="BH151" s="15"/>
      <c r="BI151" s="15"/>
      <c r="BJ151" s="12" t="s">
        <v>592</v>
      </c>
      <c r="BK151" s="12" t="s">
        <v>616</v>
      </c>
      <c r="BL151" s="32">
        <v>460000.0</v>
      </c>
    </row>
    <row r="152">
      <c r="A152" s="21">
        <f t="shared" si="1"/>
        <v>150</v>
      </c>
      <c r="B152" s="22" t="s">
        <v>824</v>
      </c>
      <c r="C152" s="23">
        <v>2.02507037E9</v>
      </c>
      <c r="D152" s="24" t="s">
        <v>825</v>
      </c>
      <c r="E152" s="24" t="s">
        <v>826</v>
      </c>
      <c r="F152" s="24" t="s">
        <v>827</v>
      </c>
      <c r="G152" s="25" t="s">
        <v>361</v>
      </c>
      <c r="H152" s="23" t="s">
        <v>592</v>
      </c>
      <c r="I152" s="23" t="s">
        <v>593</v>
      </c>
      <c r="J152" s="25">
        <v>2.0</v>
      </c>
      <c r="K152" s="25" t="s">
        <v>594</v>
      </c>
      <c r="L152" s="26" t="s">
        <v>828</v>
      </c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>
        <v>450000.0</v>
      </c>
      <c r="AA152" s="27"/>
      <c r="AB152" s="27">
        <v>500000.0</v>
      </c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>
        <v>500000.0</v>
      </c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>
        <f t="shared" si="2"/>
        <v>450000</v>
      </c>
      <c r="BD152" s="27">
        <f t="shared" si="3"/>
        <v>1000000</v>
      </c>
      <c r="BE152" s="27">
        <f t="shared" si="4"/>
        <v>0</v>
      </c>
      <c r="BF152" s="27">
        <f t="shared" si="5"/>
        <v>1450000</v>
      </c>
      <c r="BG152" s="24"/>
      <c r="BH152" s="24"/>
      <c r="BI152" s="24"/>
      <c r="BJ152" s="21" t="s">
        <v>592</v>
      </c>
      <c r="BK152" s="21" t="s">
        <v>593</v>
      </c>
      <c r="BL152" s="33">
        <v>460000.0</v>
      </c>
    </row>
    <row r="153">
      <c r="A153" s="12">
        <f t="shared" si="1"/>
        <v>151</v>
      </c>
      <c r="B153" s="13" t="s">
        <v>829</v>
      </c>
      <c r="C153" s="14">
        <v>2.025070473E9</v>
      </c>
      <c r="D153" s="15" t="s">
        <v>830</v>
      </c>
      <c r="E153" s="15" t="s">
        <v>831</v>
      </c>
      <c r="F153" s="15" t="s">
        <v>832</v>
      </c>
      <c r="G153" s="16" t="s">
        <v>275</v>
      </c>
      <c r="H153" s="14" t="s">
        <v>592</v>
      </c>
      <c r="I153" s="14" t="s">
        <v>616</v>
      </c>
      <c r="J153" s="16">
        <v>2.0</v>
      </c>
      <c r="K153" s="16" t="s">
        <v>602</v>
      </c>
      <c r="L153" s="17" t="s">
        <v>833</v>
      </c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>
        <v>500000.0</v>
      </c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>
        <v>500000.0</v>
      </c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>
        <f t="shared" si="2"/>
        <v>0</v>
      </c>
      <c r="BD153" s="18">
        <f t="shared" si="3"/>
        <v>1000000</v>
      </c>
      <c r="BE153" s="18">
        <f t="shared" si="4"/>
        <v>0</v>
      </c>
      <c r="BF153" s="18">
        <f t="shared" si="5"/>
        <v>1000000</v>
      </c>
      <c r="BG153" s="15"/>
      <c r="BH153" s="15"/>
      <c r="BI153" s="15"/>
      <c r="BJ153" s="12" t="s">
        <v>592</v>
      </c>
      <c r="BK153" s="12" t="s">
        <v>616</v>
      </c>
      <c r="BL153" s="32">
        <v>460000.0</v>
      </c>
    </row>
    <row r="154">
      <c r="A154" s="21">
        <f t="shared" si="1"/>
        <v>152</v>
      </c>
      <c r="B154" s="22" t="s">
        <v>834</v>
      </c>
      <c r="C154" s="23">
        <v>2.025070545E9</v>
      </c>
      <c r="D154" s="24" t="s">
        <v>835</v>
      </c>
      <c r="E154" s="24" t="s">
        <v>836</v>
      </c>
      <c r="F154" s="24" t="s">
        <v>837</v>
      </c>
      <c r="G154" s="25" t="s">
        <v>42</v>
      </c>
      <c r="H154" s="23" t="s">
        <v>592</v>
      </c>
      <c r="I154" s="23" t="s">
        <v>608</v>
      </c>
      <c r="J154" s="25">
        <v>2.0</v>
      </c>
      <c r="K154" s="25" t="s">
        <v>609</v>
      </c>
      <c r="L154" s="26" t="s">
        <v>838</v>
      </c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>
        <v>450000.0</v>
      </c>
      <c r="Z154" s="27">
        <v>450000.0</v>
      </c>
      <c r="AA154" s="27"/>
      <c r="AB154" s="27">
        <v>500000.0</v>
      </c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>
        <v>500000.0</v>
      </c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>
        <f t="shared" si="2"/>
        <v>900000</v>
      </c>
      <c r="BD154" s="27">
        <f t="shared" si="3"/>
        <v>1000000</v>
      </c>
      <c r="BE154" s="27">
        <f t="shared" si="4"/>
        <v>0</v>
      </c>
      <c r="BF154" s="27">
        <f t="shared" si="5"/>
        <v>1900000</v>
      </c>
      <c r="BG154" s="24"/>
      <c r="BH154" s="24"/>
      <c r="BI154" s="24"/>
      <c r="BJ154" s="21" t="s">
        <v>592</v>
      </c>
      <c r="BK154" s="21" t="s">
        <v>608</v>
      </c>
      <c r="BL154" s="33">
        <v>460000.0</v>
      </c>
    </row>
    <row r="155">
      <c r="A155" s="12">
        <f t="shared" si="1"/>
        <v>153</v>
      </c>
      <c r="B155" s="13" t="s">
        <v>839</v>
      </c>
      <c r="C155" s="14">
        <v>2.025070621E9</v>
      </c>
      <c r="D155" s="15" t="s">
        <v>840</v>
      </c>
      <c r="E155" s="15" t="s">
        <v>841</v>
      </c>
      <c r="F155" s="15" t="s">
        <v>842</v>
      </c>
      <c r="G155" s="16" t="s">
        <v>82</v>
      </c>
      <c r="H155" s="14" t="s">
        <v>592</v>
      </c>
      <c r="I155" s="14" t="s">
        <v>608</v>
      </c>
      <c r="J155" s="16">
        <v>2.0</v>
      </c>
      <c r="K155" s="16" t="s">
        <v>627</v>
      </c>
      <c r="L155" s="17" t="s">
        <v>843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>
        <v>500000.0</v>
      </c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>
        <v>500000.0</v>
      </c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>
        <f t="shared" si="2"/>
        <v>0</v>
      </c>
      <c r="BD155" s="18">
        <f t="shared" si="3"/>
        <v>1000000</v>
      </c>
      <c r="BE155" s="18">
        <f t="shared" si="4"/>
        <v>0</v>
      </c>
      <c r="BF155" s="18">
        <f t="shared" si="5"/>
        <v>1000000</v>
      </c>
      <c r="BG155" s="15"/>
      <c r="BH155" s="15"/>
      <c r="BI155" s="15"/>
      <c r="BJ155" s="12" t="s">
        <v>592</v>
      </c>
      <c r="BK155" s="12" t="s">
        <v>608</v>
      </c>
      <c r="BL155" s="32">
        <v>460000.0</v>
      </c>
    </row>
    <row r="156">
      <c r="A156" s="21">
        <f t="shared" si="1"/>
        <v>154</v>
      </c>
      <c r="B156" s="22" t="s">
        <v>844</v>
      </c>
      <c r="C156" s="23">
        <v>2.025070578E9</v>
      </c>
      <c r="D156" s="24" t="s">
        <v>845</v>
      </c>
      <c r="E156" s="24" t="s">
        <v>846</v>
      </c>
      <c r="F156" s="24" t="s">
        <v>847</v>
      </c>
      <c r="G156" s="25" t="s">
        <v>125</v>
      </c>
      <c r="H156" s="23" t="s">
        <v>592</v>
      </c>
      <c r="I156" s="23" t="s">
        <v>608</v>
      </c>
      <c r="J156" s="25">
        <v>2.0</v>
      </c>
      <c r="K156" s="25" t="s">
        <v>609</v>
      </c>
      <c r="L156" s="26" t="s">
        <v>848</v>
      </c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34" t="s">
        <v>0</v>
      </c>
      <c r="Y156" s="27">
        <v>450000.0</v>
      </c>
      <c r="Z156" s="27">
        <v>450000.0</v>
      </c>
      <c r="AA156" s="27"/>
      <c r="AB156" s="27">
        <v>500000.0</v>
      </c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>
        <v>500000.0</v>
      </c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>
        <f t="shared" si="2"/>
        <v>900000</v>
      </c>
      <c r="BD156" s="27">
        <f t="shared" si="3"/>
        <v>1000000</v>
      </c>
      <c r="BE156" s="27">
        <f t="shared" si="4"/>
        <v>0</v>
      </c>
      <c r="BF156" s="27">
        <f t="shared" si="5"/>
        <v>1900000</v>
      </c>
      <c r="BG156" s="24"/>
      <c r="BH156" s="24"/>
      <c r="BI156" s="24"/>
      <c r="BJ156" s="21" t="s">
        <v>592</v>
      </c>
      <c r="BK156" s="21" t="s">
        <v>608</v>
      </c>
      <c r="BL156" s="33">
        <v>460000.0</v>
      </c>
    </row>
    <row r="157">
      <c r="A157" s="12">
        <f t="shared" si="1"/>
        <v>155</v>
      </c>
      <c r="B157" s="13" t="s">
        <v>849</v>
      </c>
      <c r="C157" s="14">
        <v>2.025070094E9</v>
      </c>
      <c r="D157" s="15" t="s">
        <v>850</v>
      </c>
      <c r="E157" s="15" t="s">
        <v>851</v>
      </c>
      <c r="F157" s="15" t="s">
        <v>852</v>
      </c>
      <c r="G157" s="16" t="s">
        <v>776</v>
      </c>
      <c r="H157" s="14" t="s">
        <v>592</v>
      </c>
      <c r="I157" s="14" t="s">
        <v>616</v>
      </c>
      <c r="J157" s="16">
        <v>2.0</v>
      </c>
      <c r="K157" s="14" t="s">
        <v>777</v>
      </c>
      <c r="L157" s="17" t="s">
        <v>853</v>
      </c>
      <c r="M157" s="18"/>
      <c r="N157" s="18">
        <v>200000.0</v>
      </c>
      <c r="O157" s="18">
        <v>450000.0</v>
      </c>
      <c r="P157" s="18">
        <v>450000.0</v>
      </c>
      <c r="Q157" s="18">
        <v>450000.0</v>
      </c>
      <c r="R157" s="18">
        <v>450000.0</v>
      </c>
      <c r="S157" s="18">
        <v>450000.0</v>
      </c>
      <c r="T157" s="18">
        <v>450000.0</v>
      </c>
      <c r="U157" s="18">
        <v>450000.0</v>
      </c>
      <c r="V157" s="18">
        <v>450000.0</v>
      </c>
      <c r="W157" s="18">
        <v>450000.0</v>
      </c>
      <c r="X157" s="18">
        <v>450000.0</v>
      </c>
      <c r="Y157" s="18">
        <v>450000.0</v>
      </c>
      <c r="Z157" s="18">
        <v>450000.0</v>
      </c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>
        <f t="shared" si="2"/>
        <v>5400000</v>
      </c>
      <c r="BD157" s="18">
        <f t="shared" si="3"/>
        <v>0</v>
      </c>
      <c r="BE157" s="18">
        <f t="shared" si="4"/>
        <v>0</v>
      </c>
      <c r="BF157" s="18">
        <f t="shared" si="5"/>
        <v>5400000</v>
      </c>
      <c r="BG157" s="15"/>
      <c r="BH157" s="15"/>
      <c r="BI157" s="15"/>
      <c r="BJ157" s="12" t="s">
        <v>592</v>
      </c>
      <c r="BK157" s="12" t="s">
        <v>616</v>
      </c>
      <c r="BL157" s="32">
        <v>460000.0</v>
      </c>
    </row>
    <row r="158">
      <c r="A158" s="21">
        <f t="shared" si="1"/>
        <v>156</v>
      </c>
      <c r="B158" s="22" t="s">
        <v>854</v>
      </c>
      <c r="C158" s="23">
        <v>2.025070269E9</v>
      </c>
      <c r="D158" s="24" t="s">
        <v>855</v>
      </c>
      <c r="E158" s="24" t="s">
        <v>856</v>
      </c>
      <c r="F158" s="24" t="s">
        <v>857</v>
      </c>
      <c r="G158" s="25" t="s">
        <v>658</v>
      </c>
      <c r="H158" s="23" t="s">
        <v>592</v>
      </c>
      <c r="I158" s="23" t="s">
        <v>593</v>
      </c>
      <c r="J158" s="25">
        <v>2.0</v>
      </c>
      <c r="K158" s="25" t="s">
        <v>638</v>
      </c>
      <c r="L158" s="26" t="s">
        <v>858</v>
      </c>
      <c r="M158" s="27">
        <v>600000.0</v>
      </c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>
        <v>500000.0</v>
      </c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>
        <v>500000.0</v>
      </c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>
        <f t="shared" si="2"/>
        <v>0</v>
      </c>
      <c r="BD158" s="27">
        <f t="shared" si="3"/>
        <v>1600000</v>
      </c>
      <c r="BE158" s="27">
        <f t="shared" si="4"/>
        <v>0</v>
      </c>
      <c r="BF158" s="27">
        <f t="shared" si="5"/>
        <v>1600000</v>
      </c>
      <c r="BG158" s="24"/>
      <c r="BH158" s="24"/>
      <c r="BI158" s="24"/>
      <c r="BJ158" s="21" t="s">
        <v>592</v>
      </c>
      <c r="BK158" s="21" t="s">
        <v>593</v>
      </c>
      <c r="BL158" s="33">
        <v>460000.0</v>
      </c>
    </row>
    <row r="159">
      <c r="A159" s="12">
        <f t="shared" si="1"/>
        <v>157</v>
      </c>
      <c r="B159" s="13" t="s">
        <v>859</v>
      </c>
      <c r="C159" s="14">
        <v>2.02507064E9</v>
      </c>
      <c r="D159" s="15" t="s">
        <v>860</v>
      </c>
      <c r="E159" s="15" t="s">
        <v>861</v>
      </c>
      <c r="F159" s="15" t="s">
        <v>862</v>
      </c>
      <c r="G159" s="16" t="s">
        <v>89</v>
      </c>
      <c r="H159" s="14" t="s">
        <v>863</v>
      </c>
      <c r="I159" s="14" t="s">
        <v>864</v>
      </c>
      <c r="J159" s="16">
        <v>2.0</v>
      </c>
      <c r="K159" s="16" t="s">
        <v>627</v>
      </c>
      <c r="L159" s="17" t="s">
        <v>865</v>
      </c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>
        <v>500000.0</v>
      </c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>
        <v>500000.0</v>
      </c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>
        <f t="shared" si="2"/>
        <v>0</v>
      </c>
      <c r="BD159" s="18">
        <f t="shared" si="3"/>
        <v>1000000</v>
      </c>
      <c r="BE159" s="18">
        <f t="shared" si="4"/>
        <v>0</v>
      </c>
      <c r="BF159" s="18">
        <f t="shared" si="5"/>
        <v>1000000</v>
      </c>
      <c r="BG159" s="15"/>
      <c r="BH159" s="15"/>
      <c r="BI159" s="15"/>
      <c r="BJ159" s="12" t="s">
        <v>863</v>
      </c>
      <c r="BK159" s="12" t="s">
        <v>864</v>
      </c>
      <c r="BL159" s="32">
        <v>460000.0</v>
      </c>
    </row>
    <row r="160">
      <c r="A160" s="21">
        <f t="shared" si="1"/>
        <v>158</v>
      </c>
      <c r="B160" s="22" t="s">
        <v>866</v>
      </c>
      <c r="C160" s="23">
        <v>2.0250702E9</v>
      </c>
      <c r="D160" s="24" t="s">
        <v>867</v>
      </c>
      <c r="E160" s="24" t="s">
        <v>868</v>
      </c>
      <c r="F160" s="24" t="s">
        <v>869</v>
      </c>
      <c r="G160" s="25" t="s">
        <v>532</v>
      </c>
      <c r="H160" s="23" t="s">
        <v>863</v>
      </c>
      <c r="I160" s="23" t="s">
        <v>870</v>
      </c>
      <c r="J160" s="25">
        <v>2.0</v>
      </c>
      <c r="K160" s="25" t="s">
        <v>638</v>
      </c>
      <c r="L160" s="26" t="s">
        <v>871</v>
      </c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>
        <v>500000.0</v>
      </c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>
        <v>500000.0</v>
      </c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>
        <f t="shared" si="2"/>
        <v>0</v>
      </c>
      <c r="BD160" s="27">
        <f t="shared" si="3"/>
        <v>1000000</v>
      </c>
      <c r="BE160" s="27">
        <f t="shared" si="4"/>
        <v>0</v>
      </c>
      <c r="BF160" s="27">
        <f t="shared" si="5"/>
        <v>1000000</v>
      </c>
      <c r="BG160" s="24"/>
      <c r="BH160" s="24"/>
      <c r="BI160" s="24"/>
      <c r="BJ160" s="21" t="s">
        <v>863</v>
      </c>
      <c r="BK160" s="21" t="s">
        <v>870</v>
      </c>
      <c r="BL160" s="33">
        <v>460000.0</v>
      </c>
    </row>
    <row r="161">
      <c r="A161" s="12">
        <f t="shared" si="1"/>
        <v>159</v>
      </c>
      <c r="B161" s="13" t="s">
        <v>872</v>
      </c>
      <c r="C161" s="14">
        <v>2.025070016E9</v>
      </c>
      <c r="D161" s="15" t="s">
        <v>873</v>
      </c>
      <c r="E161" s="15" t="s">
        <v>874</v>
      </c>
      <c r="F161" s="15" t="s">
        <v>875</v>
      </c>
      <c r="G161" s="16" t="s">
        <v>243</v>
      </c>
      <c r="H161" s="14" t="s">
        <v>863</v>
      </c>
      <c r="I161" s="14" t="s">
        <v>870</v>
      </c>
      <c r="J161" s="16">
        <v>2.0</v>
      </c>
      <c r="K161" s="16" t="s">
        <v>617</v>
      </c>
      <c r="L161" s="17" t="s">
        <v>876</v>
      </c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>
        <v>500000.0</v>
      </c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>
        <v>500000.0</v>
      </c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>
        <f t="shared" si="2"/>
        <v>0</v>
      </c>
      <c r="BD161" s="18">
        <f t="shared" si="3"/>
        <v>1000000</v>
      </c>
      <c r="BE161" s="18">
        <f t="shared" si="4"/>
        <v>0</v>
      </c>
      <c r="BF161" s="18">
        <f t="shared" si="5"/>
        <v>1000000</v>
      </c>
      <c r="BG161" s="15"/>
      <c r="BH161" s="15"/>
      <c r="BI161" s="15"/>
      <c r="BJ161" s="12" t="s">
        <v>863</v>
      </c>
      <c r="BK161" s="12" t="s">
        <v>870</v>
      </c>
      <c r="BL161" s="32">
        <v>460000.0</v>
      </c>
    </row>
    <row r="162">
      <c r="A162" s="21">
        <f t="shared" si="1"/>
        <v>160</v>
      </c>
      <c r="B162" s="22" t="s">
        <v>877</v>
      </c>
      <c r="C162" s="23">
        <v>2.025070504E9</v>
      </c>
      <c r="D162" s="24" t="s">
        <v>878</v>
      </c>
      <c r="E162" s="24" t="s">
        <v>879</v>
      </c>
      <c r="F162" s="24" t="s">
        <v>880</v>
      </c>
      <c r="G162" s="25" t="s">
        <v>89</v>
      </c>
      <c r="H162" s="23" t="s">
        <v>863</v>
      </c>
      <c r="I162" s="23" t="s">
        <v>881</v>
      </c>
      <c r="J162" s="25">
        <v>2.0</v>
      </c>
      <c r="K162" s="25" t="s">
        <v>609</v>
      </c>
      <c r="L162" s="26" t="s">
        <v>882</v>
      </c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>
        <v>500000.0</v>
      </c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>
        <v>500000.0</v>
      </c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>
        <f t="shared" si="2"/>
        <v>0</v>
      </c>
      <c r="BD162" s="27">
        <f t="shared" si="3"/>
        <v>1000000</v>
      </c>
      <c r="BE162" s="27">
        <f t="shared" si="4"/>
        <v>0</v>
      </c>
      <c r="BF162" s="27">
        <f t="shared" si="5"/>
        <v>1000000</v>
      </c>
      <c r="BG162" s="24"/>
      <c r="BH162" s="24"/>
      <c r="BI162" s="24"/>
      <c r="BJ162" s="21" t="s">
        <v>863</v>
      </c>
      <c r="BK162" s="21" t="s">
        <v>881</v>
      </c>
      <c r="BL162" s="33">
        <v>460000.0</v>
      </c>
    </row>
    <row r="163">
      <c r="A163" s="12">
        <f t="shared" si="1"/>
        <v>161</v>
      </c>
      <c r="B163" s="13" t="s">
        <v>883</v>
      </c>
      <c r="C163" s="14">
        <v>2.02507002E9</v>
      </c>
      <c r="D163" s="15" t="s">
        <v>884</v>
      </c>
      <c r="E163" s="15" t="s">
        <v>885</v>
      </c>
      <c r="F163" s="15" t="s">
        <v>886</v>
      </c>
      <c r="G163" s="16" t="s">
        <v>776</v>
      </c>
      <c r="H163" s="14" t="s">
        <v>863</v>
      </c>
      <c r="I163" s="14" t="s">
        <v>864</v>
      </c>
      <c r="J163" s="16">
        <v>2.0</v>
      </c>
      <c r="K163" s="14" t="s">
        <v>777</v>
      </c>
      <c r="L163" s="17" t="s">
        <v>887</v>
      </c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>
        <v>500000.0</v>
      </c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>
        <v>500000.0</v>
      </c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>
        <f t="shared" si="2"/>
        <v>0</v>
      </c>
      <c r="BD163" s="18">
        <f t="shared" si="3"/>
        <v>1000000</v>
      </c>
      <c r="BE163" s="18">
        <f t="shared" si="4"/>
        <v>0</v>
      </c>
      <c r="BF163" s="18">
        <f t="shared" si="5"/>
        <v>1000000</v>
      </c>
      <c r="BG163" s="15"/>
      <c r="BH163" s="15"/>
      <c r="BI163" s="15"/>
      <c r="BJ163" s="12" t="s">
        <v>863</v>
      </c>
      <c r="BK163" s="12" t="s">
        <v>864</v>
      </c>
      <c r="BL163" s="32">
        <v>460000.0</v>
      </c>
    </row>
    <row r="164">
      <c r="A164" s="21">
        <f t="shared" si="1"/>
        <v>162</v>
      </c>
      <c r="B164" s="22" t="s">
        <v>888</v>
      </c>
      <c r="C164" s="23">
        <v>2.025070509E9</v>
      </c>
      <c r="D164" s="24" t="s">
        <v>889</v>
      </c>
      <c r="E164" s="24" t="s">
        <v>890</v>
      </c>
      <c r="F164" s="24" t="s">
        <v>891</v>
      </c>
      <c r="G164" s="25" t="s">
        <v>42</v>
      </c>
      <c r="H164" s="23" t="s">
        <v>863</v>
      </c>
      <c r="I164" s="23" t="s">
        <v>892</v>
      </c>
      <c r="J164" s="25">
        <v>2.0</v>
      </c>
      <c r="K164" s="25" t="s">
        <v>627</v>
      </c>
      <c r="L164" s="26" t="s">
        <v>893</v>
      </c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>
        <f t="shared" si="2"/>
        <v>0</v>
      </c>
      <c r="BD164" s="27">
        <f t="shared" si="3"/>
        <v>0</v>
      </c>
      <c r="BE164" s="27">
        <f t="shared" si="4"/>
        <v>0</v>
      </c>
      <c r="BF164" s="27">
        <f t="shared" si="5"/>
        <v>0</v>
      </c>
      <c r="BG164" s="24"/>
      <c r="BH164" s="24"/>
      <c r="BI164" s="24"/>
      <c r="BJ164" s="21" t="s">
        <v>863</v>
      </c>
      <c r="BK164" s="21" t="s">
        <v>892</v>
      </c>
      <c r="BL164" s="33">
        <v>460000.0</v>
      </c>
    </row>
    <row r="165">
      <c r="A165" s="12">
        <f t="shared" si="1"/>
        <v>163</v>
      </c>
      <c r="B165" s="13" t="s">
        <v>894</v>
      </c>
      <c r="C165" s="14">
        <v>2.025070331E9</v>
      </c>
      <c r="D165" s="15" t="s">
        <v>895</v>
      </c>
      <c r="E165" s="15" t="s">
        <v>896</v>
      </c>
      <c r="F165" s="15" t="s">
        <v>897</v>
      </c>
      <c r="G165" s="16" t="s">
        <v>158</v>
      </c>
      <c r="H165" s="14" t="s">
        <v>863</v>
      </c>
      <c r="I165" s="14" t="s">
        <v>870</v>
      </c>
      <c r="J165" s="16">
        <v>2.0</v>
      </c>
      <c r="K165" s="16" t="s">
        <v>638</v>
      </c>
      <c r="L165" s="17" t="s">
        <v>898</v>
      </c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>
        <f t="shared" si="2"/>
        <v>0</v>
      </c>
      <c r="BD165" s="18">
        <f t="shared" si="3"/>
        <v>0</v>
      </c>
      <c r="BE165" s="18">
        <f t="shared" si="4"/>
        <v>0</v>
      </c>
      <c r="BF165" s="18">
        <f t="shared" si="5"/>
        <v>0</v>
      </c>
      <c r="BG165" s="15"/>
      <c r="BH165" s="15"/>
      <c r="BI165" s="15"/>
      <c r="BJ165" s="12" t="s">
        <v>863</v>
      </c>
      <c r="BK165" s="12" t="s">
        <v>870</v>
      </c>
      <c r="BL165" s="32">
        <v>460000.0</v>
      </c>
    </row>
    <row r="166">
      <c r="A166" s="21">
        <f t="shared" si="1"/>
        <v>164</v>
      </c>
      <c r="B166" s="22" t="s">
        <v>899</v>
      </c>
      <c r="C166" s="23">
        <v>2.025070055E9</v>
      </c>
      <c r="D166" s="24" t="s">
        <v>900</v>
      </c>
      <c r="E166" s="24" t="s">
        <v>901</v>
      </c>
      <c r="F166" s="24" t="s">
        <v>902</v>
      </c>
      <c r="G166" s="25" t="s">
        <v>776</v>
      </c>
      <c r="H166" s="23" t="s">
        <v>863</v>
      </c>
      <c r="I166" s="23" t="s">
        <v>864</v>
      </c>
      <c r="J166" s="25">
        <v>2.0</v>
      </c>
      <c r="K166" s="23" t="s">
        <v>777</v>
      </c>
      <c r="L166" s="26" t="s">
        <v>903</v>
      </c>
      <c r="M166" s="27">
        <v>600000.0</v>
      </c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>
        <v>450000.0</v>
      </c>
      <c r="AA166" s="27"/>
      <c r="AB166" s="27">
        <v>500000.0</v>
      </c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>
        <v>500000.0</v>
      </c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>
        <f t="shared" si="2"/>
        <v>450000</v>
      </c>
      <c r="BD166" s="27">
        <f t="shared" si="3"/>
        <v>1600000</v>
      </c>
      <c r="BE166" s="27">
        <f t="shared" si="4"/>
        <v>0</v>
      </c>
      <c r="BF166" s="27">
        <f t="shared" si="5"/>
        <v>2050000</v>
      </c>
      <c r="BG166" s="24"/>
      <c r="BH166" s="24"/>
      <c r="BI166" s="24"/>
      <c r="BJ166" s="21" t="s">
        <v>863</v>
      </c>
      <c r="BK166" s="21" t="s">
        <v>864</v>
      </c>
      <c r="BL166" s="33">
        <v>460000.0</v>
      </c>
    </row>
    <row r="167">
      <c r="A167" s="12">
        <f t="shared" si="1"/>
        <v>165</v>
      </c>
      <c r="B167" s="13" t="s">
        <v>904</v>
      </c>
      <c r="C167" s="14">
        <v>2.025070096E9</v>
      </c>
      <c r="D167" s="15" t="s">
        <v>905</v>
      </c>
      <c r="E167" s="15" t="s">
        <v>906</v>
      </c>
      <c r="F167" s="15" t="s">
        <v>907</v>
      </c>
      <c r="G167" s="16" t="s">
        <v>361</v>
      </c>
      <c r="H167" s="14" t="s">
        <v>863</v>
      </c>
      <c r="I167" s="14" t="s">
        <v>870</v>
      </c>
      <c r="J167" s="16">
        <v>2.0</v>
      </c>
      <c r="K167" s="16" t="s">
        <v>594</v>
      </c>
      <c r="L167" s="17" t="s">
        <v>908</v>
      </c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>
        <v>500000.0</v>
      </c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f t="shared" si="2"/>
        <v>0</v>
      </c>
      <c r="BD167" s="18">
        <f t="shared" si="3"/>
        <v>500000</v>
      </c>
      <c r="BE167" s="18">
        <f t="shared" si="4"/>
        <v>0</v>
      </c>
      <c r="BF167" s="18">
        <f t="shared" si="5"/>
        <v>500000</v>
      </c>
      <c r="BG167" s="15"/>
      <c r="BH167" s="15"/>
      <c r="BI167" s="15"/>
      <c r="BJ167" s="12" t="s">
        <v>863</v>
      </c>
      <c r="BK167" s="12" t="s">
        <v>870</v>
      </c>
      <c r="BL167" s="32">
        <v>460000.0</v>
      </c>
    </row>
    <row r="168">
      <c r="A168" s="21">
        <f t="shared" si="1"/>
        <v>166</v>
      </c>
      <c r="B168" s="22" t="s">
        <v>909</v>
      </c>
      <c r="C168" s="23">
        <v>2.025070525E9</v>
      </c>
      <c r="D168" s="24" t="s">
        <v>910</v>
      </c>
      <c r="E168" s="24" t="s">
        <v>911</v>
      </c>
      <c r="F168" s="24" t="s">
        <v>912</v>
      </c>
      <c r="G168" s="25" t="s">
        <v>215</v>
      </c>
      <c r="H168" s="23" t="s">
        <v>863</v>
      </c>
      <c r="I168" s="23" t="s">
        <v>864</v>
      </c>
      <c r="J168" s="25">
        <v>2.0</v>
      </c>
      <c r="K168" s="25" t="s">
        <v>602</v>
      </c>
      <c r="L168" s="26" t="s">
        <v>913</v>
      </c>
      <c r="M168" s="27"/>
      <c r="N168" s="27"/>
      <c r="O168" s="27"/>
      <c r="P168" s="27"/>
      <c r="Q168" s="27"/>
      <c r="R168" s="27"/>
      <c r="S168" s="27"/>
      <c r="T168" s="27"/>
      <c r="U168" s="27"/>
      <c r="V168" s="27">
        <v>450000.0</v>
      </c>
      <c r="W168" s="27">
        <v>450000.0</v>
      </c>
      <c r="X168" s="27">
        <v>450000.0</v>
      </c>
      <c r="Y168" s="27">
        <v>450000.0</v>
      </c>
      <c r="Z168" s="27">
        <v>450000.0</v>
      </c>
      <c r="AA168" s="27"/>
      <c r="AB168" s="27">
        <v>500000.0</v>
      </c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>
        <v>500000.0</v>
      </c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>
        <f t="shared" si="2"/>
        <v>2250000</v>
      </c>
      <c r="BD168" s="27">
        <f t="shared" si="3"/>
        <v>1000000</v>
      </c>
      <c r="BE168" s="27">
        <f t="shared" si="4"/>
        <v>0</v>
      </c>
      <c r="BF168" s="27">
        <f t="shared" si="5"/>
        <v>3250000</v>
      </c>
      <c r="BG168" s="24"/>
      <c r="BH168" s="24"/>
      <c r="BI168" s="24"/>
      <c r="BJ168" s="21" t="s">
        <v>863</v>
      </c>
      <c r="BK168" s="21" t="s">
        <v>864</v>
      </c>
      <c r="BL168" s="33">
        <v>460000.0</v>
      </c>
    </row>
    <row r="169">
      <c r="A169" s="12">
        <f t="shared" si="1"/>
        <v>167</v>
      </c>
      <c r="B169" s="13" t="s">
        <v>914</v>
      </c>
      <c r="C169" s="14">
        <v>2.025070507E9</v>
      </c>
      <c r="D169" s="15" t="s">
        <v>915</v>
      </c>
      <c r="E169" s="15" t="s">
        <v>916</v>
      </c>
      <c r="F169" s="15" t="s">
        <v>917</v>
      </c>
      <c r="G169" s="16" t="s">
        <v>95</v>
      </c>
      <c r="H169" s="14" t="s">
        <v>863</v>
      </c>
      <c r="I169" s="14" t="s">
        <v>918</v>
      </c>
      <c r="J169" s="16">
        <v>2.0</v>
      </c>
      <c r="K169" s="16" t="s">
        <v>602</v>
      </c>
      <c r="L169" s="17" t="s">
        <v>919</v>
      </c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>
        <v>500000.0</v>
      </c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>
        <v>500000.0</v>
      </c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>
        <f t="shared" si="2"/>
        <v>0</v>
      </c>
      <c r="BD169" s="18">
        <f t="shared" si="3"/>
        <v>1000000</v>
      </c>
      <c r="BE169" s="18">
        <f t="shared" si="4"/>
        <v>0</v>
      </c>
      <c r="BF169" s="18">
        <f t="shared" si="5"/>
        <v>1000000</v>
      </c>
      <c r="BG169" s="15"/>
      <c r="BH169" s="15"/>
      <c r="BI169" s="15"/>
      <c r="BJ169" s="12" t="s">
        <v>863</v>
      </c>
      <c r="BK169" s="12" t="s">
        <v>918</v>
      </c>
      <c r="BL169" s="32">
        <v>460000.0</v>
      </c>
    </row>
    <row r="170">
      <c r="A170" s="21">
        <f t="shared" si="1"/>
        <v>168</v>
      </c>
      <c r="B170" s="22" t="s">
        <v>920</v>
      </c>
      <c r="C170" s="23">
        <v>2.025070006E9</v>
      </c>
      <c r="D170" s="24" t="s">
        <v>921</v>
      </c>
      <c r="E170" s="24" t="s">
        <v>922</v>
      </c>
      <c r="F170" s="24" t="s">
        <v>923</v>
      </c>
      <c r="G170" s="25" t="s">
        <v>437</v>
      </c>
      <c r="H170" s="23" t="s">
        <v>863</v>
      </c>
      <c r="I170" s="23" t="s">
        <v>918</v>
      </c>
      <c r="J170" s="25">
        <v>2.0</v>
      </c>
      <c r="K170" s="25" t="s">
        <v>638</v>
      </c>
      <c r="L170" s="26" t="s">
        <v>924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>
        <v>500000.0</v>
      </c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>
        <v>500000.0</v>
      </c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>
        <f t="shared" si="2"/>
        <v>0</v>
      </c>
      <c r="BD170" s="27">
        <f t="shared" si="3"/>
        <v>1000000</v>
      </c>
      <c r="BE170" s="27">
        <f t="shared" si="4"/>
        <v>0</v>
      </c>
      <c r="BF170" s="27">
        <f t="shared" si="5"/>
        <v>1000000</v>
      </c>
      <c r="BG170" s="24"/>
      <c r="BH170" s="24"/>
      <c r="BI170" s="24"/>
      <c r="BJ170" s="21" t="s">
        <v>863</v>
      </c>
      <c r="BK170" s="21" t="s">
        <v>918</v>
      </c>
      <c r="BL170" s="33">
        <v>460000.0</v>
      </c>
    </row>
    <row r="171">
      <c r="A171" s="12">
        <f t="shared" si="1"/>
        <v>169</v>
      </c>
      <c r="B171" s="13" t="s">
        <v>925</v>
      </c>
      <c r="C171" s="14">
        <v>2.025070559E9</v>
      </c>
      <c r="D171" s="15" t="s">
        <v>926</v>
      </c>
      <c r="E171" s="15" t="s">
        <v>927</v>
      </c>
      <c r="F171" s="15" t="s">
        <v>928</v>
      </c>
      <c r="G171" s="16" t="s">
        <v>215</v>
      </c>
      <c r="H171" s="14" t="s">
        <v>863</v>
      </c>
      <c r="I171" s="14" t="s">
        <v>892</v>
      </c>
      <c r="J171" s="16">
        <v>2.0</v>
      </c>
      <c r="K171" s="16" t="s">
        <v>627</v>
      </c>
      <c r="L171" s="17" t="s">
        <v>929</v>
      </c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>
        <v>450000.0</v>
      </c>
      <c r="Y171" s="18">
        <v>450000.0</v>
      </c>
      <c r="Z171" s="18">
        <v>450000.0</v>
      </c>
      <c r="AA171" s="18"/>
      <c r="AB171" s="18">
        <v>500000.0</v>
      </c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>
        <v>500000.0</v>
      </c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>
        <f t="shared" si="2"/>
        <v>1350000</v>
      </c>
      <c r="BD171" s="18">
        <f t="shared" si="3"/>
        <v>1000000</v>
      </c>
      <c r="BE171" s="18">
        <f t="shared" si="4"/>
        <v>0</v>
      </c>
      <c r="BF171" s="18">
        <f t="shared" si="5"/>
        <v>2350000</v>
      </c>
      <c r="BG171" s="15"/>
      <c r="BH171" s="15"/>
      <c r="BI171" s="15"/>
      <c r="BJ171" s="12" t="s">
        <v>863</v>
      </c>
      <c r="BK171" s="12" t="s">
        <v>892</v>
      </c>
      <c r="BL171" s="32">
        <v>460000.0</v>
      </c>
    </row>
    <row r="172">
      <c r="A172" s="21">
        <f t="shared" si="1"/>
        <v>170</v>
      </c>
      <c r="B172" s="22" t="s">
        <v>930</v>
      </c>
      <c r="C172" s="23">
        <v>2.025070052E9</v>
      </c>
      <c r="D172" s="24" t="s">
        <v>931</v>
      </c>
      <c r="E172" s="24" t="s">
        <v>932</v>
      </c>
      <c r="F172" s="24" t="s">
        <v>933</v>
      </c>
      <c r="G172" s="25" t="s">
        <v>776</v>
      </c>
      <c r="H172" s="23" t="s">
        <v>863</v>
      </c>
      <c r="I172" s="23" t="s">
        <v>864</v>
      </c>
      <c r="J172" s="25">
        <v>2.0</v>
      </c>
      <c r="K172" s="23" t="s">
        <v>777</v>
      </c>
      <c r="L172" s="26" t="s">
        <v>934</v>
      </c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>
        <f t="shared" si="2"/>
        <v>0</v>
      </c>
      <c r="BD172" s="27">
        <f t="shared" si="3"/>
        <v>0</v>
      </c>
      <c r="BE172" s="27">
        <f t="shared" si="4"/>
        <v>0</v>
      </c>
      <c r="BF172" s="27">
        <f t="shared" si="5"/>
        <v>0</v>
      </c>
      <c r="BG172" s="24"/>
      <c r="BH172" s="24"/>
      <c r="BI172" s="24"/>
      <c r="BJ172" s="21" t="s">
        <v>863</v>
      </c>
      <c r="BK172" s="21" t="s">
        <v>864</v>
      </c>
      <c r="BL172" s="30">
        <v>270000.0</v>
      </c>
    </row>
    <row r="173">
      <c r="A173" s="12">
        <f t="shared" si="1"/>
        <v>171</v>
      </c>
      <c r="B173" s="13" t="s">
        <v>935</v>
      </c>
      <c r="C173" s="14">
        <v>2.025070108E9</v>
      </c>
      <c r="D173" s="15" t="s">
        <v>936</v>
      </c>
      <c r="E173" s="15" t="s">
        <v>937</v>
      </c>
      <c r="F173" s="15" t="s">
        <v>938</v>
      </c>
      <c r="G173" s="16" t="s">
        <v>158</v>
      </c>
      <c r="H173" s="14" t="s">
        <v>863</v>
      </c>
      <c r="I173" s="14" t="s">
        <v>918</v>
      </c>
      <c r="J173" s="16">
        <v>2.0</v>
      </c>
      <c r="K173" s="16" t="s">
        <v>617</v>
      </c>
      <c r="L173" s="17" t="s">
        <v>939</v>
      </c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>
        <v>500000.0</v>
      </c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>
        <v>500000.0</v>
      </c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>
        <f t="shared" si="2"/>
        <v>0</v>
      </c>
      <c r="BD173" s="18">
        <f t="shared" si="3"/>
        <v>1000000</v>
      </c>
      <c r="BE173" s="18">
        <f t="shared" si="4"/>
        <v>0</v>
      </c>
      <c r="BF173" s="18">
        <f t="shared" si="5"/>
        <v>1000000</v>
      </c>
      <c r="BG173" s="15"/>
      <c r="BH173" s="15"/>
      <c r="BI173" s="15"/>
      <c r="BJ173" s="12" t="s">
        <v>863</v>
      </c>
      <c r="BK173" s="12" t="s">
        <v>918</v>
      </c>
      <c r="BL173" s="32">
        <v>460000.0</v>
      </c>
    </row>
    <row r="174">
      <c r="A174" s="21">
        <f t="shared" si="1"/>
        <v>172</v>
      </c>
      <c r="B174" s="22" t="s">
        <v>940</v>
      </c>
      <c r="C174" s="23">
        <v>2.025070346E9</v>
      </c>
      <c r="D174" s="24" t="s">
        <v>941</v>
      </c>
      <c r="E174" s="24" t="s">
        <v>942</v>
      </c>
      <c r="F174" s="24" t="s">
        <v>943</v>
      </c>
      <c r="G174" s="25" t="s">
        <v>158</v>
      </c>
      <c r="H174" s="23" t="s">
        <v>863</v>
      </c>
      <c r="I174" s="21"/>
      <c r="J174" s="25">
        <v>2.0</v>
      </c>
      <c r="K174" s="25" t="s">
        <v>617</v>
      </c>
      <c r="L174" s="26" t="s">
        <v>944</v>
      </c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>
        <v>500000.0</v>
      </c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>
        <v>500000.0</v>
      </c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>
        <f t="shared" si="2"/>
        <v>0</v>
      </c>
      <c r="BD174" s="27">
        <f t="shared" si="3"/>
        <v>1000000</v>
      </c>
      <c r="BE174" s="27">
        <f t="shared" si="4"/>
        <v>0</v>
      </c>
      <c r="BF174" s="27">
        <f t="shared" si="5"/>
        <v>1000000</v>
      </c>
      <c r="BG174" s="24"/>
      <c r="BH174" s="24"/>
      <c r="BI174" s="24"/>
      <c r="BJ174" s="21" t="s">
        <v>863</v>
      </c>
      <c r="BK174" s="21"/>
      <c r="BL174" s="33">
        <v>460000.0</v>
      </c>
    </row>
    <row r="175">
      <c r="A175" s="12">
        <f t="shared" si="1"/>
        <v>173</v>
      </c>
      <c r="B175" s="13" t="s">
        <v>945</v>
      </c>
      <c r="C175" s="14">
        <v>2.025070641E9</v>
      </c>
      <c r="D175" s="15" t="s">
        <v>946</v>
      </c>
      <c r="E175" s="15" t="s">
        <v>947</v>
      </c>
      <c r="F175" s="15" t="s">
        <v>948</v>
      </c>
      <c r="G175" s="16" t="s">
        <v>42</v>
      </c>
      <c r="H175" s="14" t="s">
        <v>863</v>
      </c>
      <c r="I175" s="14" t="s">
        <v>892</v>
      </c>
      <c r="J175" s="16">
        <v>2.0</v>
      </c>
      <c r="K175" s="16" t="s">
        <v>627</v>
      </c>
      <c r="L175" s="17" t="s">
        <v>949</v>
      </c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>
        <v>500000.0</v>
      </c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>
        <v>500000.0</v>
      </c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>
        <f t="shared" si="2"/>
        <v>0</v>
      </c>
      <c r="BD175" s="18">
        <f t="shared" si="3"/>
        <v>1000000</v>
      </c>
      <c r="BE175" s="18">
        <f t="shared" si="4"/>
        <v>0</v>
      </c>
      <c r="BF175" s="18">
        <f t="shared" si="5"/>
        <v>1000000</v>
      </c>
      <c r="BG175" s="15"/>
      <c r="BH175" s="15"/>
      <c r="BI175" s="15"/>
      <c r="BJ175" s="12" t="s">
        <v>863</v>
      </c>
      <c r="BK175" s="12" t="s">
        <v>892</v>
      </c>
      <c r="BL175" s="32">
        <v>460000.0</v>
      </c>
    </row>
    <row r="176">
      <c r="A176" s="21">
        <f t="shared" si="1"/>
        <v>174</v>
      </c>
      <c r="B176" s="22" t="s">
        <v>950</v>
      </c>
      <c r="C176" s="23">
        <v>2.025070148E9</v>
      </c>
      <c r="D176" s="24" t="s">
        <v>951</v>
      </c>
      <c r="E176" s="24" t="s">
        <v>952</v>
      </c>
      <c r="F176" s="24" t="s">
        <v>953</v>
      </c>
      <c r="G176" s="25" t="s">
        <v>532</v>
      </c>
      <c r="H176" s="23" t="s">
        <v>863</v>
      </c>
      <c r="I176" s="23" t="s">
        <v>870</v>
      </c>
      <c r="J176" s="25">
        <v>2.0</v>
      </c>
      <c r="K176" s="25" t="s">
        <v>638</v>
      </c>
      <c r="L176" s="26" t="s">
        <v>954</v>
      </c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>
        <v>500000.0</v>
      </c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>
        <v>500000.0</v>
      </c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>
        <f t="shared" si="2"/>
        <v>0</v>
      </c>
      <c r="BD176" s="27">
        <f t="shared" si="3"/>
        <v>1000000</v>
      </c>
      <c r="BE176" s="27">
        <f t="shared" si="4"/>
        <v>0</v>
      </c>
      <c r="BF176" s="27">
        <f t="shared" si="5"/>
        <v>1000000</v>
      </c>
      <c r="BG176" s="24"/>
      <c r="BH176" s="24"/>
      <c r="BI176" s="24"/>
      <c r="BJ176" s="21" t="s">
        <v>863</v>
      </c>
      <c r="BK176" s="21" t="s">
        <v>870</v>
      </c>
      <c r="BL176" s="33">
        <v>460000.0</v>
      </c>
    </row>
    <row r="177">
      <c r="A177" s="12">
        <f t="shared" si="1"/>
        <v>175</v>
      </c>
      <c r="B177" s="13" t="s">
        <v>955</v>
      </c>
      <c r="C177" s="14">
        <v>2.025070494E9</v>
      </c>
      <c r="D177" s="15" t="s">
        <v>956</v>
      </c>
      <c r="E177" s="15" t="s">
        <v>957</v>
      </c>
      <c r="F177" s="15" t="s">
        <v>958</v>
      </c>
      <c r="G177" s="16" t="s">
        <v>275</v>
      </c>
      <c r="H177" s="14" t="s">
        <v>863</v>
      </c>
      <c r="I177" s="14" t="s">
        <v>881</v>
      </c>
      <c r="J177" s="16">
        <v>2.0</v>
      </c>
      <c r="K177" s="16" t="s">
        <v>627</v>
      </c>
      <c r="L177" s="17" t="s">
        <v>959</v>
      </c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>
        <v>500000.0</v>
      </c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>
        <v>500000.0</v>
      </c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>
        <f t="shared" si="2"/>
        <v>0</v>
      </c>
      <c r="BD177" s="18">
        <f t="shared" si="3"/>
        <v>1000000</v>
      </c>
      <c r="BE177" s="18">
        <f t="shared" si="4"/>
        <v>0</v>
      </c>
      <c r="BF177" s="18">
        <f t="shared" si="5"/>
        <v>1000000</v>
      </c>
      <c r="BG177" s="15"/>
      <c r="BH177" s="15"/>
      <c r="BI177" s="15"/>
      <c r="BJ177" s="12" t="s">
        <v>863</v>
      </c>
      <c r="BK177" s="12" t="s">
        <v>881</v>
      </c>
      <c r="BL177" s="32">
        <v>460000.0</v>
      </c>
    </row>
    <row r="178">
      <c r="A178" s="21">
        <f t="shared" si="1"/>
        <v>176</v>
      </c>
      <c r="B178" s="22" t="s">
        <v>960</v>
      </c>
      <c r="C178" s="23">
        <v>2.025070275E9</v>
      </c>
      <c r="D178" s="24" t="s">
        <v>961</v>
      </c>
      <c r="E178" s="24" t="s">
        <v>796</v>
      </c>
      <c r="F178" s="24" t="s">
        <v>962</v>
      </c>
      <c r="G178" s="25" t="s">
        <v>776</v>
      </c>
      <c r="H178" s="23" t="s">
        <v>863</v>
      </c>
      <c r="I178" s="23" t="s">
        <v>864</v>
      </c>
      <c r="J178" s="25">
        <v>2.0</v>
      </c>
      <c r="K178" s="23" t="s">
        <v>777</v>
      </c>
      <c r="L178" s="26" t="s">
        <v>963</v>
      </c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 t="s">
        <v>964</v>
      </c>
      <c r="AB178" s="27">
        <v>500000.0</v>
      </c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>
        <v>500000.0</v>
      </c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>
        <f t="shared" si="2"/>
        <v>0</v>
      </c>
      <c r="BD178" s="27">
        <f t="shared" si="3"/>
        <v>1000000</v>
      </c>
      <c r="BE178" s="27" t="str">
        <f t="shared" si="4"/>
        <v>#VALUE!</v>
      </c>
      <c r="BF178" s="27" t="str">
        <f t="shared" si="5"/>
        <v>#VALUE!</v>
      </c>
      <c r="BG178" s="24"/>
      <c r="BH178" s="24"/>
      <c r="BI178" s="24"/>
      <c r="BJ178" s="21" t="s">
        <v>863</v>
      </c>
      <c r="BK178" s="21" t="s">
        <v>864</v>
      </c>
      <c r="BL178" s="33">
        <v>460000.0</v>
      </c>
    </row>
    <row r="179">
      <c r="A179" s="12">
        <f t="shared" si="1"/>
        <v>177</v>
      </c>
      <c r="B179" s="13" t="s">
        <v>965</v>
      </c>
      <c r="C179" s="14">
        <v>2.025070561E9</v>
      </c>
      <c r="D179" s="15" t="s">
        <v>966</v>
      </c>
      <c r="E179" s="15" t="s">
        <v>967</v>
      </c>
      <c r="F179" s="15" t="s">
        <v>968</v>
      </c>
      <c r="G179" s="16" t="s">
        <v>89</v>
      </c>
      <c r="H179" s="14" t="s">
        <v>863</v>
      </c>
      <c r="I179" s="14" t="s">
        <v>881</v>
      </c>
      <c r="J179" s="16">
        <v>2.0</v>
      </c>
      <c r="K179" s="16" t="s">
        <v>627</v>
      </c>
      <c r="L179" s="17" t="s">
        <v>969</v>
      </c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>
        <v>500000.0</v>
      </c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>
        <v>500000.0</v>
      </c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>
        <f t="shared" si="2"/>
        <v>0</v>
      </c>
      <c r="BD179" s="18">
        <f t="shared" si="3"/>
        <v>1000000</v>
      </c>
      <c r="BE179" s="18">
        <f t="shared" si="4"/>
        <v>0</v>
      </c>
      <c r="BF179" s="18">
        <f t="shared" si="5"/>
        <v>1000000</v>
      </c>
      <c r="BG179" s="15"/>
      <c r="BH179" s="15"/>
      <c r="BI179" s="15"/>
      <c r="BJ179" s="12" t="s">
        <v>863</v>
      </c>
      <c r="BK179" s="12" t="s">
        <v>881</v>
      </c>
      <c r="BL179" s="32">
        <v>460000.0</v>
      </c>
    </row>
    <row r="180">
      <c r="A180" s="21">
        <f t="shared" si="1"/>
        <v>178</v>
      </c>
      <c r="B180" s="22" t="s">
        <v>970</v>
      </c>
      <c r="C180" s="23">
        <v>2.025070547E9</v>
      </c>
      <c r="D180" s="24" t="s">
        <v>971</v>
      </c>
      <c r="E180" s="24" t="s">
        <v>972</v>
      </c>
      <c r="F180" s="24" t="s">
        <v>973</v>
      </c>
      <c r="G180" s="25" t="s">
        <v>95</v>
      </c>
      <c r="H180" s="23" t="s">
        <v>863</v>
      </c>
      <c r="I180" s="23" t="s">
        <v>881</v>
      </c>
      <c r="J180" s="25">
        <v>2.0</v>
      </c>
      <c r="K180" s="25" t="s">
        <v>627</v>
      </c>
      <c r="L180" s="26" t="s">
        <v>974</v>
      </c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>
        <v>450000.0</v>
      </c>
      <c r="AA180" s="27"/>
      <c r="AB180" s="27">
        <v>500000.0</v>
      </c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>
        <v>500000.0</v>
      </c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>
        <f t="shared" si="2"/>
        <v>450000</v>
      </c>
      <c r="BD180" s="27">
        <f t="shared" si="3"/>
        <v>1000000</v>
      </c>
      <c r="BE180" s="27">
        <f t="shared" si="4"/>
        <v>0</v>
      </c>
      <c r="BF180" s="27">
        <f t="shared" si="5"/>
        <v>1450000</v>
      </c>
      <c r="BG180" s="24"/>
      <c r="BH180" s="24"/>
      <c r="BI180" s="24"/>
      <c r="BJ180" s="21" t="s">
        <v>863</v>
      </c>
      <c r="BK180" s="21" t="s">
        <v>881</v>
      </c>
      <c r="BL180" s="33">
        <v>460000.0</v>
      </c>
    </row>
    <row r="181">
      <c r="A181" s="12">
        <f t="shared" si="1"/>
        <v>179</v>
      </c>
      <c r="B181" s="13" t="s">
        <v>975</v>
      </c>
      <c r="C181" s="14">
        <v>2.025070565E9</v>
      </c>
      <c r="D181" s="15" t="s">
        <v>976</v>
      </c>
      <c r="E181" s="15" t="s">
        <v>977</v>
      </c>
      <c r="F181" s="15" t="s">
        <v>978</v>
      </c>
      <c r="G181" s="16" t="s">
        <v>82</v>
      </c>
      <c r="H181" s="14" t="s">
        <v>863</v>
      </c>
      <c r="I181" s="14" t="s">
        <v>881</v>
      </c>
      <c r="J181" s="16">
        <v>2.0</v>
      </c>
      <c r="K181" s="16" t="s">
        <v>609</v>
      </c>
      <c r="L181" s="17" t="s">
        <v>979</v>
      </c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>
        <f t="shared" si="2"/>
        <v>0</v>
      </c>
      <c r="BD181" s="18">
        <f t="shared" si="3"/>
        <v>0</v>
      </c>
      <c r="BE181" s="18">
        <f t="shared" si="4"/>
        <v>0</v>
      </c>
      <c r="BF181" s="18">
        <f t="shared" si="5"/>
        <v>0</v>
      </c>
      <c r="BG181" s="15"/>
      <c r="BH181" s="15"/>
      <c r="BI181" s="15"/>
      <c r="BJ181" s="12" t="s">
        <v>863</v>
      </c>
      <c r="BK181" s="12" t="s">
        <v>881</v>
      </c>
      <c r="BL181" s="32">
        <v>460000.0</v>
      </c>
    </row>
    <row r="182">
      <c r="A182" s="21">
        <f t="shared" si="1"/>
        <v>180</v>
      </c>
      <c r="B182" s="22" t="s">
        <v>980</v>
      </c>
      <c r="C182" s="23">
        <v>2.025070323E9</v>
      </c>
      <c r="D182" s="24" t="s">
        <v>981</v>
      </c>
      <c r="E182" s="24" t="s">
        <v>982</v>
      </c>
      <c r="F182" s="24" t="s">
        <v>983</v>
      </c>
      <c r="G182" s="25" t="s">
        <v>658</v>
      </c>
      <c r="H182" s="23" t="s">
        <v>863</v>
      </c>
      <c r="I182" s="23" t="s">
        <v>870</v>
      </c>
      <c r="J182" s="25">
        <v>2.0</v>
      </c>
      <c r="K182" s="25" t="s">
        <v>594</v>
      </c>
      <c r="L182" s="26" t="s">
        <v>984</v>
      </c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>
        <v>500000.0</v>
      </c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>
        <v>500000.0</v>
      </c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>
        <f t="shared" si="2"/>
        <v>0</v>
      </c>
      <c r="BD182" s="27">
        <f t="shared" si="3"/>
        <v>1000000</v>
      </c>
      <c r="BE182" s="27">
        <f t="shared" si="4"/>
        <v>0</v>
      </c>
      <c r="BF182" s="27">
        <f t="shared" si="5"/>
        <v>1000000</v>
      </c>
      <c r="BG182" s="24"/>
      <c r="BH182" s="24"/>
      <c r="BI182" s="24"/>
      <c r="BJ182" s="21" t="s">
        <v>863</v>
      </c>
      <c r="BK182" s="21" t="s">
        <v>870</v>
      </c>
      <c r="BL182" s="33">
        <v>460000.0</v>
      </c>
    </row>
    <row r="183">
      <c r="A183" s="12">
        <f t="shared" si="1"/>
        <v>181</v>
      </c>
      <c r="B183" s="13" t="s">
        <v>985</v>
      </c>
      <c r="C183" s="14">
        <v>2.025070622E9</v>
      </c>
      <c r="D183" s="15" t="s">
        <v>986</v>
      </c>
      <c r="E183" s="15" t="s">
        <v>987</v>
      </c>
      <c r="F183" s="15" t="s">
        <v>988</v>
      </c>
      <c r="G183" s="16" t="s">
        <v>215</v>
      </c>
      <c r="H183" s="14" t="s">
        <v>863</v>
      </c>
      <c r="I183" s="14" t="s">
        <v>881</v>
      </c>
      <c r="J183" s="16">
        <v>2.0</v>
      </c>
      <c r="K183" s="16" t="s">
        <v>609</v>
      </c>
      <c r="L183" s="17" t="s">
        <v>989</v>
      </c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>
        <v>450000.0</v>
      </c>
      <c r="AA183" s="18"/>
      <c r="AB183" s="18">
        <v>500000.0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>
        <v>500000.0</v>
      </c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>
        <f t="shared" si="2"/>
        <v>450000</v>
      </c>
      <c r="BD183" s="18">
        <f t="shared" si="3"/>
        <v>1000000</v>
      </c>
      <c r="BE183" s="18">
        <f t="shared" si="4"/>
        <v>0</v>
      </c>
      <c r="BF183" s="18">
        <f t="shared" si="5"/>
        <v>1450000</v>
      </c>
      <c r="BG183" s="15"/>
      <c r="BH183" s="15"/>
      <c r="BI183" s="15"/>
      <c r="BJ183" s="12" t="s">
        <v>863</v>
      </c>
      <c r="BK183" s="12" t="s">
        <v>881</v>
      </c>
      <c r="BL183" s="32">
        <v>460000.0</v>
      </c>
    </row>
    <row r="184">
      <c r="A184" s="21">
        <f t="shared" si="1"/>
        <v>182</v>
      </c>
      <c r="B184" s="22" t="s">
        <v>990</v>
      </c>
      <c r="C184" s="23">
        <v>2.025070113E9</v>
      </c>
      <c r="D184" s="24" t="s">
        <v>991</v>
      </c>
      <c r="E184" s="24" t="s">
        <v>992</v>
      </c>
      <c r="F184" s="24" t="s">
        <v>993</v>
      </c>
      <c r="G184" s="25" t="s">
        <v>658</v>
      </c>
      <c r="H184" s="23" t="s">
        <v>863</v>
      </c>
      <c r="I184" s="23" t="s">
        <v>870</v>
      </c>
      <c r="J184" s="25">
        <v>2.0</v>
      </c>
      <c r="K184" s="25" t="s">
        <v>617</v>
      </c>
      <c r="L184" s="26" t="s">
        <v>994</v>
      </c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>
        <f t="shared" si="2"/>
        <v>0</v>
      </c>
      <c r="BD184" s="27">
        <f t="shared" si="3"/>
        <v>0</v>
      </c>
      <c r="BE184" s="27">
        <f t="shared" si="4"/>
        <v>0</v>
      </c>
      <c r="BF184" s="27">
        <f t="shared" si="5"/>
        <v>0</v>
      </c>
      <c r="BG184" s="24"/>
      <c r="BH184" s="24"/>
      <c r="BI184" s="24"/>
      <c r="BJ184" s="21" t="s">
        <v>863</v>
      </c>
      <c r="BK184" s="21" t="s">
        <v>870</v>
      </c>
      <c r="BL184" s="33">
        <v>460000.0</v>
      </c>
    </row>
    <row r="185">
      <c r="A185" s="12">
        <f t="shared" si="1"/>
        <v>183</v>
      </c>
      <c r="B185" s="13" t="s">
        <v>995</v>
      </c>
      <c r="C185" s="14">
        <v>2.025070214E9</v>
      </c>
      <c r="D185" s="15" t="s">
        <v>996</v>
      </c>
      <c r="E185" s="15" t="s">
        <v>997</v>
      </c>
      <c r="F185" s="15" t="s">
        <v>998</v>
      </c>
      <c r="G185" s="16" t="s">
        <v>243</v>
      </c>
      <c r="H185" s="14" t="s">
        <v>863</v>
      </c>
      <c r="I185" s="14" t="s">
        <v>864</v>
      </c>
      <c r="J185" s="16">
        <v>2.0</v>
      </c>
      <c r="K185" s="16" t="s">
        <v>617</v>
      </c>
      <c r="L185" s="17" t="s">
        <v>999</v>
      </c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>
        <v>500000.0</v>
      </c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>
        <v>500000.0</v>
      </c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>
        <f t="shared" si="2"/>
        <v>0</v>
      </c>
      <c r="BD185" s="18">
        <f t="shared" si="3"/>
        <v>1000000</v>
      </c>
      <c r="BE185" s="18">
        <f t="shared" si="4"/>
        <v>0</v>
      </c>
      <c r="BF185" s="18">
        <f t="shared" si="5"/>
        <v>1000000</v>
      </c>
      <c r="BG185" s="15"/>
      <c r="BH185" s="15"/>
      <c r="BI185" s="15"/>
      <c r="BJ185" s="12" t="s">
        <v>863</v>
      </c>
      <c r="BK185" s="12" t="s">
        <v>864</v>
      </c>
      <c r="BL185" s="32">
        <v>460000.0</v>
      </c>
    </row>
    <row r="186">
      <c r="A186" s="21">
        <f t="shared" si="1"/>
        <v>184</v>
      </c>
      <c r="B186" s="22" t="s">
        <v>1000</v>
      </c>
      <c r="C186" s="23">
        <v>2.025070514E9</v>
      </c>
      <c r="D186" s="22" t="s">
        <v>1001</v>
      </c>
      <c r="E186" s="22" t="s">
        <v>344</v>
      </c>
      <c r="F186" s="22" t="s">
        <v>1002</v>
      </c>
      <c r="G186" s="25" t="s">
        <v>215</v>
      </c>
      <c r="H186" s="23" t="s">
        <v>863</v>
      </c>
      <c r="I186" s="23" t="s">
        <v>892</v>
      </c>
      <c r="J186" s="25">
        <v>2.0</v>
      </c>
      <c r="K186" s="25" t="s">
        <v>602</v>
      </c>
      <c r="L186" s="26" t="s">
        <v>1003</v>
      </c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>
        <f t="shared" si="2"/>
        <v>0</v>
      </c>
      <c r="BD186" s="27">
        <f t="shared" si="3"/>
        <v>0</v>
      </c>
      <c r="BE186" s="27">
        <f t="shared" si="4"/>
        <v>0</v>
      </c>
      <c r="BF186" s="27">
        <f t="shared" si="5"/>
        <v>0</v>
      </c>
      <c r="BG186" s="24"/>
      <c r="BH186" s="24"/>
      <c r="BI186" s="24"/>
      <c r="BJ186" s="21" t="s">
        <v>863</v>
      </c>
      <c r="BK186" s="21" t="s">
        <v>892</v>
      </c>
      <c r="BL186" s="33">
        <v>460000.0</v>
      </c>
    </row>
    <row r="187">
      <c r="A187" s="12">
        <f t="shared" si="1"/>
        <v>185</v>
      </c>
      <c r="B187" s="13" t="s">
        <v>1004</v>
      </c>
      <c r="C187" s="14">
        <v>2.025070268E9</v>
      </c>
      <c r="D187" s="15" t="s">
        <v>1005</v>
      </c>
      <c r="E187" s="15" t="s">
        <v>1006</v>
      </c>
      <c r="F187" s="15" t="s">
        <v>140</v>
      </c>
      <c r="G187" s="16" t="s">
        <v>776</v>
      </c>
      <c r="H187" s="14" t="s">
        <v>863</v>
      </c>
      <c r="I187" s="14" t="s">
        <v>864</v>
      </c>
      <c r="J187" s="16">
        <v>2.0</v>
      </c>
      <c r="K187" s="14" t="s">
        <v>777</v>
      </c>
      <c r="L187" s="17" t="s">
        <v>1007</v>
      </c>
      <c r="M187" s="18">
        <v>600000.0</v>
      </c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>
        <v>450000.0</v>
      </c>
      <c r="Y187" s="18">
        <v>450000.0</v>
      </c>
      <c r="Z187" s="18">
        <v>450000.0</v>
      </c>
      <c r="AA187" s="18"/>
      <c r="AB187" s="18">
        <v>500000.0</v>
      </c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>
        <v>500000.0</v>
      </c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>
        <f t="shared" si="2"/>
        <v>1350000</v>
      </c>
      <c r="BD187" s="18">
        <f t="shared" si="3"/>
        <v>1600000</v>
      </c>
      <c r="BE187" s="18">
        <f t="shared" si="4"/>
        <v>0</v>
      </c>
      <c r="BF187" s="18">
        <f t="shared" si="5"/>
        <v>2950000</v>
      </c>
      <c r="BG187" s="15"/>
      <c r="BH187" s="15"/>
      <c r="BI187" s="15"/>
      <c r="BJ187" s="12" t="s">
        <v>863</v>
      </c>
      <c r="BK187" s="12" t="s">
        <v>864</v>
      </c>
      <c r="BL187" s="32">
        <v>460000.0</v>
      </c>
    </row>
    <row r="188">
      <c r="A188" s="21">
        <f t="shared" si="1"/>
        <v>186</v>
      </c>
      <c r="B188" s="22" t="s">
        <v>1008</v>
      </c>
      <c r="C188" s="23">
        <v>2.025070516E9</v>
      </c>
      <c r="D188" s="24" t="s">
        <v>1009</v>
      </c>
      <c r="E188" s="24" t="s">
        <v>1010</v>
      </c>
      <c r="F188" s="24" t="s">
        <v>1011</v>
      </c>
      <c r="G188" s="25" t="s">
        <v>125</v>
      </c>
      <c r="H188" s="23" t="s">
        <v>863</v>
      </c>
      <c r="I188" s="23" t="s">
        <v>892</v>
      </c>
      <c r="J188" s="25">
        <v>2.0</v>
      </c>
      <c r="K188" s="25" t="s">
        <v>602</v>
      </c>
      <c r="L188" s="26" t="s">
        <v>1012</v>
      </c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>
        <v>500000.0</v>
      </c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>
        <v>500000.0</v>
      </c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>
        <f t="shared" si="2"/>
        <v>0</v>
      </c>
      <c r="BD188" s="27">
        <f t="shared" si="3"/>
        <v>1000000</v>
      </c>
      <c r="BE188" s="27">
        <f t="shared" si="4"/>
        <v>0</v>
      </c>
      <c r="BF188" s="27">
        <f t="shared" si="5"/>
        <v>1000000</v>
      </c>
      <c r="BG188" s="24"/>
      <c r="BH188" s="24"/>
      <c r="BI188" s="24"/>
      <c r="BJ188" s="21" t="s">
        <v>863</v>
      </c>
      <c r="BK188" s="21" t="s">
        <v>892</v>
      </c>
      <c r="BL188" s="33">
        <v>460000.0</v>
      </c>
    </row>
    <row r="189">
      <c r="A189" s="12">
        <f t="shared" si="1"/>
        <v>187</v>
      </c>
      <c r="B189" s="13" t="s">
        <v>1013</v>
      </c>
      <c r="C189" s="14">
        <v>2.025070158E9</v>
      </c>
      <c r="D189" s="15" t="s">
        <v>1014</v>
      </c>
      <c r="E189" s="15" t="s">
        <v>1015</v>
      </c>
      <c r="F189" s="15" t="s">
        <v>1016</v>
      </c>
      <c r="G189" s="16" t="s">
        <v>437</v>
      </c>
      <c r="H189" s="14" t="s">
        <v>863</v>
      </c>
      <c r="I189" s="14" t="s">
        <v>870</v>
      </c>
      <c r="J189" s="16">
        <v>2.0</v>
      </c>
      <c r="K189" s="16" t="s">
        <v>1017</v>
      </c>
      <c r="L189" s="17" t="s">
        <v>1018</v>
      </c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>
        <v>500000.0</v>
      </c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>
        <v>500000.0</v>
      </c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>
        <f t="shared" si="2"/>
        <v>0</v>
      </c>
      <c r="BD189" s="18">
        <f t="shared" si="3"/>
        <v>1000000</v>
      </c>
      <c r="BE189" s="18">
        <f t="shared" si="4"/>
        <v>0</v>
      </c>
      <c r="BF189" s="18">
        <f t="shared" si="5"/>
        <v>1000000</v>
      </c>
      <c r="BG189" s="15"/>
      <c r="BH189" s="15"/>
      <c r="BI189" s="15"/>
      <c r="BJ189" s="12" t="s">
        <v>863</v>
      </c>
      <c r="BK189" s="12" t="s">
        <v>870</v>
      </c>
      <c r="BL189" s="32">
        <v>460000.0</v>
      </c>
    </row>
    <row r="190">
      <c r="A190" s="21">
        <f t="shared" si="1"/>
        <v>188</v>
      </c>
      <c r="B190" s="22" t="s">
        <v>1019</v>
      </c>
      <c r="C190" s="23">
        <v>2.025070015E9</v>
      </c>
      <c r="D190" s="24" t="s">
        <v>1020</v>
      </c>
      <c r="E190" s="24" t="s">
        <v>1021</v>
      </c>
      <c r="F190" s="24" t="s">
        <v>1022</v>
      </c>
      <c r="G190" s="25" t="s">
        <v>591</v>
      </c>
      <c r="H190" s="23" t="s">
        <v>863</v>
      </c>
      <c r="I190" s="23" t="s">
        <v>918</v>
      </c>
      <c r="J190" s="25">
        <v>2.0</v>
      </c>
      <c r="K190" s="25" t="s">
        <v>1017</v>
      </c>
      <c r="L190" s="26" t="s">
        <v>1023</v>
      </c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>
        <v>500000.0</v>
      </c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>
        <v>500000.0</v>
      </c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>
        <f t="shared" si="2"/>
        <v>0</v>
      </c>
      <c r="BD190" s="27">
        <f t="shared" si="3"/>
        <v>1000000</v>
      </c>
      <c r="BE190" s="27">
        <f t="shared" si="4"/>
        <v>0</v>
      </c>
      <c r="BF190" s="27">
        <f t="shared" si="5"/>
        <v>1000000</v>
      </c>
      <c r="BG190" s="24"/>
      <c r="BH190" s="24"/>
      <c r="BI190" s="24"/>
      <c r="BJ190" s="21" t="s">
        <v>863</v>
      </c>
      <c r="BK190" s="21" t="s">
        <v>918</v>
      </c>
      <c r="BL190" s="33">
        <v>460000.0</v>
      </c>
    </row>
    <row r="191">
      <c r="A191" s="12">
        <f t="shared" si="1"/>
        <v>189</v>
      </c>
      <c r="B191" s="13" t="s">
        <v>1024</v>
      </c>
      <c r="C191" s="14">
        <v>2.025070252E9</v>
      </c>
      <c r="D191" s="15" t="s">
        <v>1025</v>
      </c>
      <c r="E191" s="15" t="s">
        <v>1026</v>
      </c>
      <c r="F191" s="15" t="s">
        <v>1027</v>
      </c>
      <c r="G191" s="16" t="s">
        <v>33</v>
      </c>
      <c r="H191" s="14" t="s">
        <v>863</v>
      </c>
      <c r="I191" s="14" t="s">
        <v>1028</v>
      </c>
      <c r="J191" s="16">
        <v>2.0</v>
      </c>
      <c r="K191" s="16" t="s">
        <v>706</v>
      </c>
      <c r="L191" s="17" t="s">
        <v>1029</v>
      </c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>
        <f t="shared" si="2"/>
        <v>0</v>
      </c>
      <c r="BD191" s="18">
        <f t="shared" si="3"/>
        <v>0</v>
      </c>
      <c r="BE191" s="18">
        <f t="shared" si="4"/>
        <v>0</v>
      </c>
      <c r="BF191" s="18">
        <f t="shared" si="5"/>
        <v>0</v>
      </c>
      <c r="BG191" s="15"/>
      <c r="BH191" s="15"/>
      <c r="BI191" s="15"/>
      <c r="BJ191" s="12" t="s">
        <v>863</v>
      </c>
      <c r="BK191" s="12" t="s">
        <v>1028</v>
      </c>
      <c r="BL191" s="32">
        <v>460000.0</v>
      </c>
    </row>
    <row r="192">
      <c r="A192" s="21">
        <f t="shared" si="1"/>
        <v>190</v>
      </c>
      <c r="B192" s="22" t="s">
        <v>1030</v>
      </c>
      <c r="C192" s="23">
        <v>2.025070026E9</v>
      </c>
      <c r="D192" s="24" t="s">
        <v>1031</v>
      </c>
      <c r="E192" s="24" t="s">
        <v>1032</v>
      </c>
      <c r="F192" s="24" t="s">
        <v>1033</v>
      </c>
      <c r="G192" s="25" t="s">
        <v>591</v>
      </c>
      <c r="H192" s="23" t="s">
        <v>863</v>
      </c>
      <c r="I192" s="23" t="s">
        <v>864</v>
      </c>
      <c r="J192" s="25">
        <v>2.0</v>
      </c>
      <c r="K192" s="25" t="s">
        <v>1017</v>
      </c>
      <c r="L192" s="26" t="s">
        <v>1034</v>
      </c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>
        <v>500000.0</v>
      </c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>
        <v>500000.0</v>
      </c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>
        <f t="shared" si="2"/>
        <v>0</v>
      </c>
      <c r="BD192" s="27">
        <f t="shared" si="3"/>
        <v>1000000</v>
      </c>
      <c r="BE192" s="27">
        <f t="shared" si="4"/>
        <v>0</v>
      </c>
      <c r="BF192" s="27">
        <f t="shared" si="5"/>
        <v>1000000</v>
      </c>
      <c r="BG192" s="24"/>
      <c r="BH192" s="24"/>
      <c r="BI192" s="24"/>
      <c r="BJ192" s="21" t="s">
        <v>863</v>
      </c>
      <c r="BK192" s="21" t="s">
        <v>864</v>
      </c>
      <c r="BL192" s="33">
        <v>460000.0</v>
      </c>
    </row>
    <row r="193">
      <c r="A193" s="12">
        <f t="shared" si="1"/>
        <v>191</v>
      </c>
      <c r="B193" s="13" t="s">
        <v>1035</v>
      </c>
      <c r="C193" s="14">
        <v>2.025070448E9</v>
      </c>
      <c r="D193" s="15" t="s">
        <v>1036</v>
      </c>
      <c r="E193" s="15" t="s">
        <v>1037</v>
      </c>
      <c r="F193" s="15" t="s">
        <v>1038</v>
      </c>
      <c r="G193" s="12" t="e">
        <v>#N/A</v>
      </c>
      <c r="H193" s="14" t="s">
        <v>863</v>
      </c>
      <c r="I193" s="12"/>
      <c r="J193" s="16">
        <v>2.0</v>
      </c>
      <c r="K193" s="14" t="s">
        <v>391</v>
      </c>
      <c r="L193" s="17" t="s">
        <v>1039</v>
      </c>
      <c r="M193" s="18">
        <v>600000.0</v>
      </c>
      <c r="N193" s="18">
        <v>200000.0</v>
      </c>
      <c r="O193" s="18">
        <v>450000.0</v>
      </c>
      <c r="P193" s="18">
        <v>450000.0</v>
      </c>
      <c r="Q193" s="18">
        <v>450000.0</v>
      </c>
      <c r="R193" s="18">
        <v>450000.0</v>
      </c>
      <c r="S193" s="18">
        <v>450000.0</v>
      </c>
      <c r="T193" s="18">
        <v>450000.0</v>
      </c>
      <c r="U193" s="18">
        <v>450000.0</v>
      </c>
      <c r="V193" s="18">
        <v>450000.0</v>
      </c>
      <c r="W193" s="18">
        <v>450000.0</v>
      </c>
      <c r="X193" s="18">
        <v>450000.0</v>
      </c>
      <c r="Y193" s="18">
        <v>450000.0</v>
      </c>
      <c r="Z193" s="18">
        <v>450000.0</v>
      </c>
      <c r="AA193" s="18"/>
      <c r="AB193" s="18">
        <v>500000.0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>
        <v>500000.0</v>
      </c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>
        <f t="shared" si="2"/>
        <v>5400000</v>
      </c>
      <c r="BD193" s="18">
        <f t="shared" si="3"/>
        <v>1600000</v>
      </c>
      <c r="BE193" s="18">
        <f t="shared" si="4"/>
        <v>0</v>
      </c>
      <c r="BF193" s="18">
        <f t="shared" si="5"/>
        <v>7000000</v>
      </c>
      <c r="BG193" s="15"/>
      <c r="BH193" s="15"/>
      <c r="BI193" s="15"/>
      <c r="BJ193" s="12" t="s">
        <v>863</v>
      </c>
      <c r="BK193" s="12"/>
      <c r="BL193" s="32">
        <v>460000.0</v>
      </c>
    </row>
    <row r="194">
      <c r="A194" s="21">
        <f t="shared" si="1"/>
        <v>192</v>
      </c>
      <c r="B194" s="22" t="s">
        <v>1040</v>
      </c>
      <c r="C194" s="23">
        <v>2.025070531E9</v>
      </c>
      <c r="D194" s="24" t="s">
        <v>1041</v>
      </c>
      <c r="E194" s="24" t="s">
        <v>1042</v>
      </c>
      <c r="F194" s="24" t="s">
        <v>1043</v>
      </c>
      <c r="G194" s="25" t="s">
        <v>95</v>
      </c>
      <c r="H194" s="23" t="s">
        <v>863</v>
      </c>
      <c r="I194" s="23" t="s">
        <v>918</v>
      </c>
      <c r="J194" s="25">
        <v>2.0</v>
      </c>
      <c r="K194" s="25" t="s">
        <v>627</v>
      </c>
      <c r="L194" s="26" t="s">
        <v>1044</v>
      </c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>
        <v>450000.0</v>
      </c>
      <c r="X194" s="27">
        <v>450000.0</v>
      </c>
      <c r="Y194" s="27">
        <v>450000.0</v>
      </c>
      <c r="Z194" s="27">
        <v>450000.0</v>
      </c>
      <c r="AA194" s="27"/>
      <c r="AB194" s="27">
        <v>500000.0</v>
      </c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>
        <v>500000.0</v>
      </c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>
        <f t="shared" si="2"/>
        <v>1800000</v>
      </c>
      <c r="BD194" s="27">
        <f t="shared" si="3"/>
        <v>1000000</v>
      </c>
      <c r="BE194" s="27">
        <f t="shared" si="4"/>
        <v>0</v>
      </c>
      <c r="BF194" s="27">
        <f t="shared" si="5"/>
        <v>2800000</v>
      </c>
      <c r="BG194" s="24"/>
      <c r="BH194" s="24"/>
      <c r="BI194" s="24"/>
      <c r="BJ194" s="21" t="s">
        <v>863</v>
      </c>
      <c r="BK194" s="21" t="s">
        <v>918</v>
      </c>
      <c r="BL194" s="33">
        <v>460000.0</v>
      </c>
    </row>
    <row r="195">
      <c r="A195" s="12">
        <f t="shared" si="1"/>
        <v>193</v>
      </c>
      <c r="B195" s="13" t="s">
        <v>1045</v>
      </c>
      <c r="C195" s="14">
        <v>2.025070278E9</v>
      </c>
      <c r="D195" s="15" t="s">
        <v>1046</v>
      </c>
      <c r="E195" s="15" t="s">
        <v>1047</v>
      </c>
      <c r="F195" s="15" t="s">
        <v>1048</v>
      </c>
      <c r="G195" s="16" t="s">
        <v>1049</v>
      </c>
      <c r="H195" s="14" t="s">
        <v>863</v>
      </c>
      <c r="I195" s="14" t="s">
        <v>870</v>
      </c>
      <c r="J195" s="16">
        <v>2.0</v>
      </c>
      <c r="K195" s="16" t="s">
        <v>638</v>
      </c>
      <c r="L195" s="17" t="s">
        <v>1050</v>
      </c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>
        <v>500000.0</v>
      </c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>
        <v>500000.0</v>
      </c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>
        <f t="shared" si="2"/>
        <v>0</v>
      </c>
      <c r="BD195" s="18">
        <f t="shared" si="3"/>
        <v>1000000</v>
      </c>
      <c r="BE195" s="18">
        <f t="shared" si="4"/>
        <v>0</v>
      </c>
      <c r="BF195" s="18">
        <f t="shared" si="5"/>
        <v>1000000</v>
      </c>
      <c r="BG195" s="15"/>
      <c r="BH195" s="15"/>
      <c r="BI195" s="15"/>
      <c r="BJ195" s="12" t="s">
        <v>863</v>
      </c>
      <c r="BK195" s="12" t="s">
        <v>870</v>
      </c>
      <c r="BL195" s="32">
        <v>460000.0</v>
      </c>
    </row>
    <row r="196">
      <c r="A196" s="21">
        <f t="shared" si="1"/>
        <v>194</v>
      </c>
      <c r="B196" s="22" t="s">
        <v>1051</v>
      </c>
      <c r="C196" s="23">
        <v>2.025070579E9</v>
      </c>
      <c r="D196" s="24" t="s">
        <v>1052</v>
      </c>
      <c r="E196" s="24" t="s">
        <v>709</v>
      </c>
      <c r="F196" s="24" t="s">
        <v>1053</v>
      </c>
      <c r="G196" s="25" t="s">
        <v>42</v>
      </c>
      <c r="H196" s="23" t="s">
        <v>863</v>
      </c>
      <c r="I196" s="23" t="s">
        <v>892</v>
      </c>
      <c r="J196" s="25">
        <v>2.0</v>
      </c>
      <c r="K196" s="25" t="s">
        <v>609</v>
      </c>
      <c r="L196" s="26" t="s">
        <v>1054</v>
      </c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>
        <f t="shared" si="2"/>
        <v>0</v>
      </c>
      <c r="BD196" s="27">
        <f t="shared" si="3"/>
        <v>0</v>
      </c>
      <c r="BE196" s="27">
        <f t="shared" si="4"/>
        <v>0</v>
      </c>
      <c r="BF196" s="27">
        <f t="shared" si="5"/>
        <v>0</v>
      </c>
      <c r="BG196" s="24"/>
      <c r="BH196" s="24"/>
      <c r="BI196" s="24"/>
      <c r="BJ196" s="21" t="s">
        <v>863</v>
      </c>
      <c r="BK196" s="21" t="s">
        <v>892</v>
      </c>
      <c r="BL196" s="33">
        <v>460000.0</v>
      </c>
    </row>
    <row r="197">
      <c r="A197" s="12">
        <f t="shared" si="1"/>
        <v>195</v>
      </c>
      <c r="B197" s="13" t="s">
        <v>1055</v>
      </c>
      <c r="C197" s="14">
        <v>2.025070644E9</v>
      </c>
      <c r="D197" s="15" t="s">
        <v>1056</v>
      </c>
      <c r="E197" s="15" t="s">
        <v>1057</v>
      </c>
      <c r="F197" s="15" t="s">
        <v>1058</v>
      </c>
      <c r="G197" s="16" t="s">
        <v>42</v>
      </c>
      <c r="H197" s="14" t="s">
        <v>863</v>
      </c>
      <c r="I197" s="14" t="s">
        <v>864</v>
      </c>
      <c r="J197" s="16">
        <v>2.0</v>
      </c>
      <c r="K197" s="16" t="s">
        <v>602</v>
      </c>
      <c r="L197" s="17" t="s">
        <v>1059</v>
      </c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>
        <v>450000.0</v>
      </c>
      <c r="Y197" s="18">
        <v>450000.0</v>
      </c>
      <c r="Z197" s="18">
        <v>450000.0</v>
      </c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>
        <f t="shared" si="2"/>
        <v>1350000</v>
      </c>
      <c r="BD197" s="18">
        <f t="shared" si="3"/>
        <v>0</v>
      </c>
      <c r="BE197" s="18">
        <f t="shared" si="4"/>
        <v>0</v>
      </c>
      <c r="BF197" s="18">
        <f t="shared" si="5"/>
        <v>1350000</v>
      </c>
      <c r="BG197" s="15"/>
      <c r="BH197" s="15"/>
      <c r="BI197" s="15"/>
      <c r="BJ197" s="12" t="s">
        <v>863</v>
      </c>
      <c r="BK197" s="12" t="s">
        <v>864</v>
      </c>
      <c r="BL197" s="32">
        <v>460000.0</v>
      </c>
    </row>
    <row r="198">
      <c r="A198" s="21">
        <f t="shared" si="1"/>
        <v>196</v>
      </c>
      <c r="B198" s="22" t="s">
        <v>1060</v>
      </c>
      <c r="C198" s="23">
        <v>2.0250706E9</v>
      </c>
      <c r="D198" s="24" t="s">
        <v>1061</v>
      </c>
      <c r="E198" s="24" t="s">
        <v>1062</v>
      </c>
      <c r="F198" s="24" t="s">
        <v>1063</v>
      </c>
      <c r="G198" s="25" t="s">
        <v>95</v>
      </c>
      <c r="H198" s="23" t="s">
        <v>863</v>
      </c>
      <c r="I198" s="23" t="s">
        <v>892</v>
      </c>
      <c r="J198" s="25">
        <v>2.0</v>
      </c>
      <c r="K198" s="25" t="s">
        <v>627</v>
      </c>
      <c r="L198" s="26" t="s">
        <v>1064</v>
      </c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>
        <f t="shared" si="2"/>
        <v>0</v>
      </c>
      <c r="BD198" s="27">
        <f t="shared" si="3"/>
        <v>0</v>
      </c>
      <c r="BE198" s="27">
        <f t="shared" si="4"/>
        <v>0</v>
      </c>
      <c r="BF198" s="27">
        <f t="shared" si="5"/>
        <v>0</v>
      </c>
      <c r="BG198" s="24"/>
      <c r="BH198" s="24"/>
      <c r="BI198" s="24"/>
      <c r="BJ198" s="21" t="s">
        <v>863</v>
      </c>
      <c r="BK198" s="21" t="s">
        <v>892</v>
      </c>
      <c r="BL198" s="33">
        <v>460000.0</v>
      </c>
    </row>
    <row r="199">
      <c r="A199" s="12">
        <f t="shared" si="1"/>
        <v>197</v>
      </c>
      <c r="B199" s="13" t="s">
        <v>1065</v>
      </c>
      <c r="C199" s="14">
        <v>2.025070303E9</v>
      </c>
      <c r="D199" s="15" t="s">
        <v>1066</v>
      </c>
      <c r="E199" s="15" t="s">
        <v>1067</v>
      </c>
      <c r="F199" s="15" t="s">
        <v>1068</v>
      </c>
      <c r="G199" s="16" t="s">
        <v>33</v>
      </c>
      <c r="H199" s="14" t="s">
        <v>863</v>
      </c>
      <c r="I199" s="14" t="s">
        <v>1028</v>
      </c>
      <c r="J199" s="16">
        <v>2.0</v>
      </c>
      <c r="K199" s="16" t="s">
        <v>706</v>
      </c>
      <c r="L199" s="17" t="s">
        <v>1069</v>
      </c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>
        <v>500000.0</v>
      </c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>
        <v>500000.0</v>
      </c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>
        <f t="shared" si="2"/>
        <v>0</v>
      </c>
      <c r="BD199" s="18">
        <f t="shared" si="3"/>
        <v>1000000</v>
      </c>
      <c r="BE199" s="18">
        <f t="shared" si="4"/>
        <v>0</v>
      </c>
      <c r="BF199" s="18">
        <f t="shared" si="5"/>
        <v>1000000</v>
      </c>
      <c r="BG199" s="15"/>
      <c r="BH199" s="15"/>
      <c r="BI199" s="15"/>
      <c r="BJ199" s="12" t="s">
        <v>863</v>
      </c>
      <c r="BK199" s="12" t="s">
        <v>1028</v>
      </c>
      <c r="BL199" s="32">
        <v>460000.0</v>
      </c>
    </row>
    <row r="200">
      <c r="A200" s="21">
        <f t="shared" si="1"/>
        <v>198</v>
      </c>
      <c r="B200" s="22" t="s">
        <v>1070</v>
      </c>
      <c r="C200" s="23">
        <v>2.025070606E9</v>
      </c>
      <c r="D200" s="24" t="s">
        <v>1071</v>
      </c>
      <c r="E200" s="24" t="s">
        <v>1072</v>
      </c>
      <c r="F200" s="24" t="s">
        <v>1073</v>
      </c>
      <c r="G200" s="25" t="s">
        <v>215</v>
      </c>
      <c r="H200" s="23" t="s">
        <v>863</v>
      </c>
      <c r="I200" s="23" t="s">
        <v>864</v>
      </c>
      <c r="J200" s="25">
        <v>2.0</v>
      </c>
      <c r="K200" s="25" t="s">
        <v>627</v>
      </c>
      <c r="L200" s="26" t="s">
        <v>1074</v>
      </c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>
        <v>450000.0</v>
      </c>
      <c r="Y200" s="27">
        <v>450000.0</v>
      </c>
      <c r="Z200" s="27">
        <v>450000.0</v>
      </c>
      <c r="AA200" s="27"/>
      <c r="AB200" s="27">
        <v>500000.0</v>
      </c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>
        <v>500000.0</v>
      </c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>
        <f t="shared" si="2"/>
        <v>1350000</v>
      </c>
      <c r="BD200" s="27">
        <f t="shared" si="3"/>
        <v>1000000</v>
      </c>
      <c r="BE200" s="27">
        <f t="shared" si="4"/>
        <v>0</v>
      </c>
      <c r="BF200" s="27">
        <f t="shared" si="5"/>
        <v>2350000</v>
      </c>
      <c r="BG200" s="24"/>
      <c r="BH200" s="24"/>
      <c r="BI200" s="24"/>
      <c r="BJ200" s="21" t="s">
        <v>863</v>
      </c>
      <c r="BK200" s="21" t="s">
        <v>864</v>
      </c>
      <c r="BL200" s="33">
        <v>460000.0</v>
      </c>
    </row>
    <row r="201">
      <c r="A201" s="12">
        <f t="shared" si="1"/>
        <v>199</v>
      </c>
      <c r="B201" s="13" t="s">
        <v>1075</v>
      </c>
      <c r="C201" s="14">
        <v>2.025070307E9</v>
      </c>
      <c r="D201" s="15" t="s">
        <v>1076</v>
      </c>
      <c r="E201" s="15" t="s">
        <v>1077</v>
      </c>
      <c r="F201" s="15" t="s">
        <v>1078</v>
      </c>
      <c r="G201" s="16" t="s">
        <v>184</v>
      </c>
      <c r="H201" s="14" t="s">
        <v>863</v>
      </c>
      <c r="I201" s="14" t="s">
        <v>870</v>
      </c>
      <c r="J201" s="16">
        <v>2.0</v>
      </c>
      <c r="K201" s="16" t="s">
        <v>594</v>
      </c>
      <c r="L201" s="17" t="s">
        <v>1079</v>
      </c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>
        <v>500000.0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>
        <v>500000.0</v>
      </c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>
        <f t="shared" si="2"/>
        <v>0</v>
      </c>
      <c r="BD201" s="18">
        <f t="shared" si="3"/>
        <v>1000000</v>
      </c>
      <c r="BE201" s="18">
        <f t="shared" si="4"/>
        <v>0</v>
      </c>
      <c r="BF201" s="18">
        <f t="shared" si="5"/>
        <v>1000000</v>
      </c>
      <c r="BG201" s="15"/>
      <c r="BH201" s="15"/>
      <c r="BI201" s="15"/>
      <c r="BJ201" s="12" t="s">
        <v>863</v>
      </c>
      <c r="BK201" s="12" t="s">
        <v>870</v>
      </c>
      <c r="BL201" s="32">
        <v>460000.0</v>
      </c>
    </row>
    <row r="202">
      <c r="A202" s="21">
        <f t="shared" si="1"/>
        <v>200</v>
      </c>
      <c r="B202" s="22" t="s">
        <v>1080</v>
      </c>
      <c r="C202" s="23">
        <v>2.025070267E9</v>
      </c>
      <c r="D202" s="24" t="s">
        <v>1081</v>
      </c>
      <c r="E202" s="24" t="s">
        <v>1082</v>
      </c>
      <c r="F202" s="24" t="s">
        <v>1083</v>
      </c>
      <c r="G202" s="25" t="s">
        <v>33</v>
      </c>
      <c r="H202" s="23" t="s">
        <v>863</v>
      </c>
      <c r="I202" s="23" t="s">
        <v>1028</v>
      </c>
      <c r="J202" s="25">
        <v>2.0</v>
      </c>
      <c r="K202" s="25" t="s">
        <v>706</v>
      </c>
      <c r="L202" s="26" t="s">
        <v>1084</v>
      </c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>
        <v>450000.0</v>
      </c>
      <c r="AA202" s="27"/>
      <c r="AB202" s="27">
        <v>500000.0</v>
      </c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>
        <v>500000.0</v>
      </c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>
        <f t="shared" si="2"/>
        <v>450000</v>
      </c>
      <c r="BD202" s="27">
        <f t="shared" si="3"/>
        <v>1000000</v>
      </c>
      <c r="BE202" s="27">
        <f t="shared" si="4"/>
        <v>0</v>
      </c>
      <c r="BF202" s="27">
        <f t="shared" si="5"/>
        <v>1450000</v>
      </c>
      <c r="BG202" s="24"/>
      <c r="BH202" s="24"/>
      <c r="BI202" s="24"/>
      <c r="BJ202" s="21" t="s">
        <v>863</v>
      </c>
      <c r="BK202" s="21" t="s">
        <v>1028</v>
      </c>
      <c r="BL202" s="33">
        <v>460000.0</v>
      </c>
    </row>
    <row r="203">
      <c r="A203" s="12">
        <f t="shared" si="1"/>
        <v>201</v>
      </c>
      <c r="B203" s="13" t="s">
        <v>1085</v>
      </c>
      <c r="C203" s="14">
        <v>2.025070635E9</v>
      </c>
      <c r="D203" s="15" t="s">
        <v>1086</v>
      </c>
      <c r="E203" s="15" t="s">
        <v>1087</v>
      </c>
      <c r="F203" s="15" t="s">
        <v>1088</v>
      </c>
      <c r="G203" s="16" t="s">
        <v>95</v>
      </c>
      <c r="H203" s="14" t="s">
        <v>863</v>
      </c>
      <c r="I203" s="14" t="s">
        <v>918</v>
      </c>
      <c r="J203" s="16">
        <v>2.0</v>
      </c>
      <c r="K203" s="16" t="s">
        <v>609</v>
      </c>
      <c r="L203" s="17" t="s">
        <v>1089</v>
      </c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>
        <v>450000.0</v>
      </c>
      <c r="X203" s="18">
        <v>450000.0</v>
      </c>
      <c r="Y203" s="18">
        <v>450000.0</v>
      </c>
      <c r="Z203" s="18">
        <v>450000.0</v>
      </c>
      <c r="AA203" s="18"/>
      <c r="AB203" s="18">
        <v>500000.0</v>
      </c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>
        <v>500000.0</v>
      </c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>
        <f t="shared" si="2"/>
        <v>1800000</v>
      </c>
      <c r="BD203" s="18">
        <f t="shared" si="3"/>
        <v>1000000</v>
      </c>
      <c r="BE203" s="18">
        <f t="shared" si="4"/>
        <v>0</v>
      </c>
      <c r="BF203" s="18">
        <f t="shared" si="5"/>
        <v>2800000</v>
      </c>
      <c r="BG203" s="15"/>
      <c r="BH203" s="15"/>
      <c r="BI203" s="15"/>
      <c r="BJ203" s="12" t="s">
        <v>863</v>
      </c>
      <c r="BK203" s="12" t="s">
        <v>918</v>
      </c>
      <c r="BL203" s="32">
        <v>460000.0</v>
      </c>
    </row>
    <row r="204">
      <c r="A204" s="21">
        <f t="shared" si="1"/>
        <v>202</v>
      </c>
      <c r="B204" s="22" t="s">
        <v>1090</v>
      </c>
      <c r="C204" s="23">
        <v>2.025070258E9</v>
      </c>
      <c r="D204" s="24" t="s">
        <v>1091</v>
      </c>
      <c r="E204" s="24" t="s">
        <v>1092</v>
      </c>
      <c r="F204" s="24" t="s">
        <v>1093</v>
      </c>
      <c r="G204" s="25" t="s">
        <v>184</v>
      </c>
      <c r="H204" s="23" t="s">
        <v>863</v>
      </c>
      <c r="I204" s="23" t="s">
        <v>870</v>
      </c>
      <c r="J204" s="25">
        <v>2.0</v>
      </c>
      <c r="K204" s="25" t="s">
        <v>617</v>
      </c>
      <c r="L204" s="26" t="s">
        <v>1094</v>
      </c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>
        <v>500000.0</v>
      </c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>
        <v>500000.0</v>
      </c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>
        <f t="shared" si="2"/>
        <v>0</v>
      </c>
      <c r="BD204" s="27">
        <f t="shared" si="3"/>
        <v>1000000</v>
      </c>
      <c r="BE204" s="27">
        <f t="shared" si="4"/>
        <v>0</v>
      </c>
      <c r="BF204" s="27">
        <f t="shared" si="5"/>
        <v>1000000</v>
      </c>
      <c r="BG204" s="24"/>
      <c r="BH204" s="24"/>
      <c r="BI204" s="24"/>
      <c r="BJ204" s="21" t="s">
        <v>863</v>
      </c>
      <c r="BK204" s="21" t="s">
        <v>870</v>
      </c>
      <c r="BL204" s="30">
        <v>100000.0</v>
      </c>
    </row>
    <row r="205">
      <c r="A205" s="12">
        <f t="shared" si="1"/>
        <v>203</v>
      </c>
      <c r="B205" s="13" t="s">
        <v>1095</v>
      </c>
      <c r="C205" s="14">
        <v>2.025070075E9</v>
      </c>
      <c r="D205" s="15" t="s">
        <v>1096</v>
      </c>
      <c r="E205" s="15" t="s">
        <v>1097</v>
      </c>
      <c r="F205" s="15" t="s">
        <v>1098</v>
      </c>
      <c r="G205" s="16" t="s">
        <v>532</v>
      </c>
      <c r="H205" s="14" t="s">
        <v>863</v>
      </c>
      <c r="I205" s="14" t="s">
        <v>918</v>
      </c>
      <c r="J205" s="16">
        <v>2.0</v>
      </c>
      <c r="K205" s="16" t="s">
        <v>617</v>
      </c>
      <c r="L205" s="17" t="s">
        <v>1099</v>
      </c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>
        <v>500000.0</v>
      </c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>
        <v>500000.0</v>
      </c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>
        <f t="shared" si="2"/>
        <v>0</v>
      </c>
      <c r="BD205" s="18">
        <f t="shared" si="3"/>
        <v>1000000</v>
      </c>
      <c r="BE205" s="18">
        <f t="shared" si="4"/>
        <v>0</v>
      </c>
      <c r="BF205" s="18">
        <f t="shared" si="5"/>
        <v>1000000</v>
      </c>
      <c r="BG205" s="15"/>
      <c r="BH205" s="15"/>
      <c r="BI205" s="15"/>
      <c r="BJ205" s="12" t="s">
        <v>863</v>
      </c>
      <c r="BK205" s="12" t="s">
        <v>918</v>
      </c>
      <c r="BL205" s="32">
        <v>460000.0</v>
      </c>
    </row>
    <row r="206">
      <c r="A206" s="21">
        <f t="shared" si="1"/>
        <v>204</v>
      </c>
      <c r="B206" s="22" t="s">
        <v>1100</v>
      </c>
      <c r="C206" s="23">
        <v>2.025070356E9</v>
      </c>
      <c r="D206" s="24" t="s">
        <v>1101</v>
      </c>
      <c r="E206" s="24" t="s">
        <v>1102</v>
      </c>
      <c r="F206" s="24" t="s">
        <v>1103</v>
      </c>
      <c r="G206" s="25" t="s">
        <v>658</v>
      </c>
      <c r="H206" s="23" t="s">
        <v>863</v>
      </c>
      <c r="I206" s="23" t="s">
        <v>918</v>
      </c>
      <c r="J206" s="25">
        <v>2.0</v>
      </c>
      <c r="K206" s="25" t="s">
        <v>1017</v>
      </c>
      <c r="L206" s="26" t="s">
        <v>1104</v>
      </c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>
        <v>500000.0</v>
      </c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>
        <v>500000.0</v>
      </c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>
        <f t="shared" si="2"/>
        <v>0</v>
      </c>
      <c r="BD206" s="27">
        <f t="shared" si="3"/>
        <v>1000000</v>
      </c>
      <c r="BE206" s="27">
        <f t="shared" si="4"/>
        <v>0</v>
      </c>
      <c r="BF206" s="27">
        <f t="shared" si="5"/>
        <v>1000000</v>
      </c>
      <c r="BG206" s="24"/>
      <c r="BH206" s="24"/>
      <c r="BI206" s="24"/>
      <c r="BJ206" s="21" t="s">
        <v>863</v>
      </c>
      <c r="BK206" s="21" t="s">
        <v>918</v>
      </c>
      <c r="BL206" s="33">
        <v>460000.0</v>
      </c>
    </row>
    <row r="207">
      <c r="A207" s="12">
        <f t="shared" si="1"/>
        <v>205</v>
      </c>
      <c r="B207" s="13" t="s">
        <v>1105</v>
      </c>
      <c r="C207" s="14">
        <v>2.025070245E9</v>
      </c>
      <c r="D207" s="15" t="s">
        <v>1106</v>
      </c>
      <c r="E207" s="15" t="s">
        <v>1107</v>
      </c>
      <c r="F207" s="15" t="s">
        <v>1108</v>
      </c>
      <c r="G207" s="16" t="s">
        <v>158</v>
      </c>
      <c r="H207" s="14" t="s">
        <v>863</v>
      </c>
      <c r="I207" s="14" t="s">
        <v>870</v>
      </c>
      <c r="J207" s="16">
        <v>2.0</v>
      </c>
      <c r="K207" s="16" t="s">
        <v>617</v>
      </c>
      <c r="L207" s="17" t="s">
        <v>1109</v>
      </c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>
        <v>450000.0</v>
      </c>
      <c r="AA207" s="18"/>
      <c r="AB207" s="18">
        <v>500000.0</v>
      </c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>
        <v>500000.0</v>
      </c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>
        <f t="shared" si="2"/>
        <v>450000</v>
      </c>
      <c r="BD207" s="18">
        <f t="shared" si="3"/>
        <v>1000000</v>
      </c>
      <c r="BE207" s="18">
        <f t="shared" si="4"/>
        <v>0</v>
      </c>
      <c r="BF207" s="18">
        <f t="shared" si="5"/>
        <v>1450000</v>
      </c>
      <c r="BG207" s="15"/>
      <c r="BH207" s="15"/>
      <c r="BI207" s="15"/>
      <c r="BJ207" s="12" t="s">
        <v>863</v>
      </c>
      <c r="BK207" s="12" t="s">
        <v>870</v>
      </c>
      <c r="BL207" s="32">
        <v>460000.0</v>
      </c>
    </row>
    <row r="208">
      <c r="A208" s="21">
        <f t="shared" si="1"/>
        <v>206</v>
      </c>
      <c r="B208" s="22" t="s">
        <v>1110</v>
      </c>
      <c r="C208" s="23">
        <v>2.025070179E9</v>
      </c>
      <c r="D208" s="24" t="s">
        <v>1111</v>
      </c>
      <c r="E208" s="24" t="s">
        <v>1112</v>
      </c>
      <c r="F208" s="24" t="s">
        <v>1113</v>
      </c>
      <c r="G208" s="25" t="s">
        <v>243</v>
      </c>
      <c r="H208" s="23" t="s">
        <v>863</v>
      </c>
      <c r="I208" s="23" t="s">
        <v>870</v>
      </c>
      <c r="J208" s="25">
        <v>2.0</v>
      </c>
      <c r="K208" s="25" t="s">
        <v>638</v>
      </c>
      <c r="L208" s="26" t="s">
        <v>1114</v>
      </c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>
        <v>450000.0</v>
      </c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>
        <f t="shared" si="2"/>
        <v>450000</v>
      </c>
      <c r="BD208" s="27">
        <f t="shared" si="3"/>
        <v>0</v>
      </c>
      <c r="BE208" s="27">
        <f t="shared" si="4"/>
        <v>0</v>
      </c>
      <c r="BF208" s="27">
        <f t="shared" si="5"/>
        <v>450000</v>
      </c>
      <c r="BG208" s="24"/>
      <c r="BH208" s="24"/>
      <c r="BI208" s="24"/>
      <c r="BJ208" s="21" t="s">
        <v>863</v>
      </c>
      <c r="BK208" s="21" t="s">
        <v>870</v>
      </c>
      <c r="BL208" s="33">
        <v>460000.0</v>
      </c>
    </row>
    <row r="209">
      <c r="A209" s="12">
        <f t="shared" si="1"/>
        <v>207</v>
      </c>
      <c r="B209" s="13" t="s">
        <v>1115</v>
      </c>
      <c r="C209" s="14">
        <v>2.025070568E9</v>
      </c>
      <c r="D209" s="15" t="s">
        <v>1116</v>
      </c>
      <c r="E209" s="15" t="s">
        <v>1117</v>
      </c>
      <c r="F209" s="15" t="s">
        <v>1118</v>
      </c>
      <c r="G209" s="16" t="s">
        <v>215</v>
      </c>
      <c r="H209" s="14" t="s">
        <v>863</v>
      </c>
      <c r="I209" s="14" t="s">
        <v>892</v>
      </c>
      <c r="J209" s="16">
        <v>2.0</v>
      </c>
      <c r="K209" s="16" t="s">
        <v>627</v>
      </c>
      <c r="L209" s="17" t="s">
        <v>1119</v>
      </c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>
        <f t="shared" si="2"/>
        <v>0</v>
      </c>
      <c r="BD209" s="18">
        <f t="shared" si="3"/>
        <v>0</v>
      </c>
      <c r="BE209" s="18">
        <f t="shared" si="4"/>
        <v>0</v>
      </c>
      <c r="BF209" s="18">
        <f t="shared" si="5"/>
        <v>0</v>
      </c>
      <c r="BG209" s="15"/>
      <c r="BH209" s="15"/>
      <c r="BI209" s="15"/>
      <c r="BJ209" s="12" t="s">
        <v>863</v>
      </c>
      <c r="BK209" s="12" t="s">
        <v>892</v>
      </c>
      <c r="BL209" s="32">
        <v>460000.0</v>
      </c>
    </row>
    <row r="210">
      <c r="A210" s="21">
        <f t="shared" si="1"/>
        <v>208</v>
      </c>
      <c r="B210" s="22" t="s">
        <v>1120</v>
      </c>
      <c r="C210" s="23">
        <v>2.025070271E9</v>
      </c>
      <c r="D210" s="24" t="s">
        <v>1121</v>
      </c>
      <c r="E210" s="24" t="s">
        <v>1122</v>
      </c>
      <c r="F210" s="24" t="s">
        <v>1123</v>
      </c>
      <c r="G210" s="25" t="s">
        <v>437</v>
      </c>
      <c r="H210" s="23" t="s">
        <v>863</v>
      </c>
      <c r="I210" s="23" t="s">
        <v>870</v>
      </c>
      <c r="J210" s="25">
        <v>2.0</v>
      </c>
      <c r="K210" s="25" t="s">
        <v>1017</v>
      </c>
      <c r="L210" s="26" t="s">
        <v>1124</v>
      </c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>
        <v>500000.0</v>
      </c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>
        <v>500000.0</v>
      </c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>
        <f t="shared" si="2"/>
        <v>0</v>
      </c>
      <c r="BD210" s="27">
        <f t="shared" si="3"/>
        <v>1000000</v>
      </c>
      <c r="BE210" s="27">
        <f t="shared" si="4"/>
        <v>0</v>
      </c>
      <c r="BF210" s="27">
        <f t="shared" si="5"/>
        <v>1000000</v>
      </c>
      <c r="BG210" s="24"/>
      <c r="BH210" s="24"/>
      <c r="BI210" s="24"/>
      <c r="BJ210" s="21" t="s">
        <v>863</v>
      </c>
      <c r="BK210" s="21" t="s">
        <v>870</v>
      </c>
      <c r="BL210" s="33">
        <v>460000.0</v>
      </c>
    </row>
    <row r="211">
      <c r="A211" s="12">
        <f t="shared" si="1"/>
        <v>209</v>
      </c>
      <c r="B211" s="13" t="s">
        <v>1125</v>
      </c>
      <c r="C211" s="14">
        <v>2.025070063E9</v>
      </c>
      <c r="D211" s="15" t="s">
        <v>1126</v>
      </c>
      <c r="E211" s="15" t="s">
        <v>1127</v>
      </c>
      <c r="F211" s="15" t="s">
        <v>1128</v>
      </c>
      <c r="G211" s="16" t="s">
        <v>437</v>
      </c>
      <c r="H211" s="14" t="s">
        <v>863</v>
      </c>
      <c r="I211" s="14" t="s">
        <v>870</v>
      </c>
      <c r="J211" s="16">
        <v>2.0</v>
      </c>
      <c r="K211" s="16" t="s">
        <v>1017</v>
      </c>
      <c r="L211" s="17" t="s">
        <v>1129</v>
      </c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>
        <v>500000.0</v>
      </c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>
        <v>500000.0</v>
      </c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>
        <f t="shared" si="2"/>
        <v>0</v>
      </c>
      <c r="BD211" s="18">
        <f t="shared" si="3"/>
        <v>1000000</v>
      </c>
      <c r="BE211" s="18">
        <f t="shared" si="4"/>
        <v>0</v>
      </c>
      <c r="BF211" s="18">
        <f t="shared" si="5"/>
        <v>1000000</v>
      </c>
      <c r="BG211" s="15"/>
      <c r="BH211" s="15"/>
      <c r="BI211" s="15"/>
      <c r="BJ211" s="12" t="s">
        <v>863</v>
      </c>
      <c r="BK211" s="12" t="s">
        <v>870</v>
      </c>
      <c r="BL211" s="32">
        <v>460000.0</v>
      </c>
    </row>
    <row r="212">
      <c r="A212" s="21">
        <f t="shared" si="1"/>
        <v>210</v>
      </c>
      <c r="B212" s="22" t="s">
        <v>1130</v>
      </c>
      <c r="C212" s="23">
        <v>2.025070384E9</v>
      </c>
      <c r="D212" s="24" t="s">
        <v>1131</v>
      </c>
      <c r="E212" s="24" t="s">
        <v>1132</v>
      </c>
      <c r="F212" s="24" t="s">
        <v>1133</v>
      </c>
      <c r="G212" s="25" t="s">
        <v>776</v>
      </c>
      <c r="H212" s="23" t="s">
        <v>863</v>
      </c>
      <c r="I212" s="23" t="s">
        <v>864</v>
      </c>
      <c r="J212" s="25">
        <v>2.0</v>
      </c>
      <c r="K212" s="23" t="s">
        <v>777</v>
      </c>
      <c r="L212" s="26" t="s">
        <v>1134</v>
      </c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>
        <v>450000.0</v>
      </c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>
        <v>500000.0</v>
      </c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>
        <f t="shared" si="2"/>
        <v>450000</v>
      </c>
      <c r="BD212" s="27">
        <f t="shared" si="3"/>
        <v>500000</v>
      </c>
      <c r="BE212" s="27">
        <f t="shared" si="4"/>
        <v>0</v>
      </c>
      <c r="BF212" s="27">
        <f t="shared" si="5"/>
        <v>950000</v>
      </c>
      <c r="BG212" s="24"/>
      <c r="BH212" s="24"/>
      <c r="BI212" s="24"/>
      <c r="BJ212" s="21" t="s">
        <v>863</v>
      </c>
      <c r="BK212" s="21" t="s">
        <v>864</v>
      </c>
      <c r="BL212" s="33">
        <v>460000.0</v>
      </c>
    </row>
    <row r="213">
      <c r="A213" s="12">
        <f t="shared" si="1"/>
        <v>211</v>
      </c>
      <c r="B213" s="13" t="s">
        <v>1135</v>
      </c>
      <c r="C213" s="14">
        <v>2.025070526E9</v>
      </c>
      <c r="D213" s="13" t="s">
        <v>1136</v>
      </c>
      <c r="E213" s="13" t="s">
        <v>1137</v>
      </c>
      <c r="F213" s="13" t="s">
        <v>1138</v>
      </c>
      <c r="G213" s="16" t="s">
        <v>215</v>
      </c>
      <c r="H213" s="14" t="s">
        <v>863</v>
      </c>
      <c r="I213" s="14" t="s">
        <v>864</v>
      </c>
      <c r="J213" s="16">
        <v>2.0</v>
      </c>
      <c r="K213" s="16" t="s">
        <v>609</v>
      </c>
      <c r="L213" s="17" t="s">
        <v>1139</v>
      </c>
      <c r="M213" s="18">
        <v>600000.0</v>
      </c>
      <c r="N213" s="18"/>
      <c r="O213" s="18"/>
      <c r="P213" s="18"/>
      <c r="Q213" s="18"/>
      <c r="R213" s="18"/>
      <c r="S213" s="18"/>
      <c r="T213" s="18"/>
      <c r="U213" s="18">
        <v>450000.0</v>
      </c>
      <c r="V213" s="18">
        <v>450000.0</v>
      </c>
      <c r="W213" s="18">
        <v>450000.0</v>
      </c>
      <c r="X213" s="18">
        <v>450000.0</v>
      </c>
      <c r="Y213" s="18">
        <v>450000.0</v>
      </c>
      <c r="Z213" s="18">
        <v>450000.0</v>
      </c>
      <c r="AA213" s="18"/>
      <c r="AB213" s="18">
        <v>500000.0</v>
      </c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>
        <v>500000.0</v>
      </c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>
        <f t="shared" si="2"/>
        <v>2700000</v>
      </c>
      <c r="BD213" s="18">
        <f t="shared" si="3"/>
        <v>1600000</v>
      </c>
      <c r="BE213" s="18">
        <f t="shared" si="4"/>
        <v>0</v>
      </c>
      <c r="BF213" s="18">
        <f t="shared" si="5"/>
        <v>4300000</v>
      </c>
      <c r="BG213" s="15"/>
      <c r="BH213" s="15"/>
      <c r="BI213" s="15"/>
      <c r="BJ213" s="12" t="s">
        <v>863</v>
      </c>
      <c r="BK213" s="12" t="s">
        <v>864</v>
      </c>
      <c r="BL213" s="32">
        <v>460000.0</v>
      </c>
    </row>
    <row r="214">
      <c r="A214" s="21">
        <f t="shared" si="1"/>
        <v>212</v>
      </c>
      <c r="B214" s="22" t="s">
        <v>1140</v>
      </c>
      <c r="C214" s="23">
        <v>2.025070291E9</v>
      </c>
      <c r="D214" s="24" t="s">
        <v>1141</v>
      </c>
      <c r="E214" s="24" t="s">
        <v>1142</v>
      </c>
      <c r="F214" s="24" t="s">
        <v>1143</v>
      </c>
      <c r="G214" s="25" t="s">
        <v>658</v>
      </c>
      <c r="H214" s="23" t="s">
        <v>863</v>
      </c>
      <c r="I214" s="23" t="s">
        <v>870</v>
      </c>
      <c r="J214" s="25">
        <v>2.0</v>
      </c>
      <c r="K214" s="25" t="s">
        <v>617</v>
      </c>
      <c r="L214" s="26" t="s">
        <v>1144</v>
      </c>
      <c r="M214" s="27">
        <v>600000.0</v>
      </c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>
        <v>450000.0</v>
      </c>
      <c r="AA214" s="27"/>
      <c r="AB214" s="27">
        <v>500000.0</v>
      </c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>
        <v>500000.0</v>
      </c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>
        <f t="shared" si="2"/>
        <v>450000</v>
      </c>
      <c r="BD214" s="27">
        <f t="shared" si="3"/>
        <v>1600000</v>
      </c>
      <c r="BE214" s="27">
        <f t="shared" si="4"/>
        <v>0</v>
      </c>
      <c r="BF214" s="27">
        <f t="shared" si="5"/>
        <v>2050000</v>
      </c>
      <c r="BG214" s="24"/>
      <c r="BH214" s="24"/>
      <c r="BI214" s="24"/>
      <c r="BJ214" s="21" t="s">
        <v>863</v>
      </c>
      <c r="BK214" s="21" t="s">
        <v>870</v>
      </c>
      <c r="BL214" s="33">
        <v>460000.0</v>
      </c>
    </row>
    <row r="215">
      <c r="A215" s="12">
        <f t="shared" si="1"/>
        <v>213</v>
      </c>
      <c r="B215" s="13" t="s">
        <v>1145</v>
      </c>
      <c r="C215" s="14">
        <v>2.025070021E9</v>
      </c>
      <c r="D215" s="15" t="s">
        <v>1146</v>
      </c>
      <c r="E215" s="15" t="s">
        <v>1147</v>
      </c>
      <c r="F215" s="15" t="s">
        <v>1148</v>
      </c>
      <c r="G215" s="16" t="s">
        <v>158</v>
      </c>
      <c r="H215" s="14" t="s">
        <v>863</v>
      </c>
      <c r="I215" s="14" t="s">
        <v>864</v>
      </c>
      <c r="J215" s="16">
        <v>2.0</v>
      </c>
      <c r="K215" s="16" t="s">
        <v>638</v>
      </c>
      <c r="L215" s="17" t="s">
        <v>1149</v>
      </c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>
        <f t="shared" si="2"/>
        <v>0</v>
      </c>
      <c r="BD215" s="18">
        <f t="shared" si="3"/>
        <v>0</v>
      </c>
      <c r="BE215" s="18">
        <f t="shared" si="4"/>
        <v>0</v>
      </c>
      <c r="BF215" s="18">
        <f t="shared" si="5"/>
        <v>0</v>
      </c>
      <c r="BG215" s="15"/>
      <c r="BH215" s="15"/>
      <c r="BI215" s="15"/>
      <c r="BJ215" s="12" t="s">
        <v>863</v>
      </c>
      <c r="BK215" s="12" t="s">
        <v>864</v>
      </c>
      <c r="BL215" s="32">
        <v>460000.0</v>
      </c>
    </row>
    <row r="216">
      <c r="A216" s="21">
        <f t="shared" si="1"/>
        <v>214</v>
      </c>
      <c r="B216" s="22" t="s">
        <v>1150</v>
      </c>
      <c r="C216" s="23">
        <v>2.025070562E9</v>
      </c>
      <c r="D216" s="24" t="s">
        <v>1151</v>
      </c>
      <c r="E216" s="24" t="s">
        <v>1152</v>
      </c>
      <c r="F216" s="24" t="s">
        <v>1153</v>
      </c>
      <c r="G216" s="25" t="s">
        <v>125</v>
      </c>
      <c r="H216" s="23" t="s">
        <v>863</v>
      </c>
      <c r="I216" s="23" t="s">
        <v>881</v>
      </c>
      <c r="J216" s="25">
        <v>2.0</v>
      </c>
      <c r="K216" s="25" t="s">
        <v>627</v>
      </c>
      <c r="L216" s="26" t="s">
        <v>1154</v>
      </c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>
        <v>500000.0</v>
      </c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>
        <v>500000.0</v>
      </c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>
        <f t="shared" si="2"/>
        <v>0</v>
      </c>
      <c r="BD216" s="27">
        <f t="shared" si="3"/>
        <v>1000000</v>
      </c>
      <c r="BE216" s="27">
        <f t="shared" si="4"/>
        <v>0</v>
      </c>
      <c r="BF216" s="27">
        <f t="shared" si="5"/>
        <v>1000000</v>
      </c>
      <c r="BG216" s="24"/>
      <c r="BH216" s="24"/>
      <c r="BI216" s="24"/>
      <c r="BJ216" s="21" t="s">
        <v>863</v>
      </c>
      <c r="BK216" s="21" t="s">
        <v>881</v>
      </c>
      <c r="BL216" s="33">
        <v>460000.0</v>
      </c>
    </row>
    <row r="217">
      <c r="A217" s="12">
        <f t="shared" si="1"/>
        <v>215</v>
      </c>
      <c r="B217" s="13" t="s">
        <v>1155</v>
      </c>
      <c r="C217" s="14">
        <v>2.025070495E9</v>
      </c>
      <c r="D217" s="15" t="s">
        <v>584</v>
      </c>
      <c r="E217" s="15" t="s">
        <v>1156</v>
      </c>
      <c r="F217" s="15" t="s">
        <v>1157</v>
      </c>
      <c r="G217" s="16" t="s">
        <v>275</v>
      </c>
      <c r="H217" s="14" t="s">
        <v>863</v>
      </c>
      <c r="I217" s="14" t="s">
        <v>881</v>
      </c>
      <c r="J217" s="16">
        <v>2.0</v>
      </c>
      <c r="K217" s="16" t="s">
        <v>609</v>
      </c>
      <c r="L217" s="17" t="s">
        <v>1158</v>
      </c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>
        <v>500000.0</v>
      </c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>
        <v>500000.0</v>
      </c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>
        <f t="shared" si="2"/>
        <v>0</v>
      </c>
      <c r="BD217" s="18">
        <f t="shared" si="3"/>
        <v>1000000</v>
      </c>
      <c r="BE217" s="18">
        <f t="shared" si="4"/>
        <v>0</v>
      </c>
      <c r="BF217" s="18">
        <f t="shared" si="5"/>
        <v>1000000</v>
      </c>
      <c r="BG217" s="15"/>
      <c r="BH217" s="15"/>
      <c r="BI217" s="15"/>
      <c r="BJ217" s="12" t="s">
        <v>863</v>
      </c>
      <c r="BK217" s="12" t="s">
        <v>881</v>
      </c>
      <c r="BL217" s="32">
        <v>460000.0</v>
      </c>
    </row>
    <row r="218">
      <c r="A218" s="21">
        <f t="shared" si="1"/>
        <v>216</v>
      </c>
      <c r="B218" s="22" t="s">
        <v>1159</v>
      </c>
      <c r="C218" s="23">
        <v>2.025070233E9</v>
      </c>
      <c r="D218" s="24" t="s">
        <v>1160</v>
      </c>
      <c r="E218" s="24" t="s">
        <v>1161</v>
      </c>
      <c r="F218" s="24" t="s">
        <v>1162</v>
      </c>
      <c r="G218" s="25" t="s">
        <v>1049</v>
      </c>
      <c r="H218" s="23" t="s">
        <v>863</v>
      </c>
      <c r="I218" s="23" t="s">
        <v>870</v>
      </c>
      <c r="J218" s="25">
        <v>2.0</v>
      </c>
      <c r="K218" s="25" t="s">
        <v>1017</v>
      </c>
      <c r="L218" s="26" t="s">
        <v>1163</v>
      </c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>
        <f t="shared" si="2"/>
        <v>0</v>
      </c>
      <c r="BD218" s="27">
        <f t="shared" si="3"/>
        <v>0</v>
      </c>
      <c r="BE218" s="27">
        <f t="shared" si="4"/>
        <v>0</v>
      </c>
      <c r="BF218" s="27">
        <f t="shared" si="5"/>
        <v>0</v>
      </c>
      <c r="BG218" s="24"/>
      <c r="BH218" s="24"/>
      <c r="BI218" s="24"/>
      <c r="BJ218" s="21" t="s">
        <v>863</v>
      </c>
      <c r="BK218" s="21" t="s">
        <v>870</v>
      </c>
      <c r="BL218" s="33">
        <v>460000.0</v>
      </c>
    </row>
    <row r="219">
      <c r="A219" s="12">
        <f t="shared" si="1"/>
        <v>217</v>
      </c>
      <c r="B219" s="13" t="s">
        <v>1164</v>
      </c>
      <c r="C219" s="14">
        <v>2.025070078E9</v>
      </c>
      <c r="D219" s="15" t="s">
        <v>1165</v>
      </c>
      <c r="E219" s="15" t="s">
        <v>1166</v>
      </c>
      <c r="F219" s="15" t="s">
        <v>1167</v>
      </c>
      <c r="G219" s="16" t="s">
        <v>437</v>
      </c>
      <c r="H219" s="14" t="s">
        <v>863</v>
      </c>
      <c r="I219" s="14" t="s">
        <v>870</v>
      </c>
      <c r="J219" s="16">
        <v>2.0</v>
      </c>
      <c r="K219" s="16" t="s">
        <v>638</v>
      </c>
      <c r="L219" s="17" t="s">
        <v>1168</v>
      </c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>
        <v>500000.0</v>
      </c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>
        <v>500000.0</v>
      </c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>
        <f t="shared" si="2"/>
        <v>0</v>
      </c>
      <c r="BD219" s="18">
        <f t="shared" si="3"/>
        <v>1000000</v>
      </c>
      <c r="BE219" s="18">
        <f t="shared" si="4"/>
        <v>0</v>
      </c>
      <c r="BF219" s="18">
        <f t="shared" si="5"/>
        <v>1000000</v>
      </c>
      <c r="BG219" s="15"/>
      <c r="BH219" s="15"/>
      <c r="BI219" s="15"/>
      <c r="BJ219" s="12" t="s">
        <v>863</v>
      </c>
      <c r="BK219" s="12" t="s">
        <v>870</v>
      </c>
      <c r="BL219" s="32">
        <v>460000.0</v>
      </c>
    </row>
    <row r="220">
      <c r="A220" s="21">
        <f t="shared" si="1"/>
        <v>218</v>
      </c>
      <c r="B220" s="22" t="s">
        <v>1169</v>
      </c>
      <c r="C220" s="23">
        <v>2.025070137E9</v>
      </c>
      <c r="D220" s="24" t="s">
        <v>1170</v>
      </c>
      <c r="E220" s="24" t="s">
        <v>1171</v>
      </c>
      <c r="F220" s="24" t="s">
        <v>1172</v>
      </c>
      <c r="G220" s="25" t="s">
        <v>243</v>
      </c>
      <c r="H220" s="23" t="s">
        <v>863</v>
      </c>
      <c r="I220" s="23" t="s">
        <v>864</v>
      </c>
      <c r="J220" s="25">
        <v>2.0</v>
      </c>
      <c r="K220" s="25" t="s">
        <v>1017</v>
      </c>
      <c r="L220" s="26" t="s">
        <v>1173</v>
      </c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>
        <v>500000.0</v>
      </c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>
        <v>500000.0</v>
      </c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>
        <f t="shared" si="2"/>
        <v>0</v>
      </c>
      <c r="BD220" s="27">
        <f t="shared" si="3"/>
        <v>1000000</v>
      </c>
      <c r="BE220" s="27">
        <f t="shared" si="4"/>
        <v>0</v>
      </c>
      <c r="BF220" s="27">
        <f t="shared" si="5"/>
        <v>1000000</v>
      </c>
      <c r="BG220" s="24"/>
      <c r="BH220" s="24"/>
      <c r="BI220" s="24"/>
      <c r="BJ220" s="21" t="s">
        <v>863</v>
      </c>
      <c r="BK220" s="21" t="s">
        <v>864</v>
      </c>
      <c r="BL220" s="33">
        <v>460000.0</v>
      </c>
    </row>
    <row r="221">
      <c r="A221" s="12">
        <f t="shared" si="1"/>
        <v>219</v>
      </c>
      <c r="B221" s="13" t="s">
        <v>1174</v>
      </c>
      <c r="C221" s="14">
        <v>2.025070569E9</v>
      </c>
      <c r="D221" s="15" t="s">
        <v>1175</v>
      </c>
      <c r="E221" s="15" t="s">
        <v>1176</v>
      </c>
      <c r="F221" s="15" t="s">
        <v>1177</v>
      </c>
      <c r="G221" s="16" t="s">
        <v>215</v>
      </c>
      <c r="H221" s="14" t="s">
        <v>863</v>
      </c>
      <c r="I221" s="14" t="s">
        <v>892</v>
      </c>
      <c r="J221" s="16">
        <v>2.0</v>
      </c>
      <c r="K221" s="16" t="s">
        <v>602</v>
      </c>
      <c r="L221" s="17" t="s">
        <v>1178</v>
      </c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>
        <v>500000.0</v>
      </c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>
        <v>500000.0</v>
      </c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>
        <f t="shared" si="2"/>
        <v>0</v>
      </c>
      <c r="BD221" s="18">
        <f t="shared" si="3"/>
        <v>1000000</v>
      </c>
      <c r="BE221" s="18">
        <f t="shared" si="4"/>
        <v>0</v>
      </c>
      <c r="BF221" s="18">
        <f t="shared" si="5"/>
        <v>1000000</v>
      </c>
      <c r="BG221" s="15"/>
      <c r="BH221" s="15"/>
      <c r="BI221" s="15"/>
      <c r="BJ221" s="12" t="s">
        <v>863</v>
      </c>
      <c r="BK221" s="12" t="s">
        <v>892</v>
      </c>
      <c r="BL221" s="32">
        <v>460000.0</v>
      </c>
    </row>
    <row r="222">
      <c r="A222" s="21">
        <f t="shared" si="1"/>
        <v>220</v>
      </c>
      <c r="B222" s="22" t="s">
        <v>1179</v>
      </c>
      <c r="C222" s="23">
        <v>2.02507058E9</v>
      </c>
      <c r="D222" s="24" t="s">
        <v>1180</v>
      </c>
      <c r="E222" s="24" t="s">
        <v>1181</v>
      </c>
      <c r="F222" s="24" t="s">
        <v>1182</v>
      </c>
      <c r="G222" s="25" t="s">
        <v>42</v>
      </c>
      <c r="H222" s="23" t="s">
        <v>863</v>
      </c>
      <c r="I222" s="23" t="s">
        <v>892</v>
      </c>
      <c r="J222" s="25">
        <v>2.0</v>
      </c>
      <c r="K222" s="25" t="s">
        <v>602</v>
      </c>
      <c r="L222" s="26" t="s">
        <v>1183</v>
      </c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>
        <v>500000.0</v>
      </c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>
        <v>500000.0</v>
      </c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>
        <f t="shared" si="2"/>
        <v>0</v>
      </c>
      <c r="BD222" s="27">
        <f t="shared" si="3"/>
        <v>1000000</v>
      </c>
      <c r="BE222" s="27">
        <f t="shared" si="4"/>
        <v>0</v>
      </c>
      <c r="BF222" s="27">
        <f t="shared" si="5"/>
        <v>1000000</v>
      </c>
      <c r="BG222" s="24"/>
      <c r="BH222" s="24"/>
      <c r="BI222" s="24"/>
      <c r="BJ222" s="21" t="s">
        <v>863</v>
      </c>
      <c r="BK222" s="21" t="s">
        <v>892</v>
      </c>
      <c r="BL222" s="33">
        <v>460000.0</v>
      </c>
    </row>
    <row r="223">
      <c r="A223" s="12">
        <f t="shared" si="1"/>
        <v>221</v>
      </c>
      <c r="B223" s="13" t="s">
        <v>1184</v>
      </c>
      <c r="C223" s="14">
        <v>2.025070522E9</v>
      </c>
      <c r="D223" s="15" t="s">
        <v>1185</v>
      </c>
      <c r="E223" s="15" t="s">
        <v>1186</v>
      </c>
      <c r="F223" s="15" t="s">
        <v>891</v>
      </c>
      <c r="G223" s="16" t="s">
        <v>42</v>
      </c>
      <c r="H223" s="14" t="s">
        <v>863</v>
      </c>
      <c r="I223" s="14" t="s">
        <v>892</v>
      </c>
      <c r="J223" s="16">
        <v>2.0</v>
      </c>
      <c r="K223" s="16" t="s">
        <v>602</v>
      </c>
      <c r="L223" s="17" t="s">
        <v>1187</v>
      </c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>
        <v>500000.0</v>
      </c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>
        <v>500000.0</v>
      </c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>
        <f t="shared" si="2"/>
        <v>0</v>
      </c>
      <c r="BD223" s="18">
        <f t="shared" si="3"/>
        <v>1000000</v>
      </c>
      <c r="BE223" s="18">
        <f t="shared" si="4"/>
        <v>0</v>
      </c>
      <c r="BF223" s="18">
        <f t="shared" si="5"/>
        <v>1000000</v>
      </c>
      <c r="BG223" s="15"/>
      <c r="BH223" s="15"/>
      <c r="BI223" s="15"/>
      <c r="BJ223" s="12" t="s">
        <v>863</v>
      </c>
      <c r="BK223" s="12" t="s">
        <v>892</v>
      </c>
      <c r="BL223" s="32">
        <v>460000.0</v>
      </c>
    </row>
    <row r="224">
      <c r="A224" s="21">
        <f t="shared" si="1"/>
        <v>222</v>
      </c>
      <c r="B224" s="22" t="s">
        <v>1188</v>
      </c>
      <c r="C224" s="23">
        <v>2.025070575E9</v>
      </c>
      <c r="D224" s="24" t="s">
        <v>1189</v>
      </c>
      <c r="E224" s="24" t="s">
        <v>1190</v>
      </c>
      <c r="F224" s="24" t="s">
        <v>1191</v>
      </c>
      <c r="G224" s="25" t="s">
        <v>95</v>
      </c>
      <c r="H224" s="23" t="s">
        <v>863</v>
      </c>
      <c r="I224" s="23" t="s">
        <v>918</v>
      </c>
      <c r="J224" s="25">
        <v>2.0</v>
      </c>
      <c r="K224" s="25" t="s">
        <v>602</v>
      </c>
      <c r="L224" s="26" t="s">
        <v>1192</v>
      </c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>
        <f t="shared" si="2"/>
        <v>0</v>
      </c>
      <c r="BD224" s="27">
        <f t="shared" si="3"/>
        <v>0</v>
      </c>
      <c r="BE224" s="27">
        <f t="shared" si="4"/>
        <v>0</v>
      </c>
      <c r="BF224" s="27">
        <f t="shared" si="5"/>
        <v>0</v>
      </c>
      <c r="BG224" s="24"/>
      <c r="BH224" s="24"/>
      <c r="BI224" s="24"/>
      <c r="BJ224" s="21" t="s">
        <v>863</v>
      </c>
      <c r="BK224" s="21" t="s">
        <v>918</v>
      </c>
      <c r="BL224" s="33">
        <v>460000.0</v>
      </c>
    </row>
    <row r="225">
      <c r="A225" s="12">
        <f t="shared" si="1"/>
        <v>223</v>
      </c>
      <c r="B225" s="13" t="s">
        <v>1193</v>
      </c>
      <c r="C225" s="14">
        <v>2.025070657E9</v>
      </c>
      <c r="D225" s="15" t="s">
        <v>1194</v>
      </c>
      <c r="E225" s="15" t="s">
        <v>1195</v>
      </c>
      <c r="F225" s="15" t="s">
        <v>1196</v>
      </c>
      <c r="G225" s="16" t="s">
        <v>215</v>
      </c>
      <c r="H225" s="14" t="s">
        <v>863</v>
      </c>
      <c r="I225" s="14" t="s">
        <v>892</v>
      </c>
      <c r="J225" s="16">
        <v>2.0</v>
      </c>
      <c r="K225" s="14" t="s">
        <v>227</v>
      </c>
      <c r="L225" s="17" t="s">
        <v>1197</v>
      </c>
      <c r="M225" s="18">
        <v>600000.0</v>
      </c>
      <c r="N225" s="18">
        <v>200000.0</v>
      </c>
      <c r="O225" s="18"/>
      <c r="P225" s="18"/>
      <c r="Q225" s="18">
        <v>450000.0</v>
      </c>
      <c r="R225" s="18">
        <v>450000.0</v>
      </c>
      <c r="S225" s="18">
        <v>450000.0</v>
      </c>
      <c r="T225" s="18">
        <v>450000.0</v>
      </c>
      <c r="U225" s="18">
        <v>450000.0</v>
      </c>
      <c r="V225" s="18">
        <v>450000.0</v>
      </c>
      <c r="W225" s="18">
        <v>450000.0</v>
      </c>
      <c r="X225" s="18">
        <v>450000.0</v>
      </c>
      <c r="Y225" s="18">
        <v>450000.0</v>
      </c>
      <c r="Z225" s="18">
        <v>450000.0</v>
      </c>
      <c r="AA225" s="18"/>
      <c r="AB225" s="18">
        <v>500000.0</v>
      </c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>
        <v>500000.0</v>
      </c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>
        <f t="shared" si="2"/>
        <v>4500000</v>
      </c>
      <c r="BD225" s="18">
        <f t="shared" si="3"/>
        <v>1600000</v>
      </c>
      <c r="BE225" s="18">
        <f t="shared" si="4"/>
        <v>0</v>
      </c>
      <c r="BF225" s="18">
        <f t="shared" si="5"/>
        <v>6100000</v>
      </c>
      <c r="BG225" s="15"/>
      <c r="BH225" s="15"/>
      <c r="BI225" s="15"/>
      <c r="BJ225" s="12" t="s">
        <v>863</v>
      </c>
      <c r="BK225" s="12" t="s">
        <v>892</v>
      </c>
      <c r="BL225" s="32">
        <v>460000.0</v>
      </c>
    </row>
    <row r="226">
      <c r="A226" s="21">
        <f t="shared" si="1"/>
        <v>224</v>
      </c>
      <c r="B226" s="22" t="s">
        <v>1198</v>
      </c>
      <c r="C226" s="23">
        <v>2.025070535E9</v>
      </c>
      <c r="D226" s="24" t="s">
        <v>1199</v>
      </c>
      <c r="E226" s="24" t="s">
        <v>1200</v>
      </c>
      <c r="F226" s="24" t="s">
        <v>1201</v>
      </c>
      <c r="G226" s="25" t="s">
        <v>42</v>
      </c>
      <c r="H226" s="23" t="s">
        <v>863</v>
      </c>
      <c r="I226" s="23" t="s">
        <v>918</v>
      </c>
      <c r="J226" s="25">
        <v>2.0</v>
      </c>
      <c r="K226" s="25" t="s">
        <v>602</v>
      </c>
      <c r="L226" s="26" t="s">
        <v>1202</v>
      </c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>
        <v>500000.0</v>
      </c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>
        <v>500000.0</v>
      </c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>
        <f t="shared" si="2"/>
        <v>0</v>
      </c>
      <c r="BD226" s="27">
        <f t="shared" si="3"/>
        <v>1000000</v>
      </c>
      <c r="BE226" s="27">
        <f t="shared" si="4"/>
        <v>0</v>
      </c>
      <c r="BF226" s="27">
        <f t="shared" si="5"/>
        <v>1000000</v>
      </c>
      <c r="BG226" s="24"/>
      <c r="BH226" s="24"/>
      <c r="BI226" s="24"/>
      <c r="BJ226" s="21" t="s">
        <v>863</v>
      </c>
      <c r="BK226" s="21" t="s">
        <v>918</v>
      </c>
      <c r="BL226" s="33">
        <v>460000.0</v>
      </c>
    </row>
    <row r="227">
      <c r="A227" s="12">
        <f t="shared" si="1"/>
        <v>225</v>
      </c>
      <c r="B227" s="13" t="s">
        <v>1203</v>
      </c>
      <c r="C227" s="14">
        <v>2.02507036E9</v>
      </c>
      <c r="D227" s="15" t="s">
        <v>737</v>
      </c>
      <c r="E227" s="15" t="s">
        <v>1204</v>
      </c>
      <c r="F227" s="15" t="s">
        <v>1205</v>
      </c>
      <c r="G227" s="16" t="s">
        <v>776</v>
      </c>
      <c r="H227" s="14" t="s">
        <v>863</v>
      </c>
      <c r="I227" s="14" t="s">
        <v>864</v>
      </c>
      <c r="J227" s="16">
        <v>2.0</v>
      </c>
      <c r="K227" s="14" t="s">
        <v>777</v>
      </c>
      <c r="L227" s="17" t="s">
        <v>1206</v>
      </c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>
        <f t="shared" si="2"/>
        <v>0</v>
      </c>
      <c r="BD227" s="18">
        <f t="shared" si="3"/>
        <v>0</v>
      </c>
      <c r="BE227" s="18">
        <f t="shared" si="4"/>
        <v>0</v>
      </c>
      <c r="BF227" s="18">
        <f t="shared" si="5"/>
        <v>0</v>
      </c>
      <c r="BG227" s="15"/>
      <c r="BH227" s="15"/>
      <c r="BI227" s="15"/>
      <c r="BJ227" s="12" t="s">
        <v>863</v>
      </c>
      <c r="BK227" s="12" t="s">
        <v>864</v>
      </c>
      <c r="BL227" s="32">
        <v>460000.0</v>
      </c>
    </row>
    <row r="228">
      <c r="A228" s="21">
        <f t="shared" si="1"/>
        <v>226</v>
      </c>
      <c r="B228" s="22" t="s">
        <v>1207</v>
      </c>
      <c r="C228" s="23">
        <v>2.0250701E9</v>
      </c>
      <c r="D228" s="24" t="s">
        <v>1208</v>
      </c>
      <c r="E228" s="24" t="s">
        <v>1209</v>
      </c>
      <c r="F228" s="24" t="s">
        <v>1210</v>
      </c>
      <c r="G228" s="25" t="s">
        <v>243</v>
      </c>
      <c r="H228" s="23" t="s">
        <v>863</v>
      </c>
      <c r="I228" s="23" t="s">
        <v>870</v>
      </c>
      <c r="J228" s="25">
        <v>2.0</v>
      </c>
      <c r="K228" s="25" t="s">
        <v>617</v>
      </c>
      <c r="L228" s="26" t="s">
        <v>1211</v>
      </c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>
        <v>500000.0</v>
      </c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>
        <v>500000.0</v>
      </c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>
        <f t="shared" si="2"/>
        <v>0</v>
      </c>
      <c r="BD228" s="27">
        <f t="shared" si="3"/>
        <v>1000000</v>
      </c>
      <c r="BE228" s="27">
        <f t="shared" si="4"/>
        <v>0</v>
      </c>
      <c r="BF228" s="27">
        <f t="shared" si="5"/>
        <v>1000000</v>
      </c>
      <c r="BG228" s="24"/>
      <c r="BH228" s="24"/>
      <c r="BI228" s="24"/>
      <c r="BJ228" s="21" t="s">
        <v>863</v>
      </c>
      <c r="BK228" s="21" t="s">
        <v>870</v>
      </c>
      <c r="BL228" s="33">
        <v>460000.0</v>
      </c>
    </row>
    <row r="229">
      <c r="A229" s="12">
        <f t="shared" si="1"/>
        <v>227</v>
      </c>
      <c r="B229" s="13" t="s">
        <v>1212</v>
      </c>
      <c r="C229" s="14">
        <v>2.025070062E9</v>
      </c>
      <c r="D229" s="15" t="s">
        <v>1213</v>
      </c>
      <c r="E229" s="15" t="s">
        <v>1214</v>
      </c>
      <c r="F229" s="15" t="s">
        <v>76</v>
      </c>
      <c r="G229" s="16" t="s">
        <v>1049</v>
      </c>
      <c r="H229" s="14" t="s">
        <v>863</v>
      </c>
      <c r="I229" s="14" t="s">
        <v>870</v>
      </c>
      <c r="J229" s="16">
        <v>2.0</v>
      </c>
      <c r="K229" s="16" t="s">
        <v>594</v>
      </c>
      <c r="L229" s="17" t="s">
        <v>1215</v>
      </c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>
        <v>500000.0</v>
      </c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>
        <v>500000.0</v>
      </c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>
        <f t="shared" si="2"/>
        <v>0</v>
      </c>
      <c r="BD229" s="18">
        <f t="shared" si="3"/>
        <v>1000000</v>
      </c>
      <c r="BE229" s="18">
        <f t="shared" si="4"/>
        <v>0</v>
      </c>
      <c r="BF229" s="18">
        <f t="shared" si="5"/>
        <v>1000000</v>
      </c>
      <c r="BG229" s="15"/>
      <c r="BH229" s="15"/>
      <c r="BI229" s="15"/>
      <c r="BJ229" s="12" t="s">
        <v>863</v>
      </c>
      <c r="BK229" s="12" t="s">
        <v>870</v>
      </c>
      <c r="BL229" s="32">
        <v>460000.0</v>
      </c>
    </row>
    <row r="230">
      <c r="A230" s="21">
        <f t="shared" si="1"/>
        <v>228</v>
      </c>
      <c r="B230" s="22" t="s">
        <v>1216</v>
      </c>
      <c r="C230" s="23">
        <v>2.025070347E9</v>
      </c>
      <c r="D230" s="24" t="s">
        <v>1217</v>
      </c>
      <c r="E230" s="24" t="s">
        <v>1218</v>
      </c>
      <c r="F230" s="24" t="s">
        <v>1219</v>
      </c>
      <c r="G230" s="25" t="s">
        <v>184</v>
      </c>
      <c r="H230" s="23" t="s">
        <v>863</v>
      </c>
      <c r="I230" s="23" t="s">
        <v>870</v>
      </c>
      <c r="J230" s="25">
        <v>2.0</v>
      </c>
      <c r="K230" s="25" t="s">
        <v>594</v>
      </c>
      <c r="L230" s="26" t="s">
        <v>1220</v>
      </c>
      <c r="M230" s="27">
        <v>600000.0</v>
      </c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>
        <v>450000.0</v>
      </c>
      <c r="AA230" s="27"/>
      <c r="AB230" s="27">
        <v>500000.0</v>
      </c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>
        <v>500000.0</v>
      </c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>
        <f t="shared" si="2"/>
        <v>450000</v>
      </c>
      <c r="BD230" s="27">
        <f t="shared" si="3"/>
        <v>1600000</v>
      </c>
      <c r="BE230" s="27">
        <f t="shared" si="4"/>
        <v>0</v>
      </c>
      <c r="BF230" s="27">
        <f t="shared" si="5"/>
        <v>2050000</v>
      </c>
      <c r="BG230" s="24"/>
      <c r="BH230" s="24"/>
      <c r="BI230" s="24"/>
      <c r="BJ230" s="21" t="s">
        <v>863</v>
      </c>
      <c r="BK230" s="21" t="s">
        <v>870</v>
      </c>
      <c r="BL230" s="33">
        <v>460000.0</v>
      </c>
    </row>
    <row r="231">
      <c r="A231" s="12">
        <f t="shared" si="1"/>
        <v>229</v>
      </c>
      <c r="B231" s="13" t="s">
        <v>1221</v>
      </c>
      <c r="C231" s="14">
        <v>2.025070567E9</v>
      </c>
      <c r="D231" s="15" t="s">
        <v>1222</v>
      </c>
      <c r="E231" s="15" t="s">
        <v>1223</v>
      </c>
      <c r="F231" s="15" t="s">
        <v>1118</v>
      </c>
      <c r="G231" s="16" t="s">
        <v>215</v>
      </c>
      <c r="H231" s="14" t="s">
        <v>863</v>
      </c>
      <c r="I231" s="14" t="s">
        <v>892</v>
      </c>
      <c r="J231" s="16">
        <v>2.0</v>
      </c>
      <c r="K231" s="16" t="s">
        <v>627</v>
      </c>
      <c r="L231" s="17" t="s">
        <v>1224</v>
      </c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>
        <f t="shared" si="2"/>
        <v>0</v>
      </c>
      <c r="BD231" s="18">
        <f t="shared" si="3"/>
        <v>0</v>
      </c>
      <c r="BE231" s="18">
        <f t="shared" si="4"/>
        <v>0</v>
      </c>
      <c r="BF231" s="18">
        <f t="shared" si="5"/>
        <v>0</v>
      </c>
      <c r="BG231" s="15"/>
      <c r="BH231" s="15"/>
      <c r="BI231" s="15"/>
      <c r="BJ231" s="12" t="s">
        <v>863</v>
      </c>
      <c r="BK231" s="12" t="s">
        <v>892</v>
      </c>
      <c r="BL231" s="32">
        <v>460000.0</v>
      </c>
    </row>
    <row r="232">
      <c r="A232" s="21">
        <f t="shared" si="1"/>
        <v>230</v>
      </c>
      <c r="B232" s="22" t="s">
        <v>1225</v>
      </c>
      <c r="C232" s="23">
        <v>2.025070237E9</v>
      </c>
      <c r="D232" s="24" t="s">
        <v>1226</v>
      </c>
      <c r="E232" s="24" t="s">
        <v>1227</v>
      </c>
      <c r="F232" s="24" t="s">
        <v>1228</v>
      </c>
      <c r="G232" s="25" t="s">
        <v>591</v>
      </c>
      <c r="H232" s="23" t="s">
        <v>863</v>
      </c>
      <c r="I232" s="23" t="s">
        <v>870</v>
      </c>
      <c r="J232" s="25">
        <v>2.0</v>
      </c>
      <c r="K232" s="25" t="s">
        <v>1017</v>
      </c>
      <c r="L232" s="26" t="s">
        <v>1229</v>
      </c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>
        <f t="shared" si="2"/>
        <v>0</v>
      </c>
      <c r="BD232" s="27">
        <f t="shared" si="3"/>
        <v>0</v>
      </c>
      <c r="BE232" s="27">
        <f t="shared" si="4"/>
        <v>0</v>
      </c>
      <c r="BF232" s="27">
        <f t="shared" si="5"/>
        <v>0</v>
      </c>
      <c r="BG232" s="24"/>
      <c r="BH232" s="24"/>
      <c r="BI232" s="24"/>
      <c r="BJ232" s="21" t="s">
        <v>863</v>
      </c>
      <c r="BK232" s="21" t="s">
        <v>870</v>
      </c>
      <c r="BL232" s="33">
        <v>460000.0</v>
      </c>
    </row>
    <row r="233">
      <c r="A233" s="12">
        <f t="shared" si="1"/>
        <v>231</v>
      </c>
      <c r="B233" s="13" t="s">
        <v>1230</v>
      </c>
      <c r="C233" s="14">
        <v>2.025070584E9</v>
      </c>
      <c r="D233" s="15" t="s">
        <v>1231</v>
      </c>
      <c r="E233" s="15" t="s">
        <v>1232</v>
      </c>
      <c r="F233" s="15" t="s">
        <v>1233</v>
      </c>
      <c r="G233" s="16" t="s">
        <v>42</v>
      </c>
      <c r="H233" s="14" t="s">
        <v>863</v>
      </c>
      <c r="I233" s="14" t="s">
        <v>892</v>
      </c>
      <c r="J233" s="16">
        <v>2.0</v>
      </c>
      <c r="K233" s="16" t="s">
        <v>602</v>
      </c>
      <c r="L233" s="17" t="s">
        <v>1234</v>
      </c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>
        <v>500000.0</v>
      </c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>
        <v>500000.0</v>
      </c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>
        <f t="shared" si="2"/>
        <v>0</v>
      </c>
      <c r="BD233" s="18">
        <f t="shared" si="3"/>
        <v>1000000</v>
      </c>
      <c r="BE233" s="18">
        <f t="shared" si="4"/>
        <v>0</v>
      </c>
      <c r="BF233" s="18">
        <f t="shared" si="5"/>
        <v>1000000</v>
      </c>
      <c r="BG233" s="15"/>
      <c r="BH233" s="15"/>
      <c r="BI233" s="15"/>
      <c r="BJ233" s="12" t="s">
        <v>863</v>
      </c>
      <c r="BK233" s="12" t="s">
        <v>892</v>
      </c>
      <c r="BL233" s="32">
        <v>460000.0</v>
      </c>
    </row>
    <row r="234">
      <c r="A234" s="21">
        <f t="shared" si="1"/>
        <v>232</v>
      </c>
      <c r="B234" s="22" t="s">
        <v>1235</v>
      </c>
      <c r="C234" s="23">
        <v>2.025070247E9</v>
      </c>
      <c r="D234" s="24" t="s">
        <v>1236</v>
      </c>
      <c r="E234" s="24" t="s">
        <v>1237</v>
      </c>
      <c r="F234" s="24" t="s">
        <v>1238</v>
      </c>
      <c r="G234" s="25" t="s">
        <v>776</v>
      </c>
      <c r="H234" s="23" t="s">
        <v>863</v>
      </c>
      <c r="I234" s="23" t="s">
        <v>864</v>
      </c>
      <c r="J234" s="25">
        <v>2.0</v>
      </c>
      <c r="K234" s="23" t="s">
        <v>777</v>
      </c>
      <c r="L234" s="26" t="s">
        <v>1239</v>
      </c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>
        <v>500000.0</v>
      </c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>
        <v>500000.0</v>
      </c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>
        <f t="shared" si="2"/>
        <v>0</v>
      </c>
      <c r="BD234" s="27">
        <f t="shared" si="3"/>
        <v>1000000</v>
      </c>
      <c r="BE234" s="27">
        <f t="shared" si="4"/>
        <v>0</v>
      </c>
      <c r="BF234" s="27">
        <f t="shared" si="5"/>
        <v>1000000</v>
      </c>
      <c r="BG234" s="24"/>
      <c r="BH234" s="24"/>
      <c r="BI234" s="24"/>
      <c r="BJ234" s="21" t="s">
        <v>863</v>
      </c>
      <c r="BK234" s="21" t="s">
        <v>864</v>
      </c>
      <c r="BL234" s="33">
        <v>460000.0</v>
      </c>
    </row>
    <row r="235">
      <c r="A235" s="12">
        <f t="shared" si="1"/>
        <v>233</v>
      </c>
      <c r="B235" s="13" t="s">
        <v>1240</v>
      </c>
      <c r="C235" s="14">
        <v>2.025070391E9</v>
      </c>
      <c r="D235" s="15" t="s">
        <v>1241</v>
      </c>
      <c r="E235" s="15" t="s">
        <v>1242</v>
      </c>
      <c r="F235" s="15" t="s">
        <v>1243</v>
      </c>
      <c r="G235" s="16" t="s">
        <v>33</v>
      </c>
      <c r="H235" s="14" t="s">
        <v>863</v>
      </c>
      <c r="I235" s="14" t="s">
        <v>1028</v>
      </c>
      <c r="J235" s="16">
        <v>2.0</v>
      </c>
      <c r="K235" s="16" t="s">
        <v>706</v>
      </c>
      <c r="L235" s="17" t="s">
        <v>1244</v>
      </c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500000.0</v>
      </c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>
        <v>500000.0</v>
      </c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>
        <f t="shared" si="2"/>
        <v>0</v>
      </c>
      <c r="BD235" s="18">
        <f t="shared" si="3"/>
        <v>1000000</v>
      </c>
      <c r="BE235" s="18">
        <f t="shared" si="4"/>
        <v>0</v>
      </c>
      <c r="BF235" s="18">
        <f t="shared" si="5"/>
        <v>1000000</v>
      </c>
      <c r="BG235" s="15"/>
      <c r="BH235" s="15"/>
      <c r="BI235" s="15"/>
      <c r="BJ235" s="12" t="s">
        <v>863</v>
      </c>
      <c r="BK235" s="12" t="s">
        <v>1028</v>
      </c>
      <c r="BL235" s="32">
        <v>460000.0</v>
      </c>
    </row>
    <row r="236">
      <c r="A236" s="21">
        <f t="shared" si="1"/>
        <v>234</v>
      </c>
      <c r="B236" s="22" t="s">
        <v>1245</v>
      </c>
      <c r="C236" s="23">
        <v>2.025070387E9</v>
      </c>
      <c r="D236" s="24" t="s">
        <v>1246</v>
      </c>
      <c r="E236" s="24" t="s">
        <v>1247</v>
      </c>
      <c r="F236" s="24" t="s">
        <v>1248</v>
      </c>
      <c r="G236" s="25" t="s">
        <v>33</v>
      </c>
      <c r="H236" s="23" t="s">
        <v>863</v>
      </c>
      <c r="I236" s="23" t="s">
        <v>1028</v>
      </c>
      <c r="J236" s="25">
        <v>2.0</v>
      </c>
      <c r="K236" s="25" t="s">
        <v>706</v>
      </c>
      <c r="L236" s="26" t="s">
        <v>1249</v>
      </c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>
        <v>500000.0</v>
      </c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>
        <v>500000.0</v>
      </c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>
        <f t="shared" si="2"/>
        <v>0</v>
      </c>
      <c r="BD236" s="27">
        <f t="shared" si="3"/>
        <v>1000000</v>
      </c>
      <c r="BE236" s="27">
        <f t="shared" si="4"/>
        <v>0</v>
      </c>
      <c r="BF236" s="27">
        <f t="shared" si="5"/>
        <v>1000000</v>
      </c>
      <c r="BG236" s="24"/>
      <c r="BH236" s="24"/>
      <c r="BI236" s="24"/>
      <c r="BJ236" s="21" t="s">
        <v>863</v>
      </c>
      <c r="BK236" s="21" t="s">
        <v>1028</v>
      </c>
      <c r="BL236" s="33">
        <v>460000.0</v>
      </c>
    </row>
    <row r="237">
      <c r="A237" s="12">
        <f t="shared" si="1"/>
        <v>235</v>
      </c>
      <c r="B237" s="13" t="s">
        <v>1250</v>
      </c>
      <c r="C237" s="14">
        <v>2.025070225E9</v>
      </c>
      <c r="D237" s="15" t="s">
        <v>1251</v>
      </c>
      <c r="E237" s="15" t="s">
        <v>1252</v>
      </c>
      <c r="F237" s="15" t="s">
        <v>1253</v>
      </c>
      <c r="G237" s="16" t="s">
        <v>361</v>
      </c>
      <c r="H237" s="14" t="s">
        <v>863</v>
      </c>
      <c r="I237" s="14" t="s">
        <v>870</v>
      </c>
      <c r="J237" s="16">
        <v>2.0</v>
      </c>
      <c r="K237" s="16" t="s">
        <v>1017</v>
      </c>
      <c r="L237" s="17" t="s">
        <v>1254</v>
      </c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>
        <v>450000.0</v>
      </c>
      <c r="AA237" s="18"/>
      <c r="AB237" s="18">
        <v>500000.0</v>
      </c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>
        <v>500000.0</v>
      </c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>
        <f t="shared" si="2"/>
        <v>450000</v>
      </c>
      <c r="BD237" s="18">
        <f t="shared" si="3"/>
        <v>1000000</v>
      </c>
      <c r="BE237" s="18">
        <f t="shared" si="4"/>
        <v>0</v>
      </c>
      <c r="BF237" s="18">
        <f t="shared" si="5"/>
        <v>1450000</v>
      </c>
      <c r="BG237" s="15"/>
      <c r="BH237" s="15"/>
      <c r="BI237" s="15"/>
      <c r="BJ237" s="12" t="s">
        <v>863</v>
      </c>
      <c r="BK237" s="12" t="s">
        <v>870</v>
      </c>
      <c r="BL237" s="32">
        <v>460000.0</v>
      </c>
    </row>
    <row r="238">
      <c r="A238" s="21">
        <f t="shared" si="1"/>
        <v>236</v>
      </c>
      <c r="B238" s="22" t="s">
        <v>1255</v>
      </c>
      <c r="C238" s="23">
        <v>2.025070128E9</v>
      </c>
      <c r="D238" s="24" t="s">
        <v>1256</v>
      </c>
      <c r="E238" s="24" t="s">
        <v>1257</v>
      </c>
      <c r="F238" s="24" t="s">
        <v>1258</v>
      </c>
      <c r="G238" s="25" t="s">
        <v>33</v>
      </c>
      <c r="H238" s="23" t="s">
        <v>863</v>
      </c>
      <c r="I238" s="23" t="s">
        <v>1028</v>
      </c>
      <c r="J238" s="25">
        <v>2.0</v>
      </c>
      <c r="K238" s="25" t="s">
        <v>706</v>
      </c>
      <c r="L238" s="26" t="s">
        <v>1259</v>
      </c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>
        <v>500000.0</v>
      </c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>
        <v>500000.0</v>
      </c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>
        <f t="shared" si="2"/>
        <v>0</v>
      </c>
      <c r="BD238" s="27">
        <f t="shared" si="3"/>
        <v>1000000</v>
      </c>
      <c r="BE238" s="27">
        <f t="shared" si="4"/>
        <v>0</v>
      </c>
      <c r="BF238" s="27">
        <f t="shared" si="5"/>
        <v>1000000</v>
      </c>
      <c r="BG238" s="24"/>
      <c r="BH238" s="24"/>
      <c r="BI238" s="24"/>
      <c r="BJ238" s="21" t="s">
        <v>863</v>
      </c>
      <c r="BK238" s="21" t="s">
        <v>1028</v>
      </c>
      <c r="BL238" s="33">
        <v>460000.0</v>
      </c>
    </row>
    <row r="239">
      <c r="A239" s="12">
        <f t="shared" si="1"/>
        <v>237</v>
      </c>
      <c r="B239" s="13" t="s">
        <v>1260</v>
      </c>
      <c r="C239" s="14">
        <v>2.025070153E9</v>
      </c>
      <c r="D239" s="15" t="s">
        <v>1261</v>
      </c>
      <c r="E239" s="15" t="s">
        <v>1262</v>
      </c>
      <c r="F239" s="15" t="s">
        <v>953</v>
      </c>
      <c r="G239" s="16" t="s">
        <v>532</v>
      </c>
      <c r="H239" s="14" t="s">
        <v>863</v>
      </c>
      <c r="I239" s="14" t="s">
        <v>870</v>
      </c>
      <c r="J239" s="16">
        <v>2.0</v>
      </c>
      <c r="K239" s="16" t="s">
        <v>594</v>
      </c>
      <c r="L239" s="17" t="s">
        <v>1263</v>
      </c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>
        <v>500000.0</v>
      </c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>
        <v>500000.0</v>
      </c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>
        <f t="shared" si="2"/>
        <v>0</v>
      </c>
      <c r="BD239" s="18">
        <f t="shared" si="3"/>
        <v>1000000</v>
      </c>
      <c r="BE239" s="18">
        <f t="shared" si="4"/>
        <v>0</v>
      </c>
      <c r="BF239" s="18">
        <f t="shared" si="5"/>
        <v>1000000</v>
      </c>
      <c r="BG239" s="15"/>
      <c r="BH239" s="15"/>
      <c r="BI239" s="15"/>
      <c r="BJ239" s="12" t="s">
        <v>863</v>
      </c>
      <c r="BK239" s="12" t="s">
        <v>870</v>
      </c>
      <c r="BL239" s="32">
        <v>460000.0</v>
      </c>
    </row>
    <row r="240">
      <c r="A240" s="21">
        <f t="shared" si="1"/>
        <v>238</v>
      </c>
      <c r="B240" s="22" t="s">
        <v>1264</v>
      </c>
      <c r="C240" s="23">
        <v>2.025070011E9</v>
      </c>
      <c r="D240" s="24" t="s">
        <v>1265</v>
      </c>
      <c r="E240" s="24" t="s">
        <v>395</v>
      </c>
      <c r="F240" s="24" t="s">
        <v>1266</v>
      </c>
      <c r="G240" s="25" t="s">
        <v>1049</v>
      </c>
      <c r="H240" s="23" t="s">
        <v>863</v>
      </c>
      <c r="I240" s="23" t="s">
        <v>870</v>
      </c>
      <c r="J240" s="25">
        <v>2.0</v>
      </c>
      <c r="K240" s="25" t="s">
        <v>594</v>
      </c>
      <c r="L240" s="26" t="s">
        <v>1267</v>
      </c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>
        <v>500000.0</v>
      </c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>
        <v>500000.0</v>
      </c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>
        <f t="shared" si="2"/>
        <v>0</v>
      </c>
      <c r="BD240" s="27">
        <f t="shared" si="3"/>
        <v>1000000</v>
      </c>
      <c r="BE240" s="27">
        <f t="shared" si="4"/>
        <v>0</v>
      </c>
      <c r="BF240" s="27">
        <f t="shared" si="5"/>
        <v>1000000</v>
      </c>
      <c r="BG240" s="24"/>
      <c r="BH240" s="24"/>
      <c r="BI240" s="24"/>
      <c r="BJ240" s="21" t="s">
        <v>863</v>
      </c>
      <c r="BK240" s="21" t="s">
        <v>870</v>
      </c>
      <c r="BL240" s="33">
        <v>460000.0</v>
      </c>
    </row>
    <row r="241">
      <c r="A241" s="12">
        <f t="shared" si="1"/>
        <v>239</v>
      </c>
      <c r="B241" s="13" t="s">
        <v>1268</v>
      </c>
      <c r="C241" s="14">
        <v>2.025070064E9</v>
      </c>
      <c r="D241" s="15" t="s">
        <v>1269</v>
      </c>
      <c r="E241" s="15" t="s">
        <v>1270</v>
      </c>
      <c r="F241" s="15" t="s">
        <v>1271</v>
      </c>
      <c r="G241" s="16" t="s">
        <v>33</v>
      </c>
      <c r="H241" s="14" t="s">
        <v>863</v>
      </c>
      <c r="I241" s="14" t="s">
        <v>1028</v>
      </c>
      <c r="J241" s="16">
        <v>2.0</v>
      </c>
      <c r="K241" s="16" t="s">
        <v>706</v>
      </c>
      <c r="L241" s="17" t="s">
        <v>1272</v>
      </c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>
        <v>500000.0</v>
      </c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>
        <v>500000.0</v>
      </c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>
        <f t="shared" si="2"/>
        <v>0</v>
      </c>
      <c r="BD241" s="18">
        <f t="shared" si="3"/>
        <v>1000000</v>
      </c>
      <c r="BE241" s="18">
        <f t="shared" si="4"/>
        <v>0</v>
      </c>
      <c r="BF241" s="18">
        <f t="shared" si="5"/>
        <v>1000000</v>
      </c>
      <c r="BG241" s="15"/>
      <c r="BH241" s="15"/>
      <c r="BI241" s="15"/>
      <c r="BJ241" s="12" t="s">
        <v>863</v>
      </c>
      <c r="BK241" s="12" t="s">
        <v>1028</v>
      </c>
      <c r="BL241" s="32">
        <v>460000.0</v>
      </c>
    </row>
    <row r="242">
      <c r="A242" s="21">
        <f t="shared" si="1"/>
        <v>240</v>
      </c>
      <c r="B242" s="22" t="s">
        <v>1273</v>
      </c>
      <c r="C242" s="23">
        <v>2.025070183E9</v>
      </c>
      <c r="D242" s="24" t="s">
        <v>1274</v>
      </c>
      <c r="E242" s="24" t="s">
        <v>1275</v>
      </c>
      <c r="F242" s="24" t="s">
        <v>1276</v>
      </c>
      <c r="G242" s="25" t="s">
        <v>776</v>
      </c>
      <c r="H242" s="23" t="s">
        <v>863</v>
      </c>
      <c r="I242" s="23" t="s">
        <v>864</v>
      </c>
      <c r="J242" s="25">
        <v>2.0</v>
      </c>
      <c r="K242" s="23" t="s">
        <v>777</v>
      </c>
      <c r="L242" s="26" t="s">
        <v>1277</v>
      </c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>
        <f t="shared" si="2"/>
        <v>0</v>
      </c>
      <c r="BD242" s="27">
        <f t="shared" si="3"/>
        <v>0</v>
      </c>
      <c r="BE242" s="27">
        <f t="shared" si="4"/>
        <v>0</v>
      </c>
      <c r="BF242" s="27">
        <f t="shared" si="5"/>
        <v>0</v>
      </c>
      <c r="BG242" s="24"/>
      <c r="BH242" s="24"/>
      <c r="BI242" s="24"/>
      <c r="BJ242" s="21" t="s">
        <v>863</v>
      </c>
      <c r="BK242" s="21" t="s">
        <v>864</v>
      </c>
      <c r="BL242" s="33">
        <v>460000.0</v>
      </c>
    </row>
    <row r="243">
      <c r="A243" s="12">
        <f t="shared" si="1"/>
        <v>241</v>
      </c>
      <c r="B243" s="13" t="s">
        <v>1278</v>
      </c>
      <c r="C243" s="14">
        <v>2.025070067E9</v>
      </c>
      <c r="D243" s="15" t="s">
        <v>1279</v>
      </c>
      <c r="E243" s="15" t="s">
        <v>1280</v>
      </c>
      <c r="F243" s="15" t="s">
        <v>1281</v>
      </c>
      <c r="G243" s="16" t="s">
        <v>437</v>
      </c>
      <c r="H243" s="14" t="s">
        <v>863</v>
      </c>
      <c r="I243" s="14" t="s">
        <v>870</v>
      </c>
      <c r="J243" s="16">
        <v>2.0</v>
      </c>
      <c r="K243" s="16" t="s">
        <v>638</v>
      </c>
      <c r="L243" s="17" t="s">
        <v>1282</v>
      </c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 t="s">
        <v>1283</v>
      </c>
      <c r="Y243" s="18"/>
      <c r="Z243" s="18">
        <v>450000.0</v>
      </c>
      <c r="AA243" s="18"/>
      <c r="AB243" s="18">
        <v>500000.0</v>
      </c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>
        <v>500000.0</v>
      </c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>
        <f t="shared" si="2"/>
        <v>450000</v>
      </c>
      <c r="BD243" s="18">
        <f t="shared" si="3"/>
        <v>1000000</v>
      </c>
      <c r="BE243" s="18">
        <f t="shared" si="4"/>
        <v>0</v>
      </c>
      <c r="BF243" s="18">
        <f t="shared" si="5"/>
        <v>1450000</v>
      </c>
      <c r="BG243" s="15"/>
      <c r="BH243" s="15"/>
      <c r="BI243" s="15"/>
      <c r="BJ243" s="12" t="s">
        <v>863</v>
      </c>
      <c r="BK243" s="12" t="s">
        <v>870</v>
      </c>
      <c r="BL243" s="32">
        <v>460000.0</v>
      </c>
    </row>
    <row r="244">
      <c r="A244" s="21">
        <f t="shared" si="1"/>
        <v>242</v>
      </c>
      <c r="B244" s="22" t="s">
        <v>1284</v>
      </c>
      <c r="C244" s="23">
        <v>2.025070255E9</v>
      </c>
      <c r="D244" s="24" t="s">
        <v>1285</v>
      </c>
      <c r="E244" s="24" t="s">
        <v>1286</v>
      </c>
      <c r="F244" s="24" t="s">
        <v>1287</v>
      </c>
      <c r="G244" s="25" t="s">
        <v>591</v>
      </c>
      <c r="H244" s="23" t="s">
        <v>863</v>
      </c>
      <c r="I244" s="23" t="s">
        <v>918</v>
      </c>
      <c r="J244" s="25">
        <v>2.0</v>
      </c>
      <c r="K244" s="25" t="s">
        <v>1017</v>
      </c>
      <c r="L244" s="26" t="s">
        <v>1288</v>
      </c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>
        <f t="shared" si="2"/>
        <v>0</v>
      </c>
      <c r="BD244" s="27">
        <f t="shared" si="3"/>
        <v>0</v>
      </c>
      <c r="BE244" s="27">
        <f t="shared" si="4"/>
        <v>0</v>
      </c>
      <c r="BF244" s="27">
        <f t="shared" si="5"/>
        <v>0</v>
      </c>
      <c r="BG244" s="24"/>
      <c r="BH244" s="24"/>
      <c r="BI244" s="24"/>
      <c r="BJ244" s="21" t="s">
        <v>863</v>
      </c>
      <c r="BK244" s="21" t="s">
        <v>918</v>
      </c>
      <c r="BL244" s="33">
        <v>460000.0</v>
      </c>
    </row>
    <row r="245">
      <c r="A245" s="12">
        <f t="shared" si="1"/>
        <v>243</v>
      </c>
      <c r="B245" s="13" t="s">
        <v>1289</v>
      </c>
      <c r="C245" s="14">
        <v>2.025070182E9</v>
      </c>
      <c r="D245" s="15" t="s">
        <v>687</v>
      </c>
      <c r="E245" s="15" t="s">
        <v>1290</v>
      </c>
      <c r="F245" s="15" t="s">
        <v>1291</v>
      </c>
      <c r="G245" s="16" t="s">
        <v>243</v>
      </c>
      <c r="H245" s="14" t="s">
        <v>863</v>
      </c>
      <c r="I245" s="14" t="s">
        <v>870</v>
      </c>
      <c r="J245" s="16">
        <v>2.0</v>
      </c>
      <c r="K245" s="16" t="s">
        <v>594</v>
      </c>
      <c r="L245" s="17" t="s">
        <v>1292</v>
      </c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>
        <f t="shared" si="2"/>
        <v>0</v>
      </c>
      <c r="BD245" s="18">
        <f t="shared" si="3"/>
        <v>0</v>
      </c>
      <c r="BE245" s="18">
        <f t="shared" si="4"/>
        <v>0</v>
      </c>
      <c r="BF245" s="18">
        <f t="shared" si="5"/>
        <v>0</v>
      </c>
      <c r="BG245" s="15"/>
      <c r="BH245" s="15"/>
      <c r="BI245" s="15"/>
      <c r="BJ245" s="12" t="s">
        <v>863</v>
      </c>
      <c r="BK245" s="12" t="s">
        <v>870</v>
      </c>
      <c r="BL245" s="32">
        <v>460000.0</v>
      </c>
    </row>
    <row r="246">
      <c r="A246" s="21">
        <f t="shared" si="1"/>
        <v>244</v>
      </c>
      <c r="B246" s="22" t="s">
        <v>1293</v>
      </c>
      <c r="C246" s="23">
        <v>2.025070292E9</v>
      </c>
      <c r="D246" s="24" t="s">
        <v>1294</v>
      </c>
      <c r="E246" s="24" t="s">
        <v>1295</v>
      </c>
      <c r="F246" s="24" t="s">
        <v>1143</v>
      </c>
      <c r="G246" s="25" t="s">
        <v>532</v>
      </c>
      <c r="H246" s="23" t="s">
        <v>863</v>
      </c>
      <c r="I246" s="23" t="s">
        <v>870</v>
      </c>
      <c r="J246" s="25">
        <v>2.0</v>
      </c>
      <c r="K246" s="25" t="s">
        <v>1017</v>
      </c>
      <c r="L246" s="26" t="s">
        <v>1296</v>
      </c>
      <c r="M246" s="27">
        <v>600000.0</v>
      </c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>
        <v>450000.0</v>
      </c>
      <c r="Z246" s="27">
        <v>450000.0</v>
      </c>
      <c r="AA246" s="27"/>
      <c r="AB246" s="27">
        <v>500000.0</v>
      </c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>
        <v>500000.0</v>
      </c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>
        <f t="shared" si="2"/>
        <v>900000</v>
      </c>
      <c r="BD246" s="27">
        <f t="shared" si="3"/>
        <v>1600000</v>
      </c>
      <c r="BE246" s="27">
        <f t="shared" si="4"/>
        <v>0</v>
      </c>
      <c r="BF246" s="27">
        <f t="shared" si="5"/>
        <v>2500000</v>
      </c>
      <c r="BG246" s="24"/>
      <c r="BH246" s="24"/>
      <c r="BI246" s="24"/>
      <c r="BJ246" s="21" t="s">
        <v>863</v>
      </c>
      <c r="BK246" s="21" t="s">
        <v>870</v>
      </c>
      <c r="BL246" s="33">
        <v>460000.0</v>
      </c>
    </row>
    <row r="247">
      <c r="A247" s="12">
        <f t="shared" si="1"/>
        <v>245</v>
      </c>
      <c r="B247" s="13" t="s">
        <v>1297</v>
      </c>
      <c r="C247" s="14">
        <v>2.025070288E9</v>
      </c>
      <c r="D247" s="15" t="s">
        <v>1298</v>
      </c>
      <c r="E247" s="15" t="s">
        <v>1299</v>
      </c>
      <c r="F247" s="15" t="s">
        <v>1300</v>
      </c>
      <c r="G247" s="16" t="s">
        <v>33</v>
      </c>
      <c r="H247" s="14" t="s">
        <v>863</v>
      </c>
      <c r="I247" s="14" t="s">
        <v>1028</v>
      </c>
      <c r="J247" s="16">
        <v>2.0</v>
      </c>
      <c r="K247" s="16" t="s">
        <v>706</v>
      </c>
      <c r="L247" s="17" t="s">
        <v>1301</v>
      </c>
      <c r="M247" s="18">
        <v>600000.0</v>
      </c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>
        <v>500000.0</v>
      </c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>
        <v>500000.0</v>
      </c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>
        <f t="shared" si="2"/>
        <v>0</v>
      </c>
      <c r="BD247" s="18">
        <f t="shared" si="3"/>
        <v>1600000</v>
      </c>
      <c r="BE247" s="18">
        <f t="shared" si="4"/>
        <v>0</v>
      </c>
      <c r="BF247" s="18">
        <f t="shared" si="5"/>
        <v>1600000</v>
      </c>
      <c r="BG247" s="15"/>
      <c r="BH247" s="15"/>
      <c r="BI247" s="15"/>
      <c r="BJ247" s="12" t="s">
        <v>863</v>
      </c>
      <c r="BK247" s="12" t="s">
        <v>1028</v>
      </c>
      <c r="BL247" s="32">
        <v>460000.0</v>
      </c>
    </row>
    <row r="248">
      <c r="A248" s="21">
        <f t="shared" si="1"/>
        <v>246</v>
      </c>
      <c r="B248" s="22" t="s">
        <v>1302</v>
      </c>
      <c r="C248" s="23">
        <v>2.025070527E9</v>
      </c>
      <c r="D248" s="24" t="s">
        <v>1303</v>
      </c>
      <c r="E248" s="24" t="s">
        <v>1304</v>
      </c>
      <c r="F248" s="24" t="s">
        <v>1305</v>
      </c>
      <c r="G248" s="25" t="s">
        <v>151</v>
      </c>
      <c r="H248" s="23" t="s">
        <v>863</v>
      </c>
      <c r="I248" s="23" t="s">
        <v>864</v>
      </c>
      <c r="J248" s="25">
        <v>2.0</v>
      </c>
      <c r="K248" s="25" t="s">
        <v>609</v>
      </c>
      <c r="L248" s="26" t="s">
        <v>1306</v>
      </c>
      <c r="M248" s="27"/>
      <c r="N248" s="27"/>
      <c r="O248" s="27"/>
      <c r="P248" s="27"/>
      <c r="Q248" s="27"/>
      <c r="R248" s="27"/>
      <c r="S248" s="27"/>
      <c r="T248" s="27">
        <v>450000.0</v>
      </c>
      <c r="U248" s="27">
        <v>450000.0</v>
      </c>
      <c r="V248" s="27">
        <v>450000.0</v>
      </c>
      <c r="W248" s="27">
        <v>450000.0</v>
      </c>
      <c r="X248" s="27">
        <v>450000.0</v>
      </c>
      <c r="Y248" s="27">
        <v>450000.0</v>
      </c>
      <c r="Z248" s="27">
        <v>450000.0</v>
      </c>
      <c r="AA248" s="27"/>
      <c r="AB248" s="27">
        <v>500000.0</v>
      </c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>
        <v>500000.0</v>
      </c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>
        <f t="shared" si="2"/>
        <v>3150000</v>
      </c>
      <c r="BD248" s="27">
        <f t="shared" si="3"/>
        <v>1000000</v>
      </c>
      <c r="BE248" s="27">
        <f t="shared" si="4"/>
        <v>0</v>
      </c>
      <c r="BF248" s="27">
        <f t="shared" si="5"/>
        <v>4150000</v>
      </c>
      <c r="BG248" s="24"/>
      <c r="BH248" s="24"/>
      <c r="BI248" s="24"/>
      <c r="BJ248" s="21" t="s">
        <v>863</v>
      </c>
      <c r="BK248" s="21" t="s">
        <v>864</v>
      </c>
      <c r="BL248" s="33">
        <v>460000.0</v>
      </c>
    </row>
    <row r="249">
      <c r="A249" s="12">
        <f t="shared" si="1"/>
        <v>247</v>
      </c>
      <c r="B249" s="13" t="s">
        <v>1307</v>
      </c>
      <c r="C249" s="14">
        <v>2.025070279E9</v>
      </c>
      <c r="D249" s="15" t="s">
        <v>1308</v>
      </c>
      <c r="E249" s="15" t="s">
        <v>1309</v>
      </c>
      <c r="F249" s="15" t="s">
        <v>1048</v>
      </c>
      <c r="G249" s="16" t="s">
        <v>591</v>
      </c>
      <c r="H249" s="14" t="s">
        <v>863</v>
      </c>
      <c r="I249" s="14" t="s">
        <v>870</v>
      </c>
      <c r="J249" s="16">
        <v>2.0</v>
      </c>
      <c r="K249" s="16" t="s">
        <v>1017</v>
      </c>
      <c r="L249" s="17" t="s">
        <v>1310</v>
      </c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>
        <v>450000.0</v>
      </c>
      <c r="AA249" s="18"/>
      <c r="AB249" s="18">
        <v>500000.0</v>
      </c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>
        <v>500000.0</v>
      </c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>
        <f t="shared" si="2"/>
        <v>450000</v>
      </c>
      <c r="BD249" s="18">
        <f t="shared" si="3"/>
        <v>1000000</v>
      </c>
      <c r="BE249" s="18">
        <f t="shared" si="4"/>
        <v>0</v>
      </c>
      <c r="BF249" s="18">
        <f t="shared" si="5"/>
        <v>1450000</v>
      </c>
      <c r="BG249" s="15"/>
      <c r="BH249" s="15"/>
      <c r="BI249" s="15"/>
      <c r="BJ249" s="12" t="s">
        <v>863</v>
      </c>
      <c r="BK249" s="12" t="s">
        <v>870</v>
      </c>
      <c r="BL249" s="32">
        <v>460000.0</v>
      </c>
    </row>
    <row r="250">
      <c r="A250" s="21">
        <f t="shared" si="1"/>
        <v>248</v>
      </c>
      <c r="B250" s="22" t="s">
        <v>1311</v>
      </c>
      <c r="C250" s="23">
        <v>2.025070421E9</v>
      </c>
      <c r="D250" s="24" t="s">
        <v>1312</v>
      </c>
      <c r="E250" s="24" t="s">
        <v>1313</v>
      </c>
      <c r="F250" s="24" t="s">
        <v>1314</v>
      </c>
      <c r="G250" s="25" t="s">
        <v>1049</v>
      </c>
      <c r="H250" s="23" t="s">
        <v>863</v>
      </c>
      <c r="I250" s="23" t="s">
        <v>870</v>
      </c>
      <c r="J250" s="25">
        <v>2.0</v>
      </c>
      <c r="K250" s="25" t="s">
        <v>594</v>
      </c>
      <c r="L250" s="26" t="s">
        <v>1315</v>
      </c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>
        <f t="shared" si="2"/>
        <v>0</v>
      </c>
      <c r="BD250" s="27">
        <f t="shared" si="3"/>
        <v>0</v>
      </c>
      <c r="BE250" s="27">
        <f t="shared" si="4"/>
        <v>0</v>
      </c>
      <c r="BF250" s="27">
        <f t="shared" si="5"/>
        <v>0</v>
      </c>
      <c r="BG250" s="24"/>
      <c r="BH250" s="24"/>
      <c r="BI250" s="24"/>
      <c r="BJ250" s="21" t="s">
        <v>863</v>
      </c>
      <c r="BK250" s="21" t="s">
        <v>870</v>
      </c>
      <c r="BL250" s="33">
        <v>460000.0</v>
      </c>
    </row>
    <row r="251">
      <c r="A251" s="12">
        <f t="shared" si="1"/>
        <v>249</v>
      </c>
      <c r="B251" s="13" t="s">
        <v>1316</v>
      </c>
      <c r="C251" s="14">
        <v>2.02507056E9</v>
      </c>
      <c r="D251" s="15" t="s">
        <v>1317</v>
      </c>
      <c r="E251" s="15" t="s">
        <v>1318</v>
      </c>
      <c r="F251" s="15" t="s">
        <v>1319</v>
      </c>
      <c r="G251" s="16" t="s">
        <v>89</v>
      </c>
      <c r="H251" s="14" t="s">
        <v>863</v>
      </c>
      <c r="I251" s="14" t="s">
        <v>881</v>
      </c>
      <c r="J251" s="16">
        <v>2.0</v>
      </c>
      <c r="K251" s="14" t="s">
        <v>227</v>
      </c>
      <c r="L251" s="17" t="s">
        <v>1320</v>
      </c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>
        <v>500000.0</v>
      </c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>
        <v>500000.0</v>
      </c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>
        <f t="shared" si="2"/>
        <v>0</v>
      </c>
      <c r="BD251" s="18">
        <f t="shared" si="3"/>
        <v>1000000</v>
      </c>
      <c r="BE251" s="18">
        <f t="shared" si="4"/>
        <v>0</v>
      </c>
      <c r="BF251" s="18">
        <f t="shared" si="5"/>
        <v>1000000</v>
      </c>
      <c r="BG251" s="15"/>
      <c r="BH251" s="15"/>
      <c r="BI251" s="15"/>
      <c r="BJ251" s="12" t="s">
        <v>863</v>
      </c>
      <c r="BK251" s="12" t="s">
        <v>881</v>
      </c>
      <c r="BL251" s="32">
        <v>460000.0</v>
      </c>
    </row>
    <row r="252">
      <c r="A252" s="21">
        <f t="shared" si="1"/>
        <v>250</v>
      </c>
      <c r="B252" s="22" t="s">
        <v>1321</v>
      </c>
      <c r="C252" s="23">
        <v>2.025070566E9</v>
      </c>
      <c r="D252" s="24" t="s">
        <v>262</v>
      </c>
      <c r="E252" s="24" t="s">
        <v>1322</v>
      </c>
      <c r="F252" s="24" t="s">
        <v>1323</v>
      </c>
      <c r="G252" s="25" t="s">
        <v>89</v>
      </c>
      <c r="H252" s="23" t="s">
        <v>863</v>
      </c>
      <c r="I252" s="23" t="s">
        <v>892</v>
      </c>
      <c r="J252" s="25">
        <v>2.0</v>
      </c>
      <c r="K252" s="25" t="s">
        <v>609</v>
      </c>
      <c r="L252" s="26" t="s">
        <v>1324</v>
      </c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>
        <f t="shared" si="2"/>
        <v>0</v>
      </c>
      <c r="BD252" s="27">
        <f t="shared" si="3"/>
        <v>0</v>
      </c>
      <c r="BE252" s="27">
        <f t="shared" si="4"/>
        <v>0</v>
      </c>
      <c r="BF252" s="27">
        <f t="shared" si="5"/>
        <v>0</v>
      </c>
      <c r="BG252" s="24"/>
      <c r="BH252" s="24"/>
      <c r="BI252" s="24"/>
      <c r="BJ252" s="21" t="s">
        <v>863</v>
      </c>
      <c r="BK252" s="21" t="s">
        <v>892</v>
      </c>
      <c r="BL252" s="33">
        <v>460000.0</v>
      </c>
    </row>
    <row r="253">
      <c r="A253" s="12">
        <f t="shared" si="1"/>
        <v>251</v>
      </c>
      <c r="B253" s="13" t="s">
        <v>1325</v>
      </c>
      <c r="C253" s="14">
        <v>2.025070007E9</v>
      </c>
      <c r="D253" s="15" t="s">
        <v>1326</v>
      </c>
      <c r="E253" s="15" t="s">
        <v>1327</v>
      </c>
      <c r="F253" s="15" t="s">
        <v>1328</v>
      </c>
      <c r="G253" s="16" t="s">
        <v>1049</v>
      </c>
      <c r="H253" s="14" t="s">
        <v>863</v>
      </c>
      <c r="I253" s="14" t="s">
        <v>918</v>
      </c>
      <c r="J253" s="16">
        <v>2.0</v>
      </c>
      <c r="K253" s="16" t="s">
        <v>594</v>
      </c>
      <c r="L253" s="17" t="s">
        <v>1329</v>
      </c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>
        <v>500000.0</v>
      </c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>
        <f t="shared" si="2"/>
        <v>0</v>
      </c>
      <c r="BD253" s="18">
        <f t="shared" si="3"/>
        <v>500000</v>
      </c>
      <c r="BE253" s="18">
        <f t="shared" si="4"/>
        <v>0</v>
      </c>
      <c r="BF253" s="18">
        <f t="shared" si="5"/>
        <v>500000</v>
      </c>
      <c r="BG253" s="15"/>
      <c r="BH253" s="15"/>
      <c r="BI253" s="15"/>
      <c r="BJ253" s="12" t="s">
        <v>863</v>
      </c>
      <c r="BK253" s="12" t="s">
        <v>918</v>
      </c>
      <c r="BL253" s="32">
        <v>460000.0</v>
      </c>
    </row>
    <row r="254">
      <c r="A254" s="21">
        <f t="shared" si="1"/>
        <v>252</v>
      </c>
      <c r="B254" s="22" t="s">
        <v>1330</v>
      </c>
      <c r="C254" s="23">
        <v>2.025070293E9</v>
      </c>
      <c r="D254" s="24" t="s">
        <v>1331</v>
      </c>
      <c r="E254" s="24" t="s">
        <v>1332</v>
      </c>
      <c r="F254" s="24" t="s">
        <v>1333</v>
      </c>
      <c r="G254" s="25" t="s">
        <v>33</v>
      </c>
      <c r="H254" s="23" t="s">
        <v>863</v>
      </c>
      <c r="I254" s="23" t="s">
        <v>1028</v>
      </c>
      <c r="J254" s="25">
        <v>2.0</v>
      </c>
      <c r="K254" s="25" t="s">
        <v>706</v>
      </c>
      <c r="L254" s="26" t="s">
        <v>1334</v>
      </c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>
        <v>450000.0</v>
      </c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>
        <f t="shared" si="2"/>
        <v>450000</v>
      </c>
      <c r="BD254" s="27">
        <f t="shared" si="3"/>
        <v>0</v>
      </c>
      <c r="BE254" s="27">
        <f t="shared" si="4"/>
        <v>0</v>
      </c>
      <c r="BF254" s="27">
        <f t="shared" si="5"/>
        <v>450000</v>
      </c>
      <c r="BG254" s="24"/>
      <c r="BH254" s="24"/>
      <c r="BI254" s="24"/>
      <c r="BJ254" s="21" t="s">
        <v>863</v>
      </c>
      <c r="BK254" s="21" t="s">
        <v>1028</v>
      </c>
      <c r="BL254" s="33">
        <v>460000.0</v>
      </c>
    </row>
    <row r="255">
      <c r="A255" s="12">
        <f t="shared" si="1"/>
        <v>253</v>
      </c>
      <c r="B255" s="13" t="s">
        <v>1335</v>
      </c>
      <c r="C255" s="14">
        <v>2.025070246E9</v>
      </c>
      <c r="D255" s="15" t="s">
        <v>1336</v>
      </c>
      <c r="E255" s="15" t="s">
        <v>1337</v>
      </c>
      <c r="F255" s="15" t="s">
        <v>1108</v>
      </c>
      <c r="G255" s="16" t="s">
        <v>532</v>
      </c>
      <c r="H255" s="14" t="s">
        <v>863</v>
      </c>
      <c r="I255" s="14" t="s">
        <v>870</v>
      </c>
      <c r="J255" s="16">
        <v>2.0</v>
      </c>
      <c r="K255" s="16" t="s">
        <v>1017</v>
      </c>
      <c r="L255" s="17" t="s">
        <v>1338</v>
      </c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>
        <v>500000.0</v>
      </c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>
        <v>500000.0</v>
      </c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>
        <f t="shared" si="2"/>
        <v>0</v>
      </c>
      <c r="BD255" s="18">
        <f t="shared" si="3"/>
        <v>1000000</v>
      </c>
      <c r="BE255" s="18">
        <f t="shared" si="4"/>
        <v>0</v>
      </c>
      <c r="BF255" s="18">
        <f t="shared" si="5"/>
        <v>1000000</v>
      </c>
      <c r="BG255" s="15"/>
      <c r="BH255" s="15"/>
      <c r="BI255" s="15"/>
      <c r="BJ255" s="12" t="s">
        <v>863</v>
      </c>
      <c r="BK255" s="12" t="s">
        <v>870</v>
      </c>
      <c r="BL255" s="32">
        <v>460000.0</v>
      </c>
    </row>
    <row r="256">
      <c r="A256" s="21">
        <f t="shared" si="1"/>
        <v>254</v>
      </c>
      <c r="B256" s="22" t="s">
        <v>1339</v>
      </c>
      <c r="C256" s="23">
        <v>2.025070521E9</v>
      </c>
      <c r="D256" s="24" t="s">
        <v>1340</v>
      </c>
      <c r="E256" s="24" t="s">
        <v>1341</v>
      </c>
      <c r="F256" s="24" t="s">
        <v>1342</v>
      </c>
      <c r="G256" s="25" t="s">
        <v>95</v>
      </c>
      <c r="H256" s="23" t="s">
        <v>863</v>
      </c>
      <c r="I256" s="23" t="s">
        <v>892</v>
      </c>
      <c r="J256" s="25">
        <v>2.0</v>
      </c>
      <c r="K256" s="25" t="s">
        <v>602</v>
      </c>
      <c r="L256" s="26" t="s">
        <v>1343</v>
      </c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>
        <v>500000.0</v>
      </c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>
        <v>500000.0</v>
      </c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>
        <f t="shared" si="2"/>
        <v>0</v>
      </c>
      <c r="BD256" s="27">
        <f t="shared" si="3"/>
        <v>1000000</v>
      </c>
      <c r="BE256" s="27">
        <f t="shared" si="4"/>
        <v>0</v>
      </c>
      <c r="BF256" s="27">
        <f t="shared" si="5"/>
        <v>1000000</v>
      </c>
      <c r="BG256" s="24"/>
      <c r="BH256" s="24"/>
      <c r="BI256" s="24"/>
      <c r="BJ256" s="21" t="s">
        <v>863</v>
      </c>
      <c r="BK256" s="21" t="s">
        <v>892</v>
      </c>
      <c r="BL256" s="33">
        <v>460000.0</v>
      </c>
    </row>
    <row r="257">
      <c r="A257" s="12">
        <f t="shared" si="1"/>
        <v>255</v>
      </c>
      <c r="B257" s="13" t="s">
        <v>1344</v>
      </c>
      <c r="C257" s="14">
        <v>2.025070601E9</v>
      </c>
      <c r="D257" s="15" t="s">
        <v>1345</v>
      </c>
      <c r="E257" s="15" t="s">
        <v>1346</v>
      </c>
      <c r="F257" s="15" t="s">
        <v>1347</v>
      </c>
      <c r="G257" s="16" t="s">
        <v>95</v>
      </c>
      <c r="H257" s="14" t="s">
        <v>863</v>
      </c>
      <c r="I257" s="14" t="s">
        <v>892</v>
      </c>
      <c r="J257" s="16">
        <v>2.0</v>
      </c>
      <c r="K257" s="16" t="s">
        <v>609</v>
      </c>
      <c r="L257" s="17" t="s">
        <v>1348</v>
      </c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>
        <f t="shared" si="2"/>
        <v>0</v>
      </c>
      <c r="BD257" s="18">
        <f t="shared" si="3"/>
        <v>0</v>
      </c>
      <c r="BE257" s="18">
        <f t="shared" si="4"/>
        <v>0</v>
      </c>
      <c r="BF257" s="18">
        <f t="shared" si="5"/>
        <v>0</v>
      </c>
      <c r="BG257" s="15"/>
      <c r="BH257" s="15"/>
      <c r="BI257" s="15"/>
      <c r="BJ257" s="12" t="s">
        <v>863</v>
      </c>
      <c r="BK257" s="12" t="s">
        <v>892</v>
      </c>
      <c r="BL257" s="32">
        <v>460000.0</v>
      </c>
    </row>
    <row r="258">
      <c r="A258" s="21">
        <f t="shared" si="1"/>
        <v>256</v>
      </c>
      <c r="B258" s="22" t="s">
        <v>1349</v>
      </c>
      <c r="C258" s="23">
        <v>2.025070025E9</v>
      </c>
      <c r="D258" s="24" t="s">
        <v>1350</v>
      </c>
      <c r="E258" s="24" t="s">
        <v>1351</v>
      </c>
      <c r="F258" s="24" t="s">
        <v>1352</v>
      </c>
      <c r="G258" s="25" t="s">
        <v>591</v>
      </c>
      <c r="H258" s="23" t="s">
        <v>863</v>
      </c>
      <c r="I258" s="23" t="s">
        <v>864</v>
      </c>
      <c r="J258" s="25">
        <v>2.0</v>
      </c>
      <c r="K258" s="25" t="s">
        <v>1017</v>
      </c>
      <c r="L258" s="26" t="s">
        <v>1353</v>
      </c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>
        <v>500000.0</v>
      </c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>
        <v>500000.0</v>
      </c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>
        <f t="shared" si="2"/>
        <v>0</v>
      </c>
      <c r="BD258" s="27">
        <f t="shared" si="3"/>
        <v>1000000</v>
      </c>
      <c r="BE258" s="27">
        <f t="shared" si="4"/>
        <v>0</v>
      </c>
      <c r="BF258" s="27">
        <f t="shared" si="5"/>
        <v>1000000</v>
      </c>
      <c r="BG258" s="24"/>
      <c r="BH258" s="24"/>
      <c r="BI258" s="24"/>
      <c r="BJ258" s="21" t="s">
        <v>863</v>
      </c>
      <c r="BK258" s="21" t="s">
        <v>864</v>
      </c>
      <c r="BL258" s="33">
        <v>460000.0</v>
      </c>
    </row>
    <row r="259">
      <c r="A259" s="12">
        <f t="shared" si="1"/>
        <v>257</v>
      </c>
      <c r="B259" s="13" t="s">
        <v>1354</v>
      </c>
      <c r="C259" s="14">
        <v>2.025070573E9</v>
      </c>
      <c r="D259" s="15" t="s">
        <v>1355</v>
      </c>
      <c r="E259" s="15" t="s">
        <v>1356</v>
      </c>
      <c r="F259" s="15" t="s">
        <v>1357</v>
      </c>
      <c r="G259" s="16" t="s">
        <v>151</v>
      </c>
      <c r="H259" s="14" t="s">
        <v>863</v>
      </c>
      <c r="I259" s="14" t="s">
        <v>864</v>
      </c>
      <c r="J259" s="16">
        <v>2.0</v>
      </c>
      <c r="K259" s="16" t="s">
        <v>602</v>
      </c>
      <c r="L259" s="17" t="s">
        <v>1358</v>
      </c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>
        <f t="shared" si="2"/>
        <v>0</v>
      </c>
      <c r="BD259" s="18">
        <f t="shared" si="3"/>
        <v>0</v>
      </c>
      <c r="BE259" s="18">
        <f t="shared" si="4"/>
        <v>0</v>
      </c>
      <c r="BF259" s="18">
        <f t="shared" si="5"/>
        <v>0</v>
      </c>
      <c r="BG259" s="15"/>
      <c r="BH259" s="15"/>
      <c r="BI259" s="15"/>
      <c r="BJ259" s="12" t="s">
        <v>863</v>
      </c>
      <c r="BK259" s="12" t="s">
        <v>864</v>
      </c>
      <c r="BL259" s="31">
        <v>270000.0</v>
      </c>
    </row>
    <row r="260">
      <c r="A260" s="21">
        <f t="shared" si="1"/>
        <v>258</v>
      </c>
      <c r="B260" s="22" t="s">
        <v>1359</v>
      </c>
      <c r="C260" s="23">
        <v>2.025070147E9</v>
      </c>
      <c r="D260" s="24" t="s">
        <v>1360</v>
      </c>
      <c r="E260" s="24" t="s">
        <v>1361</v>
      </c>
      <c r="F260" s="24" t="s">
        <v>1362</v>
      </c>
      <c r="G260" s="25" t="s">
        <v>532</v>
      </c>
      <c r="H260" s="23" t="s">
        <v>863</v>
      </c>
      <c r="I260" s="23" t="s">
        <v>870</v>
      </c>
      <c r="J260" s="25">
        <v>2.0</v>
      </c>
      <c r="K260" s="23" t="s">
        <v>391</v>
      </c>
      <c r="L260" s="26" t="s">
        <v>1363</v>
      </c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>
        <v>500000.0</v>
      </c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>
        <v>500000.0</v>
      </c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>
        <f t="shared" si="2"/>
        <v>0</v>
      </c>
      <c r="BD260" s="27">
        <f t="shared" si="3"/>
        <v>1000000</v>
      </c>
      <c r="BE260" s="27">
        <f t="shared" si="4"/>
        <v>0</v>
      </c>
      <c r="BF260" s="27">
        <f t="shared" si="5"/>
        <v>1000000</v>
      </c>
      <c r="BG260" s="24"/>
      <c r="BH260" s="24"/>
      <c r="BI260" s="24"/>
      <c r="BJ260" s="21" t="s">
        <v>863</v>
      </c>
      <c r="BK260" s="21" t="s">
        <v>870</v>
      </c>
      <c r="BL260" s="33">
        <v>460000.0</v>
      </c>
    </row>
    <row r="261">
      <c r="A261" s="12">
        <f t="shared" si="1"/>
        <v>259</v>
      </c>
      <c r="B261" s="13" t="s">
        <v>1364</v>
      </c>
      <c r="C261" s="14">
        <v>2.025070208E9</v>
      </c>
      <c r="D261" s="15" t="s">
        <v>1365</v>
      </c>
      <c r="E261" s="15" t="s">
        <v>1366</v>
      </c>
      <c r="F261" s="15" t="s">
        <v>1367</v>
      </c>
      <c r="G261" s="16" t="s">
        <v>1049</v>
      </c>
      <c r="H261" s="14" t="s">
        <v>863</v>
      </c>
      <c r="I261" s="14" t="s">
        <v>864</v>
      </c>
      <c r="J261" s="16">
        <v>2.0</v>
      </c>
      <c r="K261" s="16" t="s">
        <v>1017</v>
      </c>
      <c r="L261" s="17" t="s">
        <v>1368</v>
      </c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>
        <f t="shared" si="2"/>
        <v>0</v>
      </c>
      <c r="BD261" s="18">
        <f t="shared" si="3"/>
        <v>0</v>
      </c>
      <c r="BE261" s="18">
        <f t="shared" si="4"/>
        <v>0</v>
      </c>
      <c r="BF261" s="18">
        <f t="shared" si="5"/>
        <v>0</v>
      </c>
      <c r="BG261" s="15"/>
      <c r="BH261" s="15"/>
      <c r="BI261" s="15"/>
      <c r="BJ261" s="12" t="s">
        <v>863</v>
      </c>
      <c r="BK261" s="12" t="s">
        <v>864</v>
      </c>
      <c r="BL261" s="32">
        <v>460000.0</v>
      </c>
    </row>
    <row r="262">
      <c r="A262" s="21">
        <f t="shared" si="1"/>
        <v>260</v>
      </c>
      <c r="B262" s="22" t="s">
        <v>1369</v>
      </c>
      <c r="C262" s="23">
        <v>2.02502041E9</v>
      </c>
      <c r="D262" s="24" t="s">
        <v>1370</v>
      </c>
      <c r="E262" s="24" t="s">
        <v>1371</v>
      </c>
      <c r="F262" s="24" t="s">
        <v>1372</v>
      </c>
      <c r="G262" s="25" t="s">
        <v>776</v>
      </c>
      <c r="H262" s="23" t="s">
        <v>863</v>
      </c>
      <c r="I262" s="23" t="s">
        <v>864</v>
      </c>
      <c r="J262" s="25">
        <v>2.0</v>
      </c>
      <c r="K262" s="23" t="s">
        <v>777</v>
      </c>
      <c r="L262" s="26" t="s">
        <v>1373</v>
      </c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>
        <f t="shared" si="2"/>
        <v>0</v>
      </c>
      <c r="BD262" s="27">
        <f t="shared" si="3"/>
        <v>0</v>
      </c>
      <c r="BE262" s="27">
        <f t="shared" si="4"/>
        <v>0</v>
      </c>
      <c r="BF262" s="27">
        <f t="shared" si="5"/>
        <v>0</v>
      </c>
      <c r="BG262" s="24"/>
      <c r="BH262" s="24"/>
      <c r="BI262" s="24"/>
      <c r="BJ262" s="21" t="s">
        <v>863</v>
      </c>
      <c r="BK262" s="21" t="s">
        <v>864</v>
      </c>
      <c r="BL262" s="33">
        <v>460000.0</v>
      </c>
    </row>
    <row r="263">
      <c r="A263" s="12">
        <f t="shared" si="1"/>
        <v>261</v>
      </c>
      <c r="B263" s="13" t="s">
        <v>1374</v>
      </c>
      <c r="C263" s="14">
        <v>2.025070508E9</v>
      </c>
      <c r="D263" s="15" t="s">
        <v>1375</v>
      </c>
      <c r="E263" s="15" t="s">
        <v>1376</v>
      </c>
      <c r="F263" s="15" t="s">
        <v>1377</v>
      </c>
      <c r="G263" s="16" t="s">
        <v>42</v>
      </c>
      <c r="H263" s="14" t="s">
        <v>863</v>
      </c>
      <c r="I263" s="14" t="s">
        <v>918</v>
      </c>
      <c r="J263" s="16">
        <v>2.0</v>
      </c>
      <c r="K263" s="16" t="s">
        <v>602</v>
      </c>
      <c r="L263" s="17" t="s">
        <v>1378</v>
      </c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>
        <v>450000.0</v>
      </c>
      <c r="Z263" s="18">
        <v>450000.0</v>
      </c>
      <c r="AA263" s="18"/>
      <c r="AB263" s="18">
        <v>500000.0</v>
      </c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>
        <v>500000.0</v>
      </c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>
        <f t="shared" si="2"/>
        <v>900000</v>
      </c>
      <c r="BD263" s="18">
        <f t="shared" si="3"/>
        <v>1000000</v>
      </c>
      <c r="BE263" s="18">
        <f t="shared" si="4"/>
        <v>0</v>
      </c>
      <c r="BF263" s="18">
        <f t="shared" si="5"/>
        <v>1900000</v>
      </c>
      <c r="BG263" s="15"/>
      <c r="BH263" s="15"/>
      <c r="BI263" s="15"/>
      <c r="BJ263" s="12" t="s">
        <v>863</v>
      </c>
      <c r="BK263" s="12" t="s">
        <v>918</v>
      </c>
      <c r="BL263" s="32">
        <v>460000.0</v>
      </c>
    </row>
    <row r="264">
      <c r="A264" s="21">
        <f t="shared" si="1"/>
        <v>262</v>
      </c>
      <c r="B264" s="22" t="s">
        <v>1379</v>
      </c>
      <c r="C264" s="23">
        <v>2.025070287E9</v>
      </c>
      <c r="D264" s="24" t="s">
        <v>1380</v>
      </c>
      <c r="E264" s="24" t="s">
        <v>927</v>
      </c>
      <c r="F264" s="24" t="s">
        <v>1381</v>
      </c>
      <c r="G264" s="25" t="s">
        <v>776</v>
      </c>
      <c r="H264" s="23" t="s">
        <v>863</v>
      </c>
      <c r="I264" s="23" t="s">
        <v>864</v>
      </c>
      <c r="J264" s="25">
        <v>2.0</v>
      </c>
      <c r="K264" s="23" t="s">
        <v>777</v>
      </c>
      <c r="L264" s="26" t="s">
        <v>1382</v>
      </c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>
        <v>450000.0</v>
      </c>
      <c r="AA264" s="27"/>
      <c r="AB264" s="27">
        <v>500000.0</v>
      </c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>
        <v>500000.0</v>
      </c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>
        <f t="shared" si="2"/>
        <v>450000</v>
      </c>
      <c r="BD264" s="27">
        <f t="shared" si="3"/>
        <v>1000000</v>
      </c>
      <c r="BE264" s="27">
        <f t="shared" si="4"/>
        <v>0</v>
      </c>
      <c r="BF264" s="27">
        <f t="shared" si="5"/>
        <v>1450000</v>
      </c>
      <c r="BG264" s="24"/>
      <c r="BH264" s="24"/>
      <c r="BI264" s="24"/>
      <c r="BJ264" s="21" t="s">
        <v>863</v>
      </c>
      <c r="BK264" s="21" t="s">
        <v>864</v>
      </c>
      <c r="BL264" s="33">
        <v>460000.0</v>
      </c>
    </row>
    <row r="265">
      <c r="A265" s="12">
        <f t="shared" si="1"/>
        <v>263</v>
      </c>
      <c r="B265" s="13" t="s">
        <v>1383</v>
      </c>
      <c r="C265" s="14">
        <v>2.025070259E9</v>
      </c>
      <c r="D265" s="15" t="s">
        <v>1384</v>
      </c>
      <c r="E265" s="15" t="s">
        <v>1385</v>
      </c>
      <c r="F265" s="15" t="s">
        <v>1386</v>
      </c>
      <c r="G265" s="16" t="s">
        <v>1049</v>
      </c>
      <c r="H265" s="14" t="s">
        <v>863</v>
      </c>
      <c r="I265" s="14" t="s">
        <v>870</v>
      </c>
      <c r="J265" s="16">
        <v>2.0</v>
      </c>
      <c r="K265" s="16" t="s">
        <v>594</v>
      </c>
      <c r="L265" s="17" t="s">
        <v>1387</v>
      </c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>
        <v>500000.0</v>
      </c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>
        <v>500000.0</v>
      </c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>
        <f t="shared" si="2"/>
        <v>0</v>
      </c>
      <c r="BD265" s="18">
        <f t="shared" si="3"/>
        <v>1000000</v>
      </c>
      <c r="BE265" s="18">
        <f t="shared" si="4"/>
        <v>0</v>
      </c>
      <c r="BF265" s="18">
        <f t="shared" si="5"/>
        <v>1000000</v>
      </c>
      <c r="BG265" s="15"/>
      <c r="BH265" s="15"/>
      <c r="BI265" s="15"/>
      <c r="BJ265" s="12" t="s">
        <v>863</v>
      </c>
      <c r="BK265" s="12" t="s">
        <v>870</v>
      </c>
      <c r="BL265" s="32">
        <v>460000.0</v>
      </c>
    </row>
    <row r="266">
      <c r="A266" s="21">
        <f t="shared" si="1"/>
        <v>264</v>
      </c>
      <c r="B266" s="22" t="s">
        <v>1388</v>
      </c>
      <c r="C266" s="23">
        <v>2.025070395E9</v>
      </c>
      <c r="D266" s="24" t="s">
        <v>1389</v>
      </c>
      <c r="E266" s="24" t="s">
        <v>1390</v>
      </c>
      <c r="F266" s="24" t="s">
        <v>1391</v>
      </c>
      <c r="G266" s="25" t="s">
        <v>532</v>
      </c>
      <c r="H266" s="23" t="s">
        <v>1392</v>
      </c>
      <c r="I266" s="23" t="s">
        <v>1393</v>
      </c>
      <c r="J266" s="25">
        <v>2.0</v>
      </c>
      <c r="K266" s="25" t="s">
        <v>638</v>
      </c>
      <c r="L266" s="26" t="s">
        <v>1394</v>
      </c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>
        <f t="shared" si="2"/>
        <v>0</v>
      </c>
      <c r="BD266" s="27">
        <f t="shared" si="3"/>
        <v>0</v>
      </c>
      <c r="BE266" s="27">
        <f t="shared" si="4"/>
        <v>0</v>
      </c>
      <c r="BF266" s="27">
        <f t="shared" si="5"/>
        <v>0</v>
      </c>
      <c r="BG266" s="24"/>
      <c r="BH266" s="24"/>
      <c r="BI266" s="24"/>
      <c r="BJ266" s="21" t="s">
        <v>1392</v>
      </c>
      <c r="BK266" s="21" t="s">
        <v>1393</v>
      </c>
      <c r="BL266" s="33">
        <v>460000.0</v>
      </c>
    </row>
    <row r="267">
      <c r="A267" s="12">
        <f t="shared" si="1"/>
        <v>265</v>
      </c>
      <c r="B267" s="13" t="s">
        <v>1395</v>
      </c>
      <c r="C267" s="14">
        <v>2.02507063E9</v>
      </c>
      <c r="D267" s="15" t="s">
        <v>1396</v>
      </c>
      <c r="E267" s="15" t="s">
        <v>1397</v>
      </c>
      <c r="F267" s="15" t="s">
        <v>1398</v>
      </c>
      <c r="G267" s="16" t="s">
        <v>42</v>
      </c>
      <c r="H267" s="14" t="s">
        <v>1392</v>
      </c>
      <c r="I267" s="14" t="s">
        <v>1399</v>
      </c>
      <c r="J267" s="16">
        <v>2.0</v>
      </c>
      <c r="K267" s="16" t="s">
        <v>627</v>
      </c>
      <c r="L267" s="17" t="s">
        <v>1400</v>
      </c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>
        <v>500000.0</v>
      </c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>
        <v>500000.0</v>
      </c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>
        <f t="shared" si="2"/>
        <v>0</v>
      </c>
      <c r="BD267" s="18">
        <f t="shared" si="3"/>
        <v>1000000</v>
      </c>
      <c r="BE267" s="18">
        <f t="shared" si="4"/>
        <v>0</v>
      </c>
      <c r="BF267" s="18">
        <f t="shared" si="5"/>
        <v>1000000</v>
      </c>
      <c r="BG267" s="15"/>
      <c r="BH267" s="15"/>
      <c r="BI267" s="15"/>
      <c r="BJ267" s="12" t="s">
        <v>1392</v>
      </c>
      <c r="BK267" s="12" t="s">
        <v>1399</v>
      </c>
      <c r="BL267" s="32">
        <v>460000.0</v>
      </c>
    </row>
    <row r="268">
      <c r="A268" s="21">
        <f t="shared" si="1"/>
        <v>266</v>
      </c>
      <c r="B268" s="22" t="s">
        <v>1401</v>
      </c>
      <c r="C268" s="23">
        <v>2.025070324E9</v>
      </c>
      <c r="D268" s="24" t="s">
        <v>1402</v>
      </c>
      <c r="E268" s="24" t="s">
        <v>1403</v>
      </c>
      <c r="F268" s="24" t="s">
        <v>1404</v>
      </c>
      <c r="G268" s="25" t="s">
        <v>1049</v>
      </c>
      <c r="H268" s="23" t="s">
        <v>1392</v>
      </c>
      <c r="I268" s="23" t="s">
        <v>1405</v>
      </c>
      <c r="J268" s="25">
        <v>2.0</v>
      </c>
      <c r="K268" s="25" t="s">
        <v>638</v>
      </c>
      <c r="L268" s="26" t="s">
        <v>1406</v>
      </c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>
        <v>500000.0</v>
      </c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>
        <v>500000.0</v>
      </c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>
        <f t="shared" si="2"/>
        <v>0</v>
      </c>
      <c r="BD268" s="27">
        <f t="shared" si="3"/>
        <v>1000000</v>
      </c>
      <c r="BE268" s="27">
        <f t="shared" si="4"/>
        <v>0</v>
      </c>
      <c r="BF268" s="27">
        <f t="shared" si="5"/>
        <v>1000000</v>
      </c>
      <c r="BG268" s="24"/>
      <c r="BH268" s="24"/>
      <c r="BI268" s="24"/>
      <c r="BJ268" s="21" t="s">
        <v>1392</v>
      </c>
      <c r="BK268" s="21" t="s">
        <v>1405</v>
      </c>
      <c r="BL268" s="33">
        <v>460000.0</v>
      </c>
    </row>
    <row r="269">
      <c r="A269" s="12">
        <f t="shared" si="1"/>
        <v>267</v>
      </c>
      <c r="B269" s="13" t="s">
        <v>1407</v>
      </c>
      <c r="C269" s="14">
        <v>2.02507059E9</v>
      </c>
      <c r="D269" s="15" t="s">
        <v>1408</v>
      </c>
      <c r="E269" s="15" t="s">
        <v>1409</v>
      </c>
      <c r="F269" s="15" t="s">
        <v>1410</v>
      </c>
      <c r="G269" s="16" t="s">
        <v>151</v>
      </c>
      <c r="H269" s="14" t="s">
        <v>1392</v>
      </c>
      <c r="I269" s="14" t="s">
        <v>1399</v>
      </c>
      <c r="J269" s="16">
        <v>2.0</v>
      </c>
      <c r="K269" s="16" t="s">
        <v>609</v>
      </c>
      <c r="L269" s="17" t="s">
        <v>1411</v>
      </c>
      <c r="M269" s="18">
        <v>600000.0</v>
      </c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>
        <v>500000.0</v>
      </c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>
        <v>500000.0</v>
      </c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>
        <f t="shared" si="2"/>
        <v>0</v>
      </c>
      <c r="BD269" s="18">
        <f t="shared" si="3"/>
        <v>1600000</v>
      </c>
      <c r="BE269" s="18">
        <f t="shared" si="4"/>
        <v>0</v>
      </c>
      <c r="BF269" s="18">
        <f t="shared" si="5"/>
        <v>1600000</v>
      </c>
      <c r="BG269" s="15"/>
      <c r="BH269" s="15"/>
      <c r="BI269" s="15"/>
      <c r="BJ269" s="12" t="s">
        <v>1392</v>
      </c>
      <c r="BK269" s="12" t="s">
        <v>1399</v>
      </c>
      <c r="BL269" s="32">
        <v>460000.0</v>
      </c>
    </row>
    <row r="270">
      <c r="A270" s="21">
        <f t="shared" si="1"/>
        <v>268</v>
      </c>
      <c r="B270" s="22" t="s">
        <v>1412</v>
      </c>
      <c r="C270" s="23">
        <v>2.025070634E9</v>
      </c>
      <c r="D270" s="24" t="s">
        <v>1413</v>
      </c>
      <c r="E270" s="24" t="s">
        <v>1414</v>
      </c>
      <c r="F270" s="24" t="s">
        <v>1415</v>
      </c>
      <c r="G270" s="25" t="s">
        <v>151</v>
      </c>
      <c r="H270" s="23" t="s">
        <v>1392</v>
      </c>
      <c r="I270" s="23" t="s">
        <v>1399</v>
      </c>
      <c r="J270" s="25">
        <v>2.0</v>
      </c>
      <c r="K270" s="23" t="s">
        <v>227</v>
      </c>
      <c r="L270" s="26" t="s">
        <v>1416</v>
      </c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>
        <v>450000.0</v>
      </c>
      <c r="Z270" s="27">
        <v>450000.0</v>
      </c>
      <c r="AA270" s="27"/>
      <c r="AB270" s="27">
        <v>500000.0</v>
      </c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>
        <v>500000.0</v>
      </c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>
        <f t="shared" si="2"/>
        <v>900000</v>
      </c>
      <c r="BD270" s="27">
        <f t="shared" si="3"/>
        <v>1000000</v>
      </c>
      <c r="BE270" s="27">
        <f t="shared" si="4"/>
        <v>0</v>
      </c>
      <c r="BF270" s="27">
        <f t="shared" si="5"/>
        <v>1900000</v>
      </c>
      <c r="BG270" s="24"/>
      <c r="BH270" s="24"/>
      <c r="BI270" s="24"/>
      <c r="BJ270" s="21" t="s">
        <v>1392</v>
      </c>
      <c r="BK270" s="21" t="s">
        <v>1399</v>
      </c>
      <c r="BL270" s="33">
        <v>460000.0</v>
      </c>
    </row>
    <row r="271">
      <c r="A271" s="12">
        <f t="shared" si="1"/>
        <v>269</v>
      </c>
      <c r="B271" s="13" t="s">
        <v>1417</v>
      </c>
      <c r="C271" s="14">
        <v>2.0250705E9</v>
      </c>
      <c r="D271" s="15" t="s">
        <v>1418</v>
      </c>
      <c r="E271" s="15" t="s">
        <v>1419</v>
      </c>
      <c r="F271" s="15" t="s">
        <v>1420</v>
      </c>
      <c r="G271" s="16" t="s">
        <v>95</v>
      </c>
      <c r="H271" s="14" t="s">
        <v>1392</v>
      </c>
      <c r="I271" s="14" t="s">
        <v>1399</v>
      </c>
      <c r="J271" s="16">
        <v>2.0</v>
      </c>
      <c r="K271" s="16" t="s">
        <v>627</v>
      </c>
      <c r="L271" s="17" t="s">
        <v>1421</v>
      </c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>
        <v>500000.0</v>
      </c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>
        <v>500000.0</v>
      </c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f t="shared" si="2"/>
        <v>0</v>
      </c>
      <c r="BD271" s="18">
        <f t="shared" si="3"/>
        <v>1000000</v>
      </c>
      <c r="BE271" s="18">
        <f t="shared" si="4"/>
        <v>0</v>
      </c>
      <c r="BF271" s="18">
        <f t="shared" si="5"/>
        <v>1000000</v>
      </c>
      <c r="BG271" s="15"/>
      <c r="BH271" s="15"/>
      <c r="BI271" s="15"/>
      <c r="BJ271" s="12" t="s">
        <v>1392</v>
      </c>
      <c r="BK271" s="12" t="s">
        <v>1399</v>
      </c>
      <c r="BL271" s="32">
        <v>460000.0</v>
      </c>
    </row>
    <row r="272">
      <c r="A272" s="21">
        <f t="shared" si="1"/>
        <v>270</v>
      </c>
      <c r="B272" s="22" t="s">
        <v>1422</v>
      </c>
      <c r="C272" s="23">
        <v>2.025070627E9</v>
      </c>
      <c r="D272" s="24" t="s">
        <v>1423</v>
      </c>
      <c r="E272" s="24" t="s">
        <v>1424</v>
      </c>
      <c r="F272" s="24" t="s">
        <v>1425</v>
      </c>
      <c r="G272" s="25" t="s">
        <v>89</v>
      </c>
      <c r="H272" s="23" t="s">
        <v>1392</v>
      </c>
      <c r="I272" s="23" t="s">
        <v>1399</v>
      </c>
      <c r="J272" s="25">
        <v>2.0</v>
      </c>
      <c r="K272" s="25" t="s">
        <v>609</v>
      </c>
      <c r="L272" s="26" t="s">
        <v>1426</v>
      </c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>
        <f t="shared" si="2"/>
        <v>0</v>
      </c>
      <c r="BD272" s="27">
        <f t="shared" si="3"/>
        <v>0</v>
      </c>
      <c r="BE272" s="27">
        <f t="shared" si="4"/>
        <v>0</v>
      </c>
      <c r="BF272" s="27">
        <f t="shared" si="5"/>
        <v>0</v>
      </c>
      <c r="BG272" s="24"/>
      <c r="BH272" s="24"/>
      <c r="BI272" s="24"/>
      <c r="BJ272" s="21" t="s">
        <v>1392</v>
      </c>
      <c r="BK272" s="21" t="s">
        <v>1399</v>
      </c>
      <c r="BL272" s="33">
        <v>460000.0</v>
      </c>
    </row>
    <row r="273">
      <c r="A273" s="12">
        <f t="shared" si="1"/>
        <v>271</v>
      </c>
      <c r="B273" s="13" t="s">
        <v>1427</v>
      </c>
      <c r="C273" s="14">
        <v>2.025070633E9</v>
      </c>
      <c r="D273" s="15" t="s">
        <v>1428</v>
      </c>
      <c r="E273" s="15" t="s">
        <v>1429</v>
      </c>
      <c r="F273" s="15" t="s">
        <v>1430</v>
      </c>
      <c r="G273" s="16" t="s">
        <v>215</v>
      </c>
      <c r="H273" s="14" t="s">
        <v>1392</v>
      </c>
      <c r="I273" s="14" t="s">
        <v>1399</v>
      </c>
      <c r="J273" s="16">
        <v>2.0</v>
      </c>
      <c r="K273" s="16" t="s">
        <v>609</v>
      </c>
      <c r="L273" s="17" t="s">
        <v>1431</v>
      </c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>
        <v>500000.0</v>
      </c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>
        <v>500000.0</v>
      </c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>
        <f t="shared" si="2"/>
        <v>0</v>
      </c>
      <c r="BD273" s="18">
        <f t="shared" si="3"/>
        <v>1000000</v>
      </c>
      <c r="BE273" s="18">
        <f t="shared" si="4"/>
        <v>0</v>
      </c>
      <c r="BF273" s="18">
        <f t="shared" si="5"/>
        <v>1000000</v>
      </c>
      <c r="BG273" s="15"/>
      <c r="BH273" s="15"/>
      <c r="BI273" s="15"/>
      <c r="BJ273" s="12" t="s">
        <v>1392</v>
      </c>
      <c r="BK273" s="12" t="s">
        <v>1399</v>
      </c>
      <c r="BL273" s="32">
        <v>460000.0</v>
      </c>
    </row>
    <row r="274">
      <c r="A274" s="21">
        <f t="shared" si="1"/>
        <v>272</v>
      </c>
      <c r="B274" s="22" t="s">
        <v>1432</v>
      </c>
      <c r="C274" s="23">
        <v>2.025070335E9</v>
      </c>
      <c r="D274" s="24" t="s">
        <v>1433</v>
      </c>
      <c r="E274" s="24" t="s">
        <v>1434</v>
      </c>
      <c r="F274" s="24" t="s">
        <v>1435</v>
      </c>
      <c r="G274" s="25" t="s">
        <v>243</v>
      </c>
      <c r="H274" s="23" t="s">
        <v>1392</v>
      </c>
      <c r="I274" s="23" t="s">
        <v>1405</v>
      </c>
      <c r="J274" s="25">
        <v>2.0</v>
      </c>
      <c r="K274" s="25" t="s">
        <v>1017</v>
      </c>
      <c r="L274" s="26" t="s">
        <v>1436</v>
      </c>
      <c r="M274" s="27"/>
      <c r="N274" s="27">
        <v>200000.0</v>
      </c>
      <c r="O274" s="27">
        <v>450000.0</v>
      </c>
      <c r="P274" s="27">
        <v>450000.0</v>
      </c>
      <c r="Q274" s="27">
        <v>450000.0</v>
      </c>
      <c r="R274" s="27">
        <v>450000.0</v>
      </c>
      <c r="S274" s="27">
        <v>450000.0</v>
      </c>
      <c r="T274" s="27">
        <v>450000.0</v>
      </c>
      <c r="U274" s="27">
        <v>450000.0</v>
      </c>
      <c r="V274" s="27">
        <v>450000.0</v>
      </c>
      <c r="W274" s="27">
        <v>450000.0</v>
      </c>
      <c r="X274" s="27">
        <v>450000.0</v>
      </c>
      <c r="Y274" s="27">
        <v>450000.0</v>
      </c>
      <c r="Z274" s="27">
        <v>450000.0</v>
      </c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>
        <f t="shared" si="2"/>
        <v>5400000</v>
      </c>
      <c r="BD274" s="27">
        <f t="shared" si="3"/>
        <v>0</v>
      </c>
      <c r="BE274" s="27">
        <f t="shared" si="4"/>
        <v>0</v>
      </c>
      <c r="BF274" s="27">
        <f t="shared" si="5"/>
        <v>5400000</v>
      </c>
      <c r="BG274" s="24"/>
      <c r="BH274" s="24"/>
      <c r="BI274" s="24"/>
      <c r="BJ274" s="21" t="s">
        <v>1392</v>
      </c>
      <c r="BK274" s="21" t="s">
        <v>1405</v>
      </c>
      <c r="BL274" s="33">
        <v>460000.0</v>
      </c>
    </row>
    <row r="275">
      <c r="A275" s="12">
        <f t="shared" si="1"/>
        <v>273</v>
      </c>
      <c r="B275" s="13" t="s">
        <v>1437</v>
      </c>
      <c r="C275" s="14">
        <v>2.025070524E9</v>
      </c>
      <c r="D275" s="15" t="s">
        <v>1438</v>
      </c>
      <c r="E275" s="15" t="s">
        <v>1439</v>
      </c>
      <c r="F275" s="15" t="s">
        <v>1440</v>
      </c>
      <c r="G275" s="16" t="s">
        <v>42</v>
      </c>
      <c r="H275" s="14" t="s">
        <v>1392</v>
      </c>
      <c r="I275" s="14" t="s">
        <v>1399</v>
      </c>
      <c r="J275" s="16">
        <v>2.0</v>
      </c>
      <c r="K275" s="16" t="s">
        <v>602</v>
      </c>
      <c r="L275" s="17" t="s">
        <v>1441</v>
      </c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>
        <v>450000.0</v>
      </c>
      <c r="Z275" s="18">
        <v>450000.0</v>
      </c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>
        <f t="shared" si="2"/>
        <v>900000</v>
      </c>
      <c r="BD275" s="18">
        <f t="shared" si="3"/>
        <v>0</v>
      </c>
      <c r="BE275" s="18">
        <f t="shared" si="4"/>
        <v>0</v>
      </c>
      <c r="BF275" s="18">
        <f t="shared" si="5"/>
        <v>900000</v>
      </c>
      <c r="BG275" s="15"/>
      <c r="BH275" s="15"/>
      <c r="BI275" s="15"/>
      <c r="BJ275" s="12" t="s">
        <v>1392</v>
      </c>
      <c r="BK275" s="12" t="s">
        <v>1399</v>
      </c>
      <c r="BL275" s="32">
        <v>460000.0</v>
      </c>
    </row>
    <row r="276">
      <c r="A276" s="21">
        <f t="shared" si="1"/>
        <v>274</v>
      </c>
      <c r="B276" s="22" t="s">
        <v>1442</v>
      </c>
      <c r="C276" s="23">
        <v>2.025070129E9</v>
      </c>
      <c r="D276" s="24" t="s">
        <v>1443</v>
      </c>
      <c r="E276" s="24" t="s">
        <v>1444</v>
      </c>
      <c r="F276" s="24" t="s">
        <v>1445</v>
      </c>
      <c r="G276" s="25" t="s">
        <v>33</v>
      </c>
      <c r="H276" s="23" t="s">
        <v>1392</v>
      </c>
      <c r="I276" s="23" t="s">
        <v>1405</v>
      </c>
      <c r="J276" s="25">
        <v>2.0</v>
      </c>
      <c r="K276" s="25" t="s">
        <v>706</v>
      </c>
      <c r="L276" s="26" t="s">
        <v>1446</v>
      </c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>
        <v>500000.0</v>
      </c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>
        <v>500000.0</v>
      </c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>
        <f t="shared" si="2"/>
        <v>0</v>
      </c>
      <c r="BD276" s="27">
        <f t="shared" si="3"/>
        <v>1000000</v>
      </c>
      <c r="BE276" s="27">
        <f t="shared" si="4"/>
        <v>0</v>
      </c>
      <c r="BF276" s="27">
        <f t="shared" si="5"/>
        <v>1000000</v>
      </c>
      <c r="BG276" s="24"/>
      <c r="BH276" s="24"/>
      <c r="BI276" s="24"/>
      <c r="BJ276" s="21" t="s">
        <v>1392</v>
      </c>
      <c r="BK276" s="21" t="s">
        <v>1405</v>
      </c>
      <c r="BL276" s="33">
        <v>460000.0</v>
      </c>
    </row>
    <row r="277">
      <c r="A277" s="12">
        <f t="shared" si="1"/>
        <v>275</v>
      </c>
      <c r="B277" s="13" t="s">
        <v>1447</v>
      </c>
      <c r="C277" s="14">
        <v>2.025070663E9</v>
      </c>
      <c r="D277" s="15" t="s">
        <v>1448</v>
      </c>
      <c r="E277" s="15" t="s">
        <v>1449</v>
      </c>
      <c r="F277" s="15" t="s">
        <v>1450</v>
      </c>
      <c r="G277" s="16" t="s">
        <v>385</v>
      </c>
      <c r="H277" s="14" t="s">
        <v>1392</v>
      </c>
      <c r="I277" s="14" t="s">
        <v>1393</v>
      </c>
      <c r="J277" s="16">
        <v>2.0</v>
      </c>
      <c r="K277" s="16" t="s">
        <v>1017</v>
      </c>
      <c r="L277" s="17" t="s">
        <v>1451</v>
      </c>
      <c r="M277" s="18"/>
      <c r="N277" s="18">
        <v>200000.0</v>
      </c>
      <c r="O277" s="18"/>
      <c r="P277" s="18"/>
      <c r="Q277" s="18">
        <v>450000.0</v>
      </c>
      <c r="R277" s="18">
        <v>450000.0</v>
      </c>
      <c r="S277" s="18">
        <v>450000.0</v>
      </c>
      <c r="T277" s="18">
        <v>450000.0</v>
      </c>
      <c r="U277" s="18">
        <v>450000.0</v>
      </c>
      <c r="V277" s="18">
        <v>450000.0</v>
      </c>
      <c r="W277" s="18">
        <v>450000.0</v>
      </c>
      <c r="X277" s="18">
        <v>450000.0</v>
      </c>
      <c r="Y277" s="18">
        <v>450000.0</v>
      </c>
      <c r="Z277" s="18">
        <v>450000.0</v>
      </c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>
        <f t="shared" si="2"/>
        <v>4500000</v>
      </c>
      <c r="BD277" s="18">
        <f t="shared" si="3"/>
        <v>0</v>
      </c>
      <c r="BE277" s="18">
        <f t="shared" si="4"/>
        <v>0</v>
      </c>
      <c r="BF277" s="18">
        <f t="shared" si="5"/>
        <v>4500000</v>
      </c>
      <c r="BG277" s="15"/>
      <c r="BH277" s="15"/>
      <c r="BI277" s="15"/>
      <c r="BJ277" s="12" t="s">
        <v>1392</v>
      </c>
      <c r="BK277" s="12" t="s">
        <v>1393</v>
      </c>
      <c r="BL277" s="32">
        <v>460000.0</v>
      </c>
    </row>
    <row r="278">
      <c r="A278" s="21">
        <f t="shared" si="1"/>
        <v>276</v>
      </c>
      <c r="B278" s="22" t="s">
        <v>1452</v>
      </c>
      <c r="C278" s="23">
        <v>2.025070557E9</v>
      </c>
      <c r="D278" s="24" t="s">
        <v>1453</v>
      </c>
      <c r="E278" s="24" t="s">
        <v>1454</v>
      </c>
      <c r="F278" s="24" t="s">
        <v>1455</v>
      </c>
      <c r="G278" s="25" t="s">
        <v>125</v>
      </c>
      <c r="H278" s="23" t="s">
        <v>1392</v>
      </c>
      <c r="I278" s="23" t="s">
        <v>1399</v>
      </c>
      <c r="J278" s="25">
        <v>2.0</v>
      </c>
      <c r="K278" s="25" t="s">
        <v>627</v>
      </c>
      <c r="L278" s="26" t="s">
        <v>1456</v>
      </c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>
        <v>500000.0</v>
      </c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>
        <v>500000.0</v>
      </c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>
        <f t="shared" si="2"/>
        <v>0</v>
      </c>
      <c r="BD278" s="27">
        <f t="shared" si="3"/>
        <v>1000000</v>
      </c>
      <c r="BE278" s="27">
        <f t="shared" si="4"/>
        <v>0</v>
      </c>
      <c r="BF278" s="27">
        <f t="shared" si="5"/>
        <v>1000000</v>
      </c>
      <c r="BG278" s="24"/>
      <c r="BH278" s="24"/>
      <c r="BI278" s="24"/>
      <c r="BJ278" s="21" t="s">
        <v>1392</v>
      </c>
      <c r="BK278" s="21" t="s">
        <v>1399</v>
      </c>
      <c r="BL278" s="33">
        <v>460000.0</v>
      </c>
    </row>
    <row r="279">
      <c r="A279" s="12">
        <f t="shared" si="1"/>
        <v>277</v>
      </c>
      <c r="B279" s="13" t="s">
        <v>1457</v>
      </c>
      <c r="C279" s="14">
        <v>2.025070392E9</v>
      </c>
      <c r="D279" s="15" t="s">
        <v>1458</v>
      </c>
      <c r="E279" s="15" t="s">
        <v>791</v>
      </c>
      <c r="F279" s="15" t="s">
        <v>1459</v>
      </c>
      <c r="G279" s="16" t="s">
        <v>243</v>
      </c>
      <c r="H279" s="14" t="s">
        <v>1392</v>
      </c>
      <c r="I279" s="14" t="s">
        <v>1405</v>
      </c>
      <c r="J279" s="16">
        <v>2.0</v>
      </c>
      <c r="K279" s="16" t="s">
        <v>638</v>
      </c>
      <c r="L279" s="17" t="s">
        <v>1460</v>
      </c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>
        <v>450000.0</v>
      </c>
      <c r="Z279" s="18">
        <v>450000.0</v>
      </c>
      <c r="AA279" s="18"/>
      <c r="AB279" s="18">
        <v>500000.0</v>
      </c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>
        <v>500000.0</v>
      </c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>
        <f t="shared" si="2"/>
        <v>900000</v>
      </c>
      <c r="BD279" s="18">
        <f t="shared" si="3"/>
        <v>1000000</v>
      </c>
      <c r="BE279" s="18">
        <f t="shared" si="4"/>
        <v>0</v>
      </c>
      <c r="BF279" s="18">
        <f t="shared" si="5"/>
        <v>1900000</v>
      </c>
      <c r="BG279" s="15"/>
      <c r="BH279" s="15"/>
      <c r="BI279" s="15"/>
      <c r="BJ279" s="12" t="s">
        <v>1392</v>
      </c>
      <c r="BK279" s="12" t="s">
        <v>1405</v>
      </c>
      <c r="BL279" s="32">
        <v>460000.0</v>
      </c>
    </row>
    <row r="280">
      <c r="A280" s="21">
        <f t="shared" si="1"/>
        <v>278</v>
      </c>
      <c r="B280" s="22" t="s">
        <v>1461</v>
      </c>
      <c r="C280" s="23">
        <v>2.025070585E9</v>
      </c>
      <c r="D280" s="24" t="s">
        <v>1462</v>
      </c>
      <c r="E280" s="24" t="s">
        <v>1463</v>
      </c>
      <c r="F280" s="24" t="s">
        <v>1464</v>
      </c>
      <c r="G280" s="25" t="s">
        <v>95</v>
      </c>
      <c r="H280" s="23" t="s">
        <v>1392</v>
      </c>
      <c r="I280" s="23" t="s">
        <v>1399</v>
      </c>
      <c r="J280" s="25">
        <v>2.0</v>
      </c>
      <c r="K280" s="25" t="s">
        <v>627</v>
      </c>
      <c r="L280" s="26" t="s">
        <v>1465</v>
      </c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>
        <f t="shared" si="2"/>
        <v>0</v>
      </c>
      <c r="BD280" s="27">
        <f t="shared" si="3"/>
        <v>0</v>
      </c>
      <c r="BE280" s="27">
        <f t="shared" si="4"/>
        <v>0</v>
      </c>
      <c r="BF280" s="27">
        <f t="shared" si="5"/>
        <v>0</v>
      </c>
      <c r="BG280" s="24"/>
      <c r="BH280" s="24"/>
      <c r="BI280" s="24"/>
      <c r="BJ280" s="21" t="s">
        <v>1392</v>
      </c>
      <c r="BK280" s="21" t="s">
        <v>1399</v>
      </c>
      <c r="BL280" s="33">
        <v>460000.0</v>
      </c>
    </row>
    <row r="281">
      <c r="A281" s="12">
        <f t="shared" si="1"/>
        <v>279</v>
      </c>
      <c r="B281" s="13" t="s">
        <v>1466</v>
      </c>
      <c r="C281" s="14">
        <v>2.025070637E9</v>
      </c>
      <c r="D281" s="15" t="s">
        <v>1467</v>
      </c>
      <c r="E281" s="15" t="s">
        <v>1468</v>
      </c>
      <c r="F281" s="15" t="s">
        <v>65</v>
      </c>
      <c r="G281" s="16" t="s">
        <v>82</v>
      </c>
      <c r="H281" s="14" t="s">
        <v>1392</v>
      </c>
      <c r="I281" s="14" t="s">
        <v>1399</v>
      </c>
      <c r="J281" s="16">
        <v>2.0</v>
      </c>
      <c r="K281" s="16" t="s">
        <v>609</v>
      </c>
      <c r="L281" s="17" t="s">
        <v>1469</v>
      </c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>
        <v>500000.0</v>
      </c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>
        <v>500000.0</v>
      </c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>
        <f t="shared" si="2"/>
        <v>0</v>
      </c>
      <c r="BD281" s="18">
        <f t="shared" si="3"/>
        <v>1000000</v>
      </c>
      <c r="BE281" s="18">
        <f t="shared" si="4"/>
        <v>0</v>
      </c>
      <c r="BF281" s="18">
        <f t="shared" si="5"/>
        <v>1000000</v>
      </c>
      <c r="BG281" s="15"/>
      <c r="BH281" s="15"/>
      <c r="BI281" s="15"/>
      <c r="BJ281" s="12" t="s">
        <v>1392</v>
      </c>
      <c r="BK281" s="12" t="s">
        <v>1399</v>
      </c>
      <c r="BL281" s="32">
        <v>460000.0</v>
      </c>
    </row>
    <row r="282">
      <c r="A282" s="21">
        <f t="shared" si="1"/>
        <v>280</v>
      </c>
      <c r="B282" s="22" t="s">
        <v>1470</v>
      </c>
      <c r="C282" s="23">
        <v>2.025070479E9</v>
      </c>
      <c r="D282" s="24" t="s">
        <v>1251</v>
      </c>
      <c r="E282" s="24" t="s">
        <v>1471</v>
      </c>
      <c r="F282" s="24" t="s">
        <v>1472</v>
      </c>
      <c r="G282" s="25" t="s">
        <v>66</v>
      </c>
      <c r="H282" s="23" t="s">
        <v>1392</v>
      </c>
      <c r="I282" s="23" t="s">
        <v>1399</v>
      </c>
      <c r="J282" s="25">
        <v>2.0</v>
      </c>
      <c r="K282" s="25" t="s">
        <v>609</v>
      </c>
      <c r="L282" s="26" t="s">
        <v>1473</v>
      </c>
      <c r="M282" s="27"/>
      <c r="N282" s="27"/>
      <c r="O282" s="27"/>
      <c r="P282" s="27"/>
      <c r="Q282" s="27" t="s">
        <v>28</v>
      </c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>
        <v>500000.0</v>
      </c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>
        <v>500000.0</v>
      </c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>
        <f t="shared" si="2"/>
        <v>0</v>
      </c>
      <c r="BD282" s="27">
        <f t="shared" si="3"/>
        <v>1000000</v>
      </c>
      <c r="BE282" s="27">
        <f t="shared" si="4"/>
        <v>0</v>
      </c>
      <c r="BF282" s="27">
        <f t="shared" si="5"/>
        <v>1000000</v>
      </c>
      <c r="BG282" s="24"/>
      <c r="BH282" s="24"/>
      <c r="BI282" s="24"/>
      <c r="BJ282" s="21" t="s">
        <v>1392</v>
      </c>
      <c r="BK282" s="21" t="s">
        <v>1399</v>
      </c>
      <c r="BL282" s="33">
        <v>460000.0</v>
      </c>
    </row>
    <row r="283">
      <c r="A283" s="12">
        <f t="shared" si="1"/>
        <v>281</v>
      </c>
      <c r="B283" s="13" t="s">
        <v>1474</v>
      </c>
      <c r="C283" s="14">
        <v>2.025070439E9</v>
      </c>
      <c r="D283" s="15" t="s">
        <v>1475</v>
      </c>
      <c r="E283" s="15" t="s">
        <v>637</v>
      </c>
      <c r="F283" s="15" t="s">
        <v>1476</v>
      </c>
      <c r="G283" s="16" t="s">
        <v>1477</v>
      </c>
      <c r="H283" s="14" t="s">
        <v>1392</v>
      </c>
      <c r="I283" s="14" t="s">
        <v>1393</v>
      </c>
      <c r="J283" s="16">
        <v>2.0</v>
      </c>
      <c r="K283" s="16" t="s">
        <v>1017</v>
      </c>
      <c r="L283" s="17" t="s">
        <v>1478</v>
      </c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>
        <f t="shared" si="2"/>
        <v>0</v>
      </c>
      <c r="BD283" s="18">
        <f t="shared" si="3"/>
        <v>0</v>
      </c>
      <c r="BE283" s="18">
        <f t="shared" si="4"/>
        <v>0</v>
      </c>
      <c r="BF283" s="18">
        <f t="shared" si="5"/>
        <v>0</v>
      </c>
      <c r="BG283" s="15"/>
      <c r="BH283" s="15"/>
      <c r="BI283" s="15"/>
      <c r="BJ283" s="12" t="s">
        <v>1392</v>
      </c>
      <c r="BK283" s="12" t="s">
        <v>1393</v>
      </c>
      <c r="BL283" s="32">
        <v>460000.0</v>
      </c>
    </row>
    <row r="284">
      <c r="A284" s="21">
        <f t="shared" si="1"/>
        <v>282</v>
      </c>
      <c r="B284" s="22" t="s">
        <v>1479</v>
      </c>
      <c r="C284" s="23">
        <v>2.025070325E9</v>
      </c>
      <c r="D284" s="24" t="s">
        <v>1480</v>
      </c>
      <c r="E284" s="24" t="s">
        <v>1481</v>
      </c>
      <c r="F284" s="24" t="s">
        <v>1482</v>
      </c>
      <c r="G284" s="25" t="s">
        <v>158</v>
      </c>
      <c r="H284" s="23" t="s">
        <v>1392</v>
      </c>
      <c r="I284" s="23" t="s">
        <v>1405</v>
      </c>
      <c r="J284" s="25">
        <v>2.0</v>
      </c>
      <c r="K284" s="25" t="s">
        <v>638</v>
      </c>
      <c r="L284" s="26" t="s">
        <v>1483</v>
      </c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>
        <v>500000.0</v>
      </c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>
        <v>500000.0</v>
      </c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>
        <f t="shared" si="2"/>
        <v>0</v>
      </c>
      <c r="BD284" s="27">
        <f t="shared" si="3"/>
        <v>1000000</v>
      </c>
      <c r="BE284" s="27">
        <f t="shared" si="4"/>
        <v>0</v>
      </c>
      <c r="BF284" s="27">
        <f t="shared" si="5"/>
        <v>1000000</v>
      </c>
      <c r="BG284" s="24"/>
      <c r="BH284" s="24"/>
      <c r="BI284" s="24"/>
      <c r="BJ284" s="21" t="s">
        <v>1392</v>
      </c>
      <c r="BK284" s="21" t="s">
        <v>1405</v>
      </c>
      <c r="BL284" s="33">
        <v>460000.0</v>
      </c>
    </row>
    <row r="285">
      <c r="A285" s="12">
        <f t="shared" si="1"/>
        <v>283</v>
      </c>
      <c r="B285" s="13" t="s">
        <v>1484</v>
      </c>
      <c r="C285" s="14">
        <v>2.025070591E9</v>
      </c>
      <c r="D285" s="15" t="s">
        <v>1485</v>
      </c>
      <c r="E285" s="15" t="s">
        <v>1486</v>
      </c>
      <c r="F285" s="15" t="s">
        <v>1410</v>
      </c>
      <c r="G285" s="16" t="s">
        <v>95</v>
      </c>
      <c r="H285" s="14" t="s">
        <v>1392</v>
      </c>
      <c r="I285" s="14" t="s">
        <v>1399</v>
      </c>
      <c r="J285" s="16">
        <v>2.0</v>
      </c>
      <c r="K285" s="16" t="s">
        <v>609</v>
      </c>
      <c r="L285" s="17" t="s">
        <v>1487</v>
      </c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>
        <f t="shared" si="2"/>
        <v>0</v>
      </c>
      <c r="BD285" s="18">
        <f t="shared" si="3"/>
        <v>0</v>
      </c>
      <c r="BE285" s="18">
        <f t="shared" si="4"/>
        <v>0</v>
      </c>
      <c r="BF285" s="18">
        <f t="shared" si="5"/>
        <v>0</v>
      </c>
      <c r="BG285" s="15"/>
      <c r="BH285" s="15"/>
      <c r="BI285" s="15"/>
      <c r="BJ285" s="12" t="s">
        <v>1392</v>
      </c>
      <c r="BK285" s="12" t="s">
        <v>1399</v>
      </c>
      <c r="BL285" s="32">
        <v>460000.0</v>
      </c>
    </row>
    <row r="286">
      <c r="A286" s="21">
        <f t="shared" si="1"/>
        <v>284</v>
      </c>
      <c r="B286" s="22" t="s">
        <v>1488</v>
      </c>
      <c r="C286" s="23">
        <v>2.025070433E9</v>
      </c>
      <c r="D286" s="24" t="s">
        <v>1489</v>
      </c>
      <c r="E286" s="24" t="s">
        <v>1490</v>
      </c>
      <c r="F286" s="24" t="s">
        <v>1491</v>
      </c>
      <c r="G286" s="25" t="s">
        <v>615</v>
      </c>
      <c r="H286" s="23" t="s">
        <v>1392</v>
      </c>
      <c r="I286" s="23" t="s">
        <v>1405</v>
      </c>
      <c r="J286" s="25">
        <v>2.0</v>
      </c>
      <c r="K286" s="25" t="s">
        <v>1017</v>
      </c>
      <c r="L286" s="26" t="s">
        <v>1492</v>
      </c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>
        <v>450000.0</v>
      </c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>
        <f t="shared" si="2"/>
        <v>450000</v>
      </c>
      <c r="BD286" s="27">
        <f t="shared" si="3"/>
        <v>0</v>
      </c>
      <c r="BE286" s="27">
        <f t="shared" si="4"/>
        <v>0</v>
      </c>
      <c r="BF286" s="27">
        <f t="shared" si="5"/>
        <v>450000</v>
      </c>
      <c r="BG286" s="24"/>
      <c r="BH286" s="24"/>
      <c r="BI286" s="24"/>
      <c r="BJ286" s="21" t="s">
        <v>1392</v>
      </c>
      <c r="BK286" s="21" t="s">
        <v>1405</v>
      </c>
      <c r="BL286" s="33">
        <v>460000.0</v>
      </c>
    </row>
    <row r="287">
      <c r="A287" s="12">
        <f t="shared" si="1"/>
        <v>285</v>
      </c>
      <c r="B287" s="13" t="s">
        <v>1493</v>
      </c>
      <c r="C287" s="14">
        <v>2.025070589E9</v>
      </c>
      <c r="D287" s="15" t="s">
        <v>1494</v>
      </c>
      <c r="E287" s="15" t="s">
        <v>1495</v>
      </c>
      <c r="F287" s="15" t="s">
        <v>1496</v>
      </c>
      <c r="G287" s="16" t="s">
        <v>42</v>
      </c>
      <c r="H287" s="14" t="s">
        <v>1392</v>
      </c>
      <c r="I287" s="14" t="s">
        <v>1399</v>
      </c>
      <c r="J287" s="16">
        <v>2.0</v>
      </c>
      <c r="K287" s="16" t="s">
        <v>609</v>
      </c>
      <c r="L287" s="17" t="s">
        <v>1497</v>
      </c>
      <c r="M287" s="18">
        <v>600000.0</v>
      </c>
      <c r="N287" s="18"/>
      <c r="O287" s="18"/>
      <c r="P287" s="18"/>
      <c r="Q287" s="18"/>
      <c r="R287" s="18"/>
      <c r="S287" s="18"/>
      <c r="T287" s="18">
        <v>450000.0</v>
      </c>
      <c r="U287" s="18">
        <v>450000.0</v>
      </c>
      <c r="V287" s="18">
        <v>450000.0</v>
      </c>
      <c r="W287" s="18">
        <v>450000.0</v>
      </c>
      <c r="X287" s="18">
        <v>450000.0</v>
      </c>
      <c r="Y287" s="18">
        <v>450000.0</v>
      </c>
      <c r="Z287" s="18">
        <v>450000.0</v>
      </c>
      <c r="AA287" s="18"/>
      <c r="AB287" s="18">
        <v>500000.0</v>
      </c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>
        <v>500000.0</v>
      </c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>
        <f t="shared" si="2"/>
        <v>3150000</v>
      </c>
      <c r="BD287" s="18">
        <f t="shared" si="3"/>
        <v>1600000</v>
      </c>
      <c r="BE287" s="18">
        <f t="shared" si="4"/>
        <v>0</v>
      </c>
      <c r="BF287" s="18">
        <f t="shared" si="5"/>
        <v>4750000</v>
      </c>
      <c r="BG287" s="15"/>
      <c r="BH287" s="15"/>
      <c r="BI287" s="15"/>
      <c r="BJ287" s="12" t="s">
        <v>1392</v>
      </c>
      <c r="BK287" s="12" t="s">
        <v>1399</v>
      </c>
      <c r="BL287" s="32">
        <v>460000.0</v>
      </c>
    </row>
    <row r="288">
      <c r="A288" s="21">
        <f t="shared" si="1"/>
        <v>286</v>
      </c>
      <c r="B288" s="22" t="s">
        <v>1498</v>
      </c>
      <c r="C288" s="23">
        <v>2.025070405E9</v>
      </c>
      <c r="D288" s="24" t="s">
        <v>1499</v>
      </c>
      <c r="E288" s="24" t="s">
        <v>1500</v>
      </c>
      <c r="F288" s="24" t="s">
        <v>1501</v>
      </c>
      <c r="G288" s="25" t="s">
        <v>776</v>
      </c>
      <c r="H288" s="23" t="s">
        <v>1392</v>
      </c>
      <c r="I288" s="23" t="s">
        <v>1393</v>
      </c>
      <c r="J288" s="25">
        <v>2.0</v>
      </c>
      <c r="K288" s="23" t="s">
        <v>777</v>
      </c>
      <c r="L288" s="26" t="s">
        <v>1502</v>
      </c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>
        <f t="shared" si="2"/>
        <v>0</v>
      </c>
      <c r="BD288" s="27">
        <f t="shared" si="3"/>
        <v>0</v>
      </c>
      <c r="BE288" s="27">
        <f t="shared" si="4"/>
        <v>0</v>
      </c>
      <c r="BF288" s="27">
        <f t="shared" si="5"/>
        <v>0</v>
      </c>
      <c r="BG288" s="24"/>
      <c r="BH288" s="24"/>
      <c r="BI288" s="24"/>
      <c r="BJ288" s="21" t="s">
        <v>1392</v>
      </c>
      <c r="BK288" s="21" t="s">
        <v>1393</v>
      </c>
      <c r="BL288" s="33">
        <v>460000.0</v>
      </c>
    </row>
    <row r="289">
      <c r="A289" s="12">
        <f t="shared" si="1"/>
        <v>287</v>
      </c>
      <c r="B289" s="13" t="s">
        <v>1503</v>
      </c>
      <c r="C289" s="14">
        <v>2.025070361E9</v>
      </c>
      <c r="D289" s="15" t="s">
        <v>1504</v>
      </c>
      <c r="E289" s="15" t="s">
        <v>1505</v>
      </c>
      <c r="F289" s="15" t="s">
        <v>1506</v>
      </c>
      <c r="G289" s="16" t="s">
        <v>243</v>
      </c>
      <c r="H289" s="14" t="s">
        <v>1392</v>
      </c>
      <c r="I289" s="14" t="s">
        <v>1405</v>
      </c>
      <c r="J289" s="16">
        <v>2.0</v>
      </c>
      <c r="K289" s="16" t="s">
        <v>1017</v>
      </c>
      <c r="L289" s="17" t="s">
        <v>1507</v>
      </c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>
        <v>450000.0</v>
      </c>
      <c r="Z289" s="18">
        <v>450000.0</v>
      </c>
      <c r="AA289" s="18"/>
      <c r="AB289" s="18">
        <v>500000.0</v>
      </c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>
        <v>500000.0</v>
      </c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>
        <f t="shared" si="2"/>
        <v>900000</v>
      </c>
      <c r="BD289" s="18">
        <f t="shared" si="3"/>
        <v>1000000</v>
      </c>
      <c r="BE289" s="18">
        <f t="shared" si="4"/>
        <v>0</v>
      </c>
      <c r="BF289" s="18">
        <f t="shared" si="5"/>
        <v>1900000</v>
      </c>
      <c r="BG289" s="15"/>
      <c r="BH289" s="15"/>
      <c r="BI289" s="15"/>
      <c r="BJ289" s="12" t="s">
        <v>1392</v>
      </c>
      <c r="BK289" s="12" t="s">
        <v>1405</v>
      </c>
      <c r="BL289" s="32">
        <v>460000.0</v>
      </c>
    </row>
    <row r="290">
      <c r="A290" s="21">
        <f t="shared" si="1"/>
        <v>288</v>
      </c>
      <c r="B290" s="22" t="s">
        <v>1508</v>
      </c>
      <c r="C290" s="23">
        <v>2.02507025E9</v>
      </c>
      <c r="D290" s="24" t="s">
        <v>1509</v>
      </c>
      <c r="E290" s="24" t="s">
        <v>1510</v>
      </c>
      <c r="F290" s="24" t="s">
        <v>1511</v>
      </c>
      <c r="G290" s="25" t="s">
        <v>591</v>
      </c>
      <c r="H290" s="23" t="s">
        <v>1392</v>
      </c>
      <c r="I290" s="23" t="s">
        <v>1405</v>
      </c>
      <c r="J290" s="25">
        <v>2.0</v>
      </c>
      <c r="K290" s="25" t="s">
        <v>1017</v>
      </c>
      <c r="L290" s="26" t="s">
        <v>1512</v>
      </c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>
        <f t="shared" si="2"/>
        <v>0</v>
      </c>
      <c r="BD290" s="27">
        <f t="shared" si="3"/>
        <v>0</v>
      </c>
      <c r="BE290" s="27">
        <f t="shared" si="4"/>
        <v>0</v>
      </c>
      <c r="BF290" s="27">
        <f t="shared" si="5"/>
        <v>0</v>
      </c>
      <c r="BG290" s="24"/>
      <c r="BH290" s="24"/>
      <c r="BI290" s="24"/>
      <c r="BJ290" s="21" t="s">
        <v>1392</v>
      </c>
      <c r="BK290" s="21" t="s">
        <v>1405</v>
      </c>
      <c r="BL290" s="33">
        <v>460000.0</v>
      </c>
    </row>
    <row r="291">
      <c r="A291" s="12">
        <f t="shared" si="1"/>
        <v>289</v>
      </c>
      <c r="B291" s="13" t="s">
        <v>1513</v>
      </c>
      <c r="C291" s="14">
        <v>2.025070171E9</v>
      </c>
      <c r="D291" s="15" t="s">
        <v>1514</v>
      </c>
      <c r="E291" s="15" t="s">
        <v>1515</v>
      </c>
      <c r="F291" s="15" t="s">
        <v>1516</v>
      </c>
      <c r="G291" s="16" t="s">
        <v>33</v>
      </c>
      <c r="H291" s="14" t="s">
        <v>1392</v>
      </c>
      <c r="I291" s="14" t="s">
        <v>1393</v>
      </c>
      <c r="J291" s="16">
        <v>2.0</v>
      </c>
      <c r="K291" s="16" t="s">
        <v>706</v>
      </c>
      <c r="L291" s="17" t="s">
        <v>1517</v>
      </c>
      <c r="M291" s="18"/>
      <c r="N291" s="18"/>
      <c r="O291" s="18"/>
      <c r="P291" s="18"/>
      <c r="Q291" s="18"/>
      <c r="R291" s="18"/>
      <c r="S291" s="18"/>
      <c r="T291" s="18">
        <v>450000.0</v>
      </c>
      <c r="U291" s="18">
        <v>450000.0</v>
      </c>
      <c r="V291" s="18">
        <v>450000.0</v>
      </c>
      <c r="W291" s="18">
        <v>450000.0</v>
      </c>
      <c r="X291" s="18">
        <v>450000.0</v>
      </c>
      <c r="Y291" s="18">
        <v>450000.0</v>
      </c>
      <c r="Z291" s="18">
        <v>450000.0</v>
      </c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>
        <f t="shared" si="2"/>
        <v>3150000</v>
      </c>
      <c r="BD291" s="18">
        <f t="shared" si="3"/>
        <v>0</v>
      </c>
      <c r="BE291" s="18">
        <f t="shared" si="4"/>
        <v>0</v>
      </c>
      <c r="BF291" s="18">
        <f t="shared" si="5"/>
        <v>3150000</v>
      </c>
      <c r="BG291" s="15"/>
      <c r="BH291" s="15"/>
      <c r="BI291" s="15"/>
      <c r="BJ291" s="12" t="s">
        <v>1392</v>
      </c>
      <c r="BK291" s="12" t="s">
        <v>1393</v>
      </c>
      <c r="BL291" s="32">
        <v>460000.0</v>
      </c>
    </row>
    <row r="292">
      <c r="A292" s="21">
        <f t="shared" si="1"/>
        <v>290</v>
      </c>
      <c r="B292" s="22" t="s">
        <v>1518</v>
      </c>
      <c r="C292" s="23">
        <v>2.025070383E9</v>
      </c>
      <c r="D292" s="24" t="s">
        <v>1519</v>
      </c>
      <c r="E292" s="24" t="s">
        <v>1520</v>
      </c>
      <c r="F292" s="24" t="s">
        <v>1521</v>
      </c>
      <c r="G292" s="25" t="s">
        <v>658</v>
      </c>
      <c r="H292" s="23" t="s">
        <v>1392</v>
      </c>
      <c r="I292" s="23" t="s">
        <v>1405</v>
      </c>
      <c r="J292" s="25">
        <v>2.0</v>
      </c>
      <c r="K292" s="25" t="s">
        <v>1017</v>
      </c>
      <c r="L292" s="26" t="s">
        <v>1522</v>
      </c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>
        <v>500000.0</v>
      </c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>
        <v>500000.0</v>
      </c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>
        <f t="shared" si="2"/>
        <v>0</v>
      </c>
      <c r="BD292" s="27">
        <f t="shared" si="3"/>
        <v>1000000</v>
      </c>
      <c r="BE292" s="27">
        <f t="shared" si="4"/>
        <v>0</v>
      </c>
      <c r="BF292" s="27">
        <f t="shared" si="5"/>
        <v>1000000</v>
      </c>
      <c r="BG292" s="24"/>
      <c r="BH292" s="24"/>
      <c r="BI292" s="24"/>
      <c r="BJ292" s="21" t="s">
        <v>1392</v>
      </c>
      <c r="BK292" s="21" t="s">
        <v>1405</v>
      </c>
      <c r="BL292" s="33">
        <v>460000.0</v>
      </c>
    </row>
    <row r="293">
      <c r="A293" s="12">
        <f t="shared" si="1"/>
        <v>291</v>
      </c>
      <c r="B293" s="13" t="s">
        <v>1523</v>
      </c>
      <c r="C293" s="14">
        <v>2.025070164E9</v>
      </c>
      <c r="D293" s="15" t="s">
        <v>1524</v>
      </c>
      <c r="E293" s="15" t="s">
        <v>1525</v>
      </c>
      <c r="F293" s="15" t="s">
        <v>1526</v>
      </c>
      <c r="G293" s="16" t="s">
        <v>1049</v>
      </c>
      <c r="H293" s="14" t="s">
        <v>1527</v>
      </c>
      <c r="I293" s="14" t="s">
        <v>1528</v>
      </c>
      <c r="J293" s="16">
        <v>2.0</v>
      </c>
      <c r="K293" s="16" t="s">
        <v>617</v>
      </c>
      <c r="L293" s="17" t="s">
        <v>1529</v>
      </c>
      <c r="M293" s="18"/>
      <c r="N293" s="18">
        <v>200000.0</v>
      </c>
      <c r="O293" s="18">
        <v>450000.0</v>
      </c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>
        <v>500000.0</v>
      </c>
      <c r="AA293" s="18"/>
      <c r="AB293" s="18">
        <v>300000.0</v>
      </c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>
        <v>500000.0</v>
      </c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>
        <f t="shared" si="2"/>
        <v>950000</v>
      </c>
      <c r="BD293" s="18">
        <f t="shared" si="3"/>
        <v>800000</v>
      </c>
      <c r="BE293" s="18">
        <f t="shared" si="4"/>
        <v>0</v>
      </c>
      <c r="BF293" s="18">
        <f t="shared" si="5"/>
        <v>1750000</v>
      </c>
      <c r="BG293" s="15"/>
      <c r="BH293" s="15"/>
      <c r="BI293" s="15"/>
      <c r="BJ293" s="12" t="s">
        <v>1527</v>
      </c>
      <c r="BK293" s="12" t="s">
        <v>1528</v>
      </c>
      <c r="BL293" s="32">
        <v>510000.0</v>
      </c>
    </row>
    <row r="294">
      <c r="A294" s="21">
        <f t="shared" si="1"/>
        <v>292</v>
      </c>
      <c r="B294" s="22" t="s">
        <v>1530</v>
      </c>
      <c r="C294" s="23">
        <v>2.025070071E9</v>
      </c>
      <c r="D294" s="24" t="s">
        <v>1531</v>
      </c>
      <c r="E294" s="24" t="s">
        <v>1532</v>
      </c>
      <c r="F294" s="24" t="s">
        <v>1533</v>
      </c>
      <c r="G294" s="25" t="s">
        <v>437</v>
      </c>
      <c r="H294" s="23" t="s">
        <v>1527</v>
      </c>
      <c r="I294" s="23" t="s">
        <v>1528</v>
      </c>
      <c r="J294" s="25">
        <v>2.0</v>
      </c>
      <c r="K294" s="25" t="s">
        <v>617</v>
      </c>
      <c r="L294" s="26" t="s">
        <v>1534</v>
      </c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>
        <f t="shared" si="2"/>
        <v>0</v>
      </c>
      <c r="BD294" s="27">
        <f t="shared" si="3"/>
        <v>0</v>
      </c>
      <c r="BE294" s="27">
        <f t="shared" si="4"/>
        <v>0</v>
      </c>
      <c r="BF294" s="27">
        <f t="shared" si="5"/>
        <v>0</v>
      </c>
      <c r="BG294" s="24"/>
      <c r="BH294" s="24"/>
      <c r="BI294" s="24"/>
      <c r="BJ294" s="21" t="s">
        <v>1527</v>
      </c>
      <c r="BK294" s="21" t="s">
        <v>1528</v>
      </c>
      <c r="BL294" s="33">
        <v>510000.0</v>
      </c>
    </row>
    <row r="295">
      <c r="A295" s="12">
        <f t="shared" si="1"/>
        <v>293</v>
      </c>
      <c r="B295" s="13" t="s">
        <v>1535</v>
      </c>
      <c r="C295" s="14">
        <v>2.025070316E9</v>
      </c>
      <c r="D295" s="15" t="s">
        <v>1536</v>
      </c>
      <c r="E295" s="15" t="s">
        <v>1537</v>
      </c>
      <c r="F295" s="15" t="s">
        <v>1538</v>
      </c>
      <c r="G295" s="16" t="s">
        <v>776</v>
      </c>
      <c r="H295" s="14" t="s">
        <v>1527</v>
      </c>
      <c r="I295" s="14" t="s">
        <v>1528</v>
      </c>
      <c r="J295" s="16">
        <v>2.0</v>
      </c>
      <c r="K295" s="14" t="s">
        <v>777</v>
      </c>
      <c r="L295" s="17" t="s">
        <v>1539</v>
      </c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>
        <v>500000.0</v>
      </c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>
        <v>500000.0</v>
      </c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>
        <f t="shared" si="2"/>
        <v>0</v>
      </c>
      <c r="BD295" s="18">
        <f t="shared" si="3"/>
        <v>1000000</v>
      </c>
      <c r="BE295" s="18">
        <f t="shared" si="4"/>
        <v>0</v>
      </c>
      <c r="BF295" s="18">
        <f t="shared" si="5"/>
        <v>1000000</v>
      </c>
      <c r="BG295" s="15"/>
      <c r="BH295" s="15"/>
      <c r="BI295" s="15"/>
      <c r="BJ295" s="12" t="s">
        <v>1527</v>
      </c>
      <c r="BK295" s="12" t="s">
        <v>1528</v>
      </c>
      <c r="BL295" s="32">
        <v>510000.0</v>
      </c>
    </row>
    <row r="296">
      <c r="A296" s="21">
        <f t="shared" si="1"/>
        <v>294</v>
      </c>
      <c r="B296" s="22" t="s">
        <v>1540</v>
      </c>
      <c r="C296" s="23">
        <v>2.025070598E9</v>
      </c>
      <c r="D296" s="24" t="s">
        <v>1541</v>
      </c>
      <c r="E296" s="24" t="s">
        <v>1542</v>
      </c>
      <c r="F296" s="24" t="s">
        <v>1543</v>
      </c>
      <c r="G296" s="25" t="s">
        <v>151</v>
      </c>
      <c r="H296" s="23" t="s">
        <v>1527</v>
      </c>
      <c r="I296" s="23" t="s">
        <v>1544</v>
      </c>
      <c r="J296" s="25">
        <v>2.0</v>
      </c>
      <c r="K296" s="25" t="s">
        <v>609</v>
      </c>
      <c r="L296" s="26" t="s">
        <v>1545</v>
      </c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>
        <v>100000.0</v>
      </c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>
        <v>100000.0</v>
      </c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>
        <f t="shared" si="2"/>
        <v>0</v>
      </c>
      <c r="BD296" s="27">
        <f t="shared" si="3"/>
        <v>200000</v>
      </c>
      <c r="BE296" s="27">
        <f t="shared" si="4"/>
        <v>0</v>
      </c>
      <c r="BF296" s="27">
        <f t="shared" si="5"/>
        <v>200000</v>
      </c>
      <c r="BG296" s="24"/>
      <c r="BH296" s="24"/>
      <c r="BI296" s="24"/>
      <c r="BJ296" s="21" t="s">
        <v>1527</v>
      </c>
      <c r="BK296" s="21" t="s">
        <v>1544</v>
      </c>
      <c r="BL296" s="33">
        <v>510000.0</v>
      </c>
    </row>
    <row r="297">
      <c r="A297" s="12">
        <f t="shared" si="1"/>
        <v>295</v>
      </c>
      <c r="B297" s="13" t="s">
        <v>1546</v>
      </c>
      <c r="C297" s="14">
        <v>2.025070599E9</v>
      </c>
      <c r="D297" s="15" t="s">
        <v>1541</v>
      </c>
      <c r="E297" s="15" t="s">
        <v>1542</v>
      </c>
      <c r="F297" s="15" t="s">
        <v>1543</v>
      </c>
      <c r="G297" s="16" t="s">
        <v>151</v>
      </c>
      <c r="H297" s="14" t="s">
        <v>1527</v>
      </c>
      <c r="I297" s="14" t="s">
        <v>1544</v>
      </c>
      <c r="J297" s="16">
        <v>2.0</v>
      </c>
      <c r="K297" s="16" t="s">
        <v>627</v>
      </c>
      <c r="L297" s="17" t="s">
        <v>1545</v>
      </c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>
        <v>100000.0</v>
      </c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>
        <v>100000.0</v>
      </c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>
        <f t="shared" si="2"/>
        <v>0</v>
      </c>
      <c r="BD297" s="18">
        <f t="shared" si="3"/>
        <v>200000</v>
      </c>
      <c r="BE297" s="18">
        <f t="shared" si="4"/>
        <v>0</v>
      </c>
      <c r="BF297" s="18">
        <f t="shared" si="5"/>
        <v>200000</v>
      </c>
      <c r="BG297" s="15"/>
      <c r="BH297" s="15"/>
      <c r="BI297" s="15"/>
      <c r="BJ297" s="12" t="s">
        <v>1527</v>
      </c>
      <c r="BK297" s="12" t="s">
        <v>1544</v>
      </c>
      <c r="BL297" s="32">
        <v>510000.0</v>
      </c>
    </row>
    <row r="298">
      <c r="A298" s="21">
        <f t="shared" si="1"/>
        <v>296</v>
      </c>
      <c r="B298" s="22" t="s">
        <v>1547</v>
      </c>
      <c r="C298" s="23">
        <v>2.025070664E9</v>
      </c>
      <c r="D298" s="24" t="s">
        <v>1548</v>
      </c>
      <c r="E298" s="24" t="s">
        <v>1549</v>
      </c>
      <c r="F298" s="24" t="s">
        <v>1550</v>
      </c>
      <c r="G298" s="21" t="e">
        <v>#N/A</v>
      </c>
      <c r="H298" s="23" t="s">
        <v>1527</v>
      </c>
      <c r="I298" s="23" t="s">
        <v>1544</v>
      </c>
      <c r="J298" s="25">
        <v>2.0</v>
      </c>
      <c r="K298" s="25" t="s">
        <v>627</v>
      </c>
      <c r="L298" s="26" t="s">
        <v>1551</v>
      </c>
      <c r="M298" s="27"/>
      <c r="N298" s="27"/>
      <c r="O298" s="27"/>
      <c r="P298" s="27"/>
      <c r="Q298" s="27"/>
      <c r="R298" s="27"/>
      <c r="S298" s="27"/>
      <c r="T298" s="27"/>
      <c r="U298" s="27">
        <v>500000.0</v>
      </c>
      <c r="V298" s="27">
        <v>500000.0</v>
      </c>
      <c r="W298" s="27">
        <v>500000.0</v>
      </c>
      <c r="X298" s="27">
        <v>500000.0</v>
      </c>
      <c r="Y298" s="27">
        <v>500000.0</v>
      </c>
      <c r="Z298" s="27">
        <v>500000.0</v>
      </c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>
        <f t="shared" si="2"/>
        <v>3000000</v>
      </c>
      <c r="BD298" s="27">
        <f t="shared" si="3"/>
        <v>0</v>
      </c>
      <c r="BE298" s="27">
        <f t="shared" si="4"/>
        <v>0</v>
      </c>
      <c r="BF298" s="27">
        <f t="shared" si="5"/>
        <v>3000000</v>
      </c>
      <c r="BG298" s="24"/>
      <c r="BH298" s="24"/>
      <c r="BI298" s="24"/>
      <c r="BJ298" s="21" t="s">
        <v>1527</v>
      </c>
      <c r="BK298" s="21" t="s">
        <v>1544</v>
      </c>
      <c r="BL298" s="33">
        <v>510000.0</v>
      </c>
    </row>
    <row r="299">
      <c r="A299" s="12">
        <f t="shared" si="1"/>
        <v>297</v>
      </c>
      <c r="B299" s="13" t="s">
        <v>1552</v>
      </c>
      <c r="C299" s="14">
        <v>2.025070536E9</v>
      </c>
      <c r="D299" s="15" t="s">
        <v>1553</v>
      </c>
      <c r="E299" s="15" t="s">
        <v>1554</v>
      </c>
      <c r="F299" s="15" t="s">
        <v>1201</v>
      </c>
      <c r="G299" s="16" t="s">
        <v>125</v>
      </c>
      <c r="H299" s="14" t="s">
        <v>1527</v>
      </c>
      <c r="I299" s="14" t="s">
        <v>1555</v>
      </c>
      <c r="J299" s="16">
        <v>2.0</v>
      </c>
      <c r="K299" s="16" t="s">
        <v>602</v>
      </c>
      <c r="L299" s="17" t="s">
        <v>1556</v>
      </c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>
        <v>500000.0</v>
      </c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>
        <v>500000.0</v>
      </c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>
        <f t="shared" si="2"/>
        <v>0</v>
      </c>
      <c r="BD299" s="18">
        <f t="shared" si="3"/>
        <v>1000000</v>
      </c>
      <c r="BE299" s="18">
        <f t="shared" si="4"/>
        <v>0</v>
      </c>
      <c r="BF299" s="18">
        <f t="shared" si="5"/>
        <v>1000000</v>
      </c>
      <c r="BG299" s="15"/>
      <c r="BH299" s="15"/>
      <c r="BI299" s="15"/>
      <c r="BJ299" s="12" t="s">
        <v>1527</v>
      </c>
      <c r="BK299" s="12" t="s">
        <v>1555</v>
      </c>
      <c r="BL299" s="32">
        <v>510000.0</v>
      </c>
    </row>
    <row r="300">
      <c r="A300" s="21">
        <f t="shared" si="1"/>
        <v>298</v>
      </c>
      <c r="B300" s="22" t="s">
        <v>1557</v>
      </c>
      <c r="C300" s="23">
        <v>2.025070549E9</v>
      </c>
      <c r="D300" s="24" t="s">
        <v>1558</v>
      </c>
      <c r="E300" s="24" t="s">
        <v>1559</v>
      </c>
      <c r="F300" s="24" t="s">
        <v>1560</v>
      </c>
      <c r="G300" s="25" t="s">
        <v>151</v>
      </c>
      <c r="H300" s="23" t="s">
        <v>1527</v>
      </c>
      <c r="I300" s="23" t="s">
        <v>1544</v>
      </c>
      <c r="J300" s="25">
        <v>2.0</v>
      </c>
      <c r="K300" s="25" t="s">
        <v>627</v>
      </c>
      <c r="L300" s="26" t="s">
        <v>1561</v>
      </c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>
        <f t="shared" si="2"/>
        <v>0</v>
      </c>
      <c r="BD300" s="27">
        <f t="shared" si="3"/>
        <v>0</v>
      </c>
      <c r="BE300" s="27">
        <f t="shared" si="4"/>
        <v>0</v>
      </c>
      <c r="BF300" s="27">
        <f t="shared" si="5"/>
        <v>0</v>
      </c>
      <c r="BG300" s="24"/>
      <c r="BH300" s="24"/>
      <c r="BI300" s="24"/>
      <c r="BJ300" s="21" t="s">
        <v>1527</v>
      </c>
      <c r="BK300" s="21" t="s">
        <v>1544</v>
      </c>
      <c r="BL300" s="33">
        <v>510000.0</v>
      </c>
    </row>
    <row r="301">
      <c r="A301" s="12">
        <f t="shared" si="1"/>
        <v>299</v>
      </c>
      <c r="B301" s="13" t="s">
        <v>1562</v>
      </c>
      <c r="C301" s="14">
        <v>2.025070496E9</v>
      </c>
      <c r="D301" s="15" t="s">
        <v>1563</v>
      </c>
      <c r="E301" s="15" t="s">
        <v>1564</v>
      </c>
      <c r="F301" s="15" t="s">
        <v>1565</v>
      </c>
      <c r="G301" s="16" t="s">
        <v>95</v>
      </c>
      <c r="H301" s="14" t="s">
        <v>1527</v>
      </c>
      <c r="I301" s="14" t="s">
        <v>1555</v>
      </c>
      <c r="J301" s="16">
        <v>2.0</v>
      </c>
      <c r="K301" s="16" t="s">
        <v>602</v>
      </c>
      <c r="L301" s="17" t="s">
        <v>1566</v>
      </c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>
        <f t="shared" si="2"/>
        <v>0</v>
      </c>
      <c r="BD301" s="18">
        <f t="shared" si="3"/>
        <v>0</v>
      </c>
      <c r="BE301" s="18">
        <f t="shared" si="4"/>
        <v>0</v>
      </c>
      <c r="BF301" s="18">
        <f t="shared" si="5"/>
        <v>0</v>
      </c>
      <c r="BG301" s="15"/>
      <c r="BH301" s="15"/>
      <c r="BI301" s="15"/>
      <c r="BJ301" s="12" t="s">
        <v>1527</v>
      </c>
      <c r="BK301" s="12" t="s">
        <v>1555</v>
      </c>
      <c r="BL301" s="32">
        <v>510000.0</v>
      </c>
    </row>
    <row r="302">
      <c r="A302" s="21">
        <f t="shared" si="1"/>
        <v>300</v>
      </c>
      <c r="B302" s="22" t="s">
        <v>1567</v>
      </c>
      <c r="C302" s="23">
        <v>2.025070597E9</v>
      </c>
      <c r="D302" s="24" t="s">
        <v>1568</v>
      </c>
      <c r="E302" s="24" t="s">
        <v>1569</v>
      </c>
      <c r="F302" s="24" t="s">
        <v>1570</v>
      </c>
      <c r="G302" s="25" t="s">
        <v>215</v>
      </c>
      <c r="H302" s="23" t="s">
        <v>1527</v>
      </c>
      <c r="I302" s="23" t="s">
        <v>1555</v>
      </c>
      <c r="J302" s="25">
        <v>2.0</v>
      </c>
      <c r="K302" s="25" t="s">
        <v>627</v>
      </c>
      <c r="L302" s="26" t="s">
        <v>1571</v>
      </c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>
        <v>500000.0</v>
      </c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>
        <v>500000.0</v>
      </c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>
        <f t="shared" si="2"/>
        <v>0</v>
      </c>
      <c r="BD302" s="27">
        <f t="shared" si="3"/>
        <v>1000000</v>
      </c>
      <c r="BE302" s="27">
        <f t="shared" si="4"/>
        <v>0</v>
      </c>
      <c r="BF302" s="27">
        <f t="shared" si="5"/>
        <v>1000000</v>
      </c>
      <c r="BG302" s="24"/>
      <c r="BH302" s="24"/>
      <c r="BI302" s="24"/>
      <c r="BJ302" s="21" t="s">
        <v>1527</v>
      </c>
      <c r="BK302" s="21" t="s">
        <v>1555</v>
      </c>
      <c r="BL302" s="33">
        <v>510000.0</v>
      </c>
    </row>
    <row r="303">
      <c r="A303" s="12">
        <f t="shared" si="1"/>
        <v>301</v>
      </c>
      <c r="B303" s="13" t="s">
        <v>1572</v>
      </c>
      <c r="C303" s="14">
        <v>2.02507057E9</v>
      </c>
      <c r="D303" s="15" t="s">
        <v>1573</v>
      </c>
      <c r="E303" s="15" t="s">
        <v>1574</v>
      </c>
      <c r="F303" s="15" t="s">
        <v>1575</v>
      </c>
      <c r="G303" s="16" t="s">
        <v>151</v>
      </c>
      <c r="H303" s="14" t="s">
        <v>1527</v>
      </c>
      <c r="I303" s="14" t="s">
        <v>1544</v>
      </c>
      <c r="J303" s="16">
        <v>2.0</v>
      </c>
      <c r="K303" s="16" t="s">
        <v>627</v>
      </c>
      <c r="L303" s="17" t="s">
        <v>1576</v>
      </c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>
        <v>500000.0</v>
      </c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>
        <v>500000.0</v>
      </c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>
        <f t="shared" si="2"/>
        <v>0</v>
      </c>
      <c r="BD303" s="18">
        <f t="shared" si="3"/>
        <v>1000000</v>
      </c>
      <c r="BE303" s="18">
        <f t="shared" si="4"/>
        <v>0</v>
      </c>
      <c r="BF303" s="18">
        <f t="shared" si="5"/>
        <v>1000000</v>
      </c>
      <c r="BG303" s="15"/>
      <c r="BH303" s="15"/>
      <c r="BI303" s="15"/>
      <c r="BJ303" s="12" t="s">
        <v>1527</v>
      </c>
      <c r="BK303" s="12" t="s">
        <v>1544</v>
      </c>
      <c r="BL303" s="32">
        <v>510000.0</v>
      </c>
    </row>
    <row r="304">
      <c r="A304" s="21">
        <f t="shared" si="1"/>
        <v>302</v>
      </c>
      <c r="B304" s="22" t="s">
        <v>1577</v>
      </c>
      <c r="C304" s="23">
        <v>2.025070498E9</v>
      </c>
      <c r="D304" s="24" t="s">
        <v>1578</v>
      </c>
      <c r="E304" s="24" t="s">
        <v>1579</v>
      </c>
      <c r="F304" s="24" t="s">
        <v>1580</v>
      </c>
      <c r="G304" s="25" t="s">
        <v>125</v>
      </c>
      <c r="H304" s="23" t="s">
        <v>1527</v>
      </c>
      <c r="I304" s="23" t="s">
        <v>1555</v>
      </c>
      <c r="J304" s="25">
        <v>2.0</v>
      </c>
      <c r="K304" s="25" t="s">
        <v>627</v>
      </c>
      <c r="L304" s="26" t="s">
        <v>1581</v>
      </c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>
        <f t="shared" si="2"/>
        <v>0</v>
      </c>
      <c r="BD304" s="27">
        <f t="shared" si="3"/>
        <v>0</v>
      </c>
      <c r="BE304" s="27">
        <f t="shared" si="4"/>
        <v>0</v>
      </c>
      <c r="BF304" s="27">
        <f t="shared" si="5"/>
        <v>0</v>
      </c>
      <c r="BG304" s="24"/>
      <c r="BH304" s="24"/>
      <c r="BI304" s="24"/>
      <c r="BJ304" s="21" t="s">
        <v>1527</v>
      </c>
      <c r="BK304" s="21" t="s">
        <v>1555</v>
      </c>
      <c r="BL304" s="33">
        <v>510000.0</v>
      </c>
    </row>
    <row r="305">
      <c r="A305" s="12">
        <f t="shared" si="1"/>
        <v>303</v>
      </c>
      <c r="B305" s="13" t="s">
        <v>1582</v>
      </c>
      <c r="C305" s="14">
        <v>2.025070149E9</v>
      </c>
      <c r="D305" s="15" t="s">
        <v>1583</v>
      </c>
      <c r="E305" s="15" t="s">
        <v>1584</v>
      </c>
      <c r="F305" s="15" t="s">
        <v>41</v>
      </c>
      <c r="G305" s="16" t="s">
        <v>658</v>
      </c>
      <c r="H305" s="14" t="s">
        <v>1527</v>
      </c>
      <c r="I305" s="14" t="s">
        <v>1528</v>
      </c>
      <c r="J305" s="16">
        <v>2.0</v>
      </c>
      <c r="K305" s="16" t="s">
        <v>617</v>
      </c>
      <c r="L305" s="17" t="s">
        <v>1585</v>
      </c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>
        <f t="shared" si="2"/>
        <v>0</v>
      </c>
      <c r="BD305" s="18">
        <f t="shared" si="3"/>
        <v>0</v>
      </c>
      <c r="BE305" s="18">
        <f t="shared" si="4"/>
        <v>0</v>
      </c>
      <c r="BF305" s="18">
        <f t="shared" si="5"/>
        <v>0</v>
      </c>
      <c r="BG305" s="15"/>
      <c r="BH305" s="15"/>
      <c r="BI305" s="15"/>
      <c r="BJ305" s="12" t="s">
        <v>1527</v>
      </c>
      <c r="BK305" s="12" t="s">
        <v>1528</v>
      </c>
      <c r="BL305" s="32">
        <v>510000.0</v>
      </c>
    </row>
    <row r="306">
      <c r="A306" s="21">
        <f t="shared" si="1"/>
        <v>304</v>
      </c>
      <c r="B306" s="22" t="s">
        <v>1586</v>
      </c>
      <c r="C306" s="23">
        <v>2.025070655E9</v>
      </c>
      <c r="D306" s="24" t="s">
        <v>1587</v>
      </c>
      <c r="E306" s="24" t="s">
        <v>1588</v>
      </c>
      <c r="F306" s="24" t="s">
        <v>1589</v>
      </c>
      <c r="G306" s="25" t="s">
        <v>95</v>
      </c>
      <c r="H306" s="23" t="s">
        <v>1527</v>
      </c>
      <c r="I306" s="23" t="s">
        <v>1528</v>
      </c>
      <c r="J306" s="25">
        <v>2.0</v>
      </c>
      <c r="K306" s="25" t="s">
        <v>602</v>
      </c>
      <c r="L306" s="26" t="s">
        <v>1590</v>
      </c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>
        <v>500000.0</v>
      </c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>
        <v>500000.0</v>
      </c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>
        <f t="shared" si="2"/>
        <v>0</v>
      </c>
      <c r="BD306" s="27">
        <f t="shared" si="3"/>
        <v>1000000</v>
      </c>
      <c r="BE306" s="27">
        <f t="shared" si="4"/>
        <v>0</v>
      </c>
      <c r="BF306" s="27">
        <f t="shared" si="5"/>
        <v>1000000</v>
      </c>
      <c r="BG306" s="24"/>
      <c r="BH306" s="24"/>
      <c r="BI306" s="24"/>
      <c r="BJ306" s="21" t="s">
        <v>1527</v>
      </c>
      <c r="BK306" s="21" t="s">
        <v>1528</v>
      </c>
      <c r="BL306" s="33">
        <v>510000.0</v>
      </c>
    </row>
    <row r="307">
      <c r="A307" s="12">
        <f t="shared" si="1"/>
        <v>305</v>
      </c>
      <c r="B307" s="13" t="s">
        <v>1591</v>
      </c>
      <c r="C307" s="14">
        <v>2.025070355E9</v>
      </c>
      <c r="D307" s="15" t="s">
        <v>1592</v>
      </c>
      <c r="E307" s="15" t="s">
        <v>1593</v>
      </c>
      <c r="F307" s="15" t="s">
        <v>1594</v>
      </c>
      <c r="G307" s="16" t="s">
        <v>591</v>
      </c>
      <c r="H307" s="14" t="s">
        <v>1527</v>
      </c>
      <c r="I307" s="14" t="s">
        <v>1528</v>
      </c>
      <c r="J307" s="16">
        <v>2.0</v>
      </c>
      <c r="K307" s="16" t="s">
        <v>617</v>
      </c>
      <c r="L307" s="17" t="s">
        <v>1595</v>
      </c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>
        <f t="shared" si="2"/>
        <v>0</v>
      </c>
      <c r="BD307" s="18">
        <f t="shared" si="3"/>
        <v>0</v>
      </c>
      <c r="BE307" s="18">
        <f t="shared" si="4"/>
        <v>0</v>
      </c>
      <c r="BF307" s="18">
        <f t="shared" si="5"/>
        <v>0</v>
      </c>
      <c r="BG307" s="15"/>
      <c r="BH307" s="15"/>
      <c r="BI307" s="15"/>
      <c r="BJ307" s="12" t="s">
        <v>1527</v>
      </c>
      <c r="BK307" s="12" t="s">
        <v>1528</v>
      </c>
      <c r="BL307" s="32">
        <v>510000.0</v>
      </c>
    </row>
    <row r="308">
      <c r="A308" s="21">
        <f t="shared" si="1"/>
        <v>306</v>
      </c>
      <c r="B308" s="22" t="s">
        <v>1596</v>
      </c>
      <c r="C308" s="23">
        <v>2.025070167E9</v>
      </c>
      <c r="D308" s="24" t="s">
        <v>1597</v>
      </c>
      <c r="E308" s="24" t="s">
        <v>1598</v>
      </c>
      <c r="F308" s="24" t="s">
        <v>1599</v>
      </c>
      <c r="G308" s="25" t="s">
        <v>184</v>
      </c>
      <c r="H308" s="23" t="s">
        <v>1527</v>
      </c>
      <c r="I308" s="23" t="s">
        <v>1528</v>
      </c>
      <c r="J308" s="25">
        <v>2.0</v>
      </c>
      <c r="K308" s="25" t="s">
        <v>617</v>
      </c>
      <c r="L308" s="26" t="s">
        <v>1600</v>
      </c>
      <c r="M308" s="27"/>
      <c r="N308" s="27">
        <v>200000.0</v>
      </c>
      <c r="O308" s="27"/>
      <c r="P308" s="27"/>
      <c r="Q308" s="27"/>
      <c r="R308" s="27"/>
      <c r="S308" s="27"/>
      <c r="T308" s="27"/>
      <c r="U308" s="27"/>
      <c r="V308" s="27"/>
      <c r="W308" s="27">
        <v>500000.0</v>
      </c>
      <c r="X308" s="27">
        <v>500000.0</v>
      </c>
      <c r="Y308" s="27">
        <v>500000.0</v>
      </c>
      <c r="Z308" s="27">
        <v>500000.0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>
        <f t="shared" si="2"/>
        <v>2000000</v>
      </c>
      <c r="BD308" s="27">
        <f t="shared" si="3"/>
        <v>0</v>
      </c>
      <c r="BE308" s="27">
        <f t="shared" si="4"/>
        <v>0</v>
      </c>
      <c r="BF308" s="27">
        <f t="shared" si="5"/>
        <v>2000000</v>
      </c>
      <c r="BG308" s="24"/>
      <c r="BH308" s="24"/>
      <c r="BI308" s="24"/>
      <c r="BJ308" s="21" t="s">
        <v>1527</v>
      </c>
      <c r="BK308" s="21" t="s">
        <v>1528</v>
      </c>
      <c r="BL308" s="33">
        <v>510000.0</v>
      </c>
    </row>
    <row r="309">
      <c r="A309" s="12">
        <f t="shared" si="1"/>
        <v>307</v>
      </c>
      <c r="B309" s="13" t="s">
        <v>1601</v>
      </c>
      <c r="C309" s="14">
        <v>2.025070643E9</v>
      </c>
      <c r="D309" s="15" t="s">
        <v>1602</v>
      </c>
      <c r="E309" s="15" t="s">
        <v>1603</v>
      </c>
      <c r="F309" s="15" t="s">
        <v>1604</v>
      </c>
      <c r="G309" s="16" t="s">
        <v>42</v>
      </c>
      <c r="H309" s="14" t="s">
        <v>1527</v>
      </c>
      <c r="I309" s="14" t="s">
        <v>1555</v>
      </c>
      <c r="J309" s="16">
        <v>2.0</v>
      </c>
      <c r="K309" s="16" t="s">
        <v>627</v>
      </c>
      <c r="L309" s="17" t="s">
        <v>1605</v>
      </c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>
        <v>500000.0</v>
      </c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>
        <v>500000.0</v>
      </c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>
        <f t="shared" si="2"/>
        <v>0</v>
      </c>
      <c r="BD309" s="18">
        <f t="shared" si="3"/>
        <v>1000000</v>
      </c>
      <c r="BE309" s="18">
        <f t="shared" si="4"/>
        <v>0</v>
      </c>
      <c r="BF309" s="18">
        <f t="shared" si="5"/>
        <v>1000000</v>
      </c>
      <c r="BG309" s="15"/>
      <c r="BH309" s="15"/>
      <c r="BI309" s="15"/>
      <c r="BJ309" s="12" t="s">
        <v>1527</v>
      </c>
      <c r="BK309" s="12" t="s">
        <v>1555</v>
      </c>
      <c r="BL309" s="32">
        <v>510000.0</v>
      </c>
    </row>
    <row r="310">
      <c r="A310" s="21">
        <f t="shared" si="1"/>
        <v>308</v>
      </c>
      <c r="B310" s="22" t="s">
        <v>1606</v>
      </c>
      <c r="C310" s="23">
        <v>2.025070478E9</v>
      </c>
      <c r="D310" s="24" t="s">
        <v>1607</v>
      </c>
      <c r="E310" s="24" t="s">
        <v>1608</v>
      </c>
      <c r="F310" s="24" t="s">
        <v>41</v>
      </c>
      <c r="G310" s="25" t="s">
        <v>275</v>
      </c>
      <c r="H310" s="23" t="s">
        <v>1527</v>
      </c>
      <c r="I310" s="23" t="s">
        <v>1555</v>
      </c>
      <c r="J310" s="25">
        <v>2.0</v>
      </c>
      <c r="K310" s="25" t="s">
        <v>602</v>
      </c>
      <c r="L310" s="26" t="s">
        <v>1609</v>
      </c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>
        <f t="shared" si="2"/>
        <v>0</v>
      </c>
      <c r="BD310" s="27">
        <f t="shared" si="3"/>
        <v>0</v>
      </c>
      <c r="BE310" s="27">
        <f t="shared" si="4"/>
        <v>0</v>
      </c>
      <c r="BF310" s="27">
        <f t="shared" si="5"/>
        <v>0</v>
      </c>
      <c r="BG310" s="24"/>
      <c r="BH310" s="24"/>
      <c r="BI310" s="24"/>
      <c r="BJ310" s="21" t="s">
        <v>1527</v>
      </c>
      <c r="BK310" s="21" t="s">
        <v>1555</v>
      </c>
      <c r="BL310" s="33">
        <v>510000.0</v>
      </c>
    </row>
    <row r="311">
      <c r="A311" s="12">
        <f t="shared" si="1"/>
        <v>309</v>
      </c>
      <c r="B311" s="13" t="s">
        <v>1610</v>
      </c>
      <c r="C311" s="14">
        <v>2.025070141E9</v>
      </c>
      <c r="D311" s="15" t="s">
        <v>1611</v>
      </c>
      <c r="E311" s="15" t="s">
        <v>1612</v>
      </c>
      <c r="F311" s="15" t="s">
        <v>1613</v>
      </c>
      <c r="G311" s="16" t="s">
        <v>33</v>
      </c>
      <c r="H311" s="14" t="s">
        <v>1527</v>
      </c>
      <c r="I311" s="14" t="s">
        <v>1528</v>
      </c>
      <c r="J311" s="16">
        <v>2.0</v>
      </c>
      <c r="K311" s="16" t="s">
        <v>706</v>
      </c>
      <c r="L311" s="17" t="s">
        <v>1614</v>
      </c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>
        <v>500000.0</v>
      </c>
      <c r="Z311" s="18">
        <v>500000.0</v>
      </c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>
        <f t="shared" si="2"/>
        <v>1000000</v>
      </c>
      <c r="BD311" s="18">
        <f t="shared" si="3"/>
        <v>0</v>
      </c>
      <c r="BE311" s="18">
        <f t="shared" si="4"/>
        <v>0</v>
      </c>
      <c r="BF311" s="18">
        <f t="shared" si="5"/>
        <v>1000000</v>
      </c>
      <c r="BG311" s="15"/>
      <c r="BH311" s="15"/>
      <c r="BI311" s="15"/>
      <c r="BJ311" s="12" t="s">
        <v>1527</v>
      </c>
      <c r="BK311" s="12" t="s">
        <v>1528</v>
      </c>
      <c r="BL311" s="32">
        <v>510000.0</v>
      </c>
    </row>
    <row r="312">
      <c r="A312" s="21">
        <f t="shared" si="1"/>
        <v>310</v>
      </c>
      <c r="B312" s="22" t="s">
        <v>1615</v>
      </c>
      <c r="C312" s="23">
        <v>2.02507051E9</v>
      </c>
      <c r="D312" s="24" t="s">
        <v>1616</v>
      </c>
      <c r="E312" s="24" t="s">
        <v>1617</v>
      </c>
      <c r="F312" s="24" t="s">
        <v>1618</v>
      </c>
      <c r="G312" s="25" t="s">
        <v>95</v>
      </c>
      <c r="H312" s="23" t="s">
        <v>1527</v>
      </c>
      <c r="I312" s="23" t="s">
        <v>1528</v>
      </c>
      <c r="J312" s="25">
        <v>2.0</v>
      </c>
      <c r="K312" s="25" t="s">
        <v>602</v>
      </c>
      <c r="L312" s="26" t="s">
        <v>1619</v>
      </c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>
        <v>500000.0</v>
      </c>
      <c r="AA312" s="27"/>
      <c r="AB312" s="27">
        <v>500000.0</v>
      </c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>
        <v>500000.0</v>
      </c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>
        <f t="shared" si="2"/>
        <v>500000</v>
      </c>
      <c r="BD312" s="27">
        <f t="shared" si="3"/>
        <v>1000000</v>
      </c>
      <c r="BE312" s="27">
        <f t="shared" si="4"/>
        <v>0</v>
      </c>
      <c r="BF312" s="27">
        <f t="shared" si="5"/>
        <v>1500000</v>
      </c>
      <c r="BG312" s="24"/>
      <c r="BH312" s="24"/>
      <c r="BI312" s="24"/>
      <c r="BJ312" s="21" t="s">
        <v>1527</v>
      </c>
      <c r="BK312" s="21" t="s">
        <v>1528</v>
      </c>
      <c r="BL312" s="33">
        <v>510000.0</v>
      </c>
    </row>
    <row r="313">
      <c r="A313" s="12">
        <f t="shared" si="1"/>
        <v>311</v>
      </c>
      <c r="B313" s="13" t="s">
        <v>1620</v>
      </c>
      <c r="C313" s="14">
        <v>2.025070511E9</v>
      </c>
      <c r="D313" s="15" t="s">
        <v>1621</v>
      </c>
      <c r="E313" s="15" t="s">
        <v>1622</v>
      </c>
      <c r="F313" s="15" t="s">
        <v>1623</v>
      </c>
      <c r="G313" s="16" t="s">
        <v>42</v>
      </c>
      <c r="H313" s="14" t="s">
        <v>1527</v>
      </c>
      <c r="I313" s="14" t="s">
        <v>1555</v>
      </c>
      <c r="J313" s="16">
        <v>2.0</v>
      </c>
      <c r="K313" s="16" t="s">
        <v>602</v>
      </c>
      <c r="L313" s="17" t="s">
        <v>1624</v>
      </c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>
        <v>500000.0</v>
      </c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>
        <v>500000.0</v>
      </c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>
        <f t="shared" si="2"/>
        <v>0</v>
      </c>
      <c r="BD313" s="18">
        <f t="shared" si="3"/>
        <v>1000000</v>
      </c>
      <c r="BE313" s="18">
        <f t="shared" si="4"/>
        <v>0</v>
      </c>
      <c r="BF313" s="18">
        <f t="shared" si="5"/>
        <v>1000000</v>
      </c>
      <c r="BG313" s="15"/>
      <c r="BH313" s="15"/>
      <c r="BI313" s="15"/>
      <c r="BJ313" s="12" t="s">
        <v>1527</v>
      </c>
      <c r="BK313" s="12" t="s">
        <v>1555</v>
      </c>
      <c r="BL313" s="32">
        <v>510000.0</v>
      </c>
    </row>
    <row r="314">
      <c r="A314" s="21">
        <f t="shared" si="1"/>
        <v>312</v>
      </c>
      <c r="B314" s="22" t="s">
        <v>1625</v>
      </c>
      <c r="C314" s="23">
        <v>2.025070552E9</v>
      </c>
      <c r="D314" s="24" t="s">
        <v>1626</v>
      </c>
      <c r="E314" s="24" t="s">
        <v>1627</v>
      </c>
      <c r="F314" s="24" t="s">
        <v>1628</v>
      </c>
      <c r="G314" s="25" t="s">
        <v>215</v>
      </c>
      <c r="H314" s="23" t="s">
        <v>1527</v>
      </c>
      <c r="I314" s="23" t="s">
        <v>1555</v>
      </c>
      <c r="J314" s="25">
        <v>2.0</v>
      </c>
      <c r="K314" s="25" t="s">
        <v>627</v>
      </c>
      <c r="L314" s="26" t="s">
        <v>1629</v>
      </c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>
        <v>500000.0</v>
      </c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>
        <v>500000.0</v>
      </c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>
        <f t="shared" si="2"/>
        <v>0</v>
      </c>
      <c r="BD314" s="27">
        <f t="shared" si="3"/>
        <v>1000000</v>
      </c>
      <c r="BE314" s="27">
        <f t="shared" si="4"/>
        <v>0</v>
      </c>
      <c r="BF314" s="27">
        <f t="shared" si="5"/>
        <v>1000000</v>
      </c>
      <c r="BG314" s="24"/>
      <c r="BH314" s="24"/>
      <c r="BI314" s="24"/>
      <c r="BJ314" s="21" t="s">
        <v>1527</v>
      </c>
      <c r="BK314" s="21" t="s">
        <v>1555</v>
      </c>
      <c r="BL314" s="33">
        <v>510000.0</v>
      </c>
    </row>
    <row r="315">
      <c r="A315" s="12">
        <f t="shared" si="1"/>
        <v>313</v>
      </c>
      <c r="B315" s="13" t="s">
        <v>1630</v>
      </c>
      <c r="C315" s="14">
        <v>2.025070506E9</v>
      </c>
      <c r="D315" s="15" t="s">
        <v>1631</v>
      </c>
      <c r="E315" s="15" t="s">
        <v>1632</v>
      </c>
      <c r="F315" s="15" t="s">
        <v>1633</v>
      </c>
      <c r="G315" s="16" t="s">
        <v>42</v>
      </c>
      <c r="H315" s="14" t="s">
        <v>1527</v>
      </c>
      <c r="I315" s="14" t="s">
        <v>1555</v>
      </c>
      <c r="J315" s="16">
        <v>2.0</v>
      </c>
      <c r="K315" s="16" t="s">
        <v>602</v>
      </c>
      <c r="L315" s="17" t="s">
        <v>1634</v>
      </c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>
        <f t="shared" si="2"/>
        <v>0</v>
      </c>
      <c r="BD315" s="18">
        <f t="shared" si="3"/>
        <v>0</v>
      </c>
      <c r="BE315" s="18">
        <f t="shared" si="4"/>
        <v>0</v>
      </c>
      <c r="BF315" s="18">
        <f t="shared" si="5"/>
        <v>0</v>
      </c>
      <c r="BG315" s="15"/>
      <c r="BH315" s="15"/>
      <c r="BI315" s="15"/>
      <c r="BJ315" s="12" t="s">
        <v>1527</v>
      </c>
      <c r="BK315" s="12" t="s">
        <v>1555</v>
      </c>
      <c r="BL315" s="32">
        <v>510000.0</v>
      </c>
    </row>
    <row r="316">
      <c r="A316" s="21">
        <f t="shared" si="1"/>
        <v>314</v>
      </c>
      <c r="B316" s="22" t="s">
        <v>1635</v>
      </c>
      <c r="C316" s="23">
        <v>2.025070443E9</v>
      </c>
      <c r="D316" s="24" t="s">
        <v>1636</v>
      </c>
      <c r="E316" s="24" t="s">
        <v>1637</v>
      </c>
      <c r="F316" s="24" t="s">
        <v>1638</v>
      </c>
      <c r="G316" s="25" t="s">
        <v>113</v>
      </c>
      <c r="H316" s="23" t="s">
        <v>1527</v>
      </c>
      <c r="I316" s="23" t="s">
        <v>1528</v>
      </c>
      <c r="J316" s="25">
        <v>2.0</v>
      </c>
      <c r="K316" s="25" t="s">
        <v>638</v>
      </c>
      <c r="L316" s="26" t="s">
        <v>1639</v>
      </c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>
        <v>500000.0</v>
      </c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>
        <f t="shared" si="2"/>
        <v>500000</v>
      </c>
      <c r="BD316" s="27">
        <f t="shared" si="3"/>
        <v>0</v>
      </c>
      <c r="BE316" s="27">
        <f t="shared" si="4"/>
        <v>0</v>
      </c>
      <c r="BF316" s="27">
        <f t="shared" si="5"/>
        <v>500000</v>
      </c>
      <c r="BG316" s="24"/>
      <c r="BH316" s="24"/>
      <c r="BI316" s="24"/>
      <c r="BJ316" s="21" t="s">
        <v>1527</v>
      </c>
      <c r="BK316" s="21" t="s">
        <v>1528</v>
      </c>
      <c r="BL316" s="33">
        <v>510000.0</v>
      </c>
    </row>
    <row r="317">
      <c r="A317" s="12">
        <f t="shared" si="1"/>
        <v>315</v>
      </c>
      <c r="B317" s="13" t="s">
        <v>1640</v>
      </c>
      <c r="C317" s="14">
        <v>2.025070629E9</v>
      </c>
      <c r="D317" s="15" t="s">
        <v>1641</v>
      </c>
      <c r="E317" s="15" t="s">
        <v>1642</v>
      </c>
      <c r="F317" s="15" t="s">
        <v>1643</v>
      </c>
      <c r="G317" s="16" t="s">
        <v>215</v>
      </c>
      <c r="H317" s="14" t="s">
        <v>1527</v>
      </c>
      <c r="I317" s="14" t="s">
        <v>1555</v>
      </c>
      <c r="J317" s="16">
        <v>2.0</v>
      </c>
      <c r="K317" s="16" t="s">
        <v>602</v>
      </c>
      <c r="L317" s="17" t="s">
        <v>1644</v>
      </c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>
        <f t="shared" si="2"/>
        <v>0</v>
      </c>
      <c r="BD317" s="18">
        <f t="shared" si="3"/>
        <v>0</v>
      </c>
      <c r="BE317" s="18">
        <f t="shared" si="4"/>
        <v>0</v>
      </c>
      <c r="BF317" s="18">
        <f t="shared" si="5"/>
        <v>0</v>
      </c>
      <c r="BG317" s="15"/>
      <c r="BH317" s="15"/>
      <c r="BI317" s="15"/>
      <c r="BJ317" s="12" t="s">
        <v>1527</v>
      </c>
      <c r="BK317" s="12" t="s">
        <v>1555</v>
      </c>
      <c r="BL317" s="32">
        <v>510000.0</v>
      </c>
    </row>
    <row r="318">
      <c r="A318" s="21">
        <f t="shared" si="1"/>
        <v>316</v>
      </c>
      <c r="B318" s="22" t="s">
        <v>1645</v>
      </c>
      <c r="C318" s="23">
        <v>2.025070234E9</v>
      </c>
      <c r="D318" s="24" t="s">
        <v>1646</v>
      </c>
      <c r="E318" s="24" t="s">
        <v>1647</v>
      </c>
      <c r="F318" s="24" t="s">
        <v>1648</v>
      </c>
      <c r="G318" s="25" t="s">
        <v>33</v>
      </c>
      <c r="H318" s="23" t="s">
        <v>1527</v>
      </c>
      <c r="I318" s="23" t="s">
        <v>1528</v>
      </c>
      <c r="J318" s="25">
        <v>2.0</v>
      </c>
      <c r="K318" s="25" t="s">
        <v>706</v>
      </c>
      <c r="L318" s="26" t="s">
        <v>1649</v>
      </c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>
        <v>500000.0</v>
      </c>
      <c r="AA318" s="27"/>
      <c r="AB318" s="27">
        <v>500000.0</v>
      </c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>
        <v>500000.0</v>
      </c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>
        <f t="shared" si="2"/>
        <v>500000</v>
      </c>
      <c r="BD318" s="27">
        <f t="shared" si="3"/>
        <v>1000000</v>
      </c>
      <c r="BE318" s="27">
        <f t="shared" si="4"/>
        <v>0</v>
      </c>
      <c r="BF318" s="27">
        <f t="shared" si="5"/>
        <v>1500000</v>
      </c>
      <c r="BG318" s="24"/>
      <c r="BH318" s="24"/>
      <c r="BI318" s="24"/>
      <c r="BJ318" s="21" t="s">
        <v>1527</v>
      </c>
      <c r="BK318" s="21" t="s">
        <v>1528</v>
      </c>
      <c r="BL318" s="33">
        <v>510000.0</v>
      </c>
    </row>
    <row r="319">
      <c r="A319" s="12">
        <f t="shared" si="1"/>
        <v>317</v>
      </c>
      <c r="B319" s="13" t="s">
        <v>1650</v>
      </c>
      <c r="C319" s="14">
        <v>2.025070593E9</v>
      </c>
      <c r="D319" s="15" t="s">
        <v>1651</v>
      </c>
      <c r="E319" s="15" t="s">
        <v>1652</v>
      </c>
      <c r="F319" s="15" t="s">
        <v>1653</v>
      </c>
      <c r="G319" s="16" t="s">
        <v>89</v>
      </c>
      <c r="H319" s="14" t="s">
        <v>1527</v>
      </c>
      <c r="I319" s="14" t="s">
        <v>1555</v>
      </c>
      <c r="J319" s="16">
        <v>2.0</v>
      </c>
      <c r="K319" s="14" t="s">
        <v>227</v>
      </c>
      <c r="L319" s="17" t="s">
        <v>1654</v>
      </c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>
        <v>500000.0</v>
      </c>
      <c r="AA319" s="18"/>
      <c r="AB319" s="18">
        <v>500000.0</v>
      </c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>
        <v>500000.0</v>
      </c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>
        <f t="shared" si="2"/>
        <v>500000</v>
      </c>
      <c r="BD319" s="18">
        <f t="shared" si="3"/>
        <v>1000000</v>
      </c>
      <c r="BE319" s="18">
        <f t="shared" si="4"/>
        <v>0</v>
      </c>
      <c r="BF319" s="18">
        <f t="shared" si="5"/>
        <v>1500000</v>
      </c>
      <c r="BG319" s="15"/>
      <c r="BH319" s="15"/>
      <c r="BI319" s="15"/>
      <c r="BJ319" s="12" t="s">
        <v>1527</v>
      </c>
      <c r="BK319" s="12" t="s">
        <v>1555</v>
      </c>
      <c r="BL319" s="32">
        <v>510000.0</v>
      </c>
    </row>
    <row r="320">
      <c r="A320" s="21">
        <f t="shared" si="1"/>
        <v>318</v>
      </c>
      <c r="B320" s="22" t="s">
        <v>1655</v>
      </c>
      <c r="C320" s="23">
        <v>2.025070614E9</v>
      </c>
      <c r="D320" s="24" t="s">
        <v>1621</v>
      </c>
      <c r="E320" s="24" t="s">
        <v>1656</v>
      </c>
      <c r="F320" s="24" t="s">
        <v>1657</v>
      </c>
      <c r="G320" s="25" t="s">
        <v>89</v>
      </c>
      <c r="H320" s="23" t="s">
        <v>1527</v>
      </c>
      <c r="I320" s="23" t="s">
        <v>1555</v>
      </c>
      <c r="J320" s="25">
        <v>2.0</v>
      </c>
      <c r="K320" s="25" t="s">
        <v>602</v>
      </c>
      <c r="L320" s="26" t="s">
        <v>1658</v>
      </c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>
        <v>500000.0</v>
      </c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>
        <v>500000.0</v>
      </c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>
        <f t="shared" si="2"/>
        <v>0</v>
      </c>
      <c r="BD320" s="27">
        <f t="shared" si="3"/>
        <v>1000000</v>
      </c>
      <c r="BE320" s="27">
        <f t="shared" si="4"/>
        <v>0</v>
      </c>
      <c r="BF320" s="27">
        <f t="shared" si="5"/>
        <v>1000000</v>
      </c>
      <c r="BG320" s="24"/>
      <c r="BH320" s="24"/>
      <c r="BI320" s="24"/>
      <c r="BJ320" s="21" t="s">
        <v>1527</v>
      </c>
      <c r="BK320" s="21" t="s">
        <v>1555</v>
      </c>
      <c r="BL320" s="33">
        <v>510000.0</v>
      </c>
    </row>
    <row r="321">
      <c r="A321" s="12">
        <f t="shared" si="1"/>
        <v>319</v>
      </c>
      <c r="B321" s="13" t="s">
        <v>1659</v>
      </c>
      <c r="C321" s="14">
        <v>2.025070581E9</v>
      </c>
      <c r="D321" s="15" t="s">
        <v>1660</v>
      </c>
      <c r="E321" s="15" t="s">
        <v>1661</v>
      </c>
      <c r="F321" s="15" t="s">
        <v>1662</v>
      </c>
      <c r="G321" s="16" t="s">
        <v>151</v>
      </c>
      <c r="H321" s="14" t="s">
        <v>1527</v>
      </c>
      <c r="I321" s="14" t="s">
        <v>1544</v>
      </c>
      <c r="J321" s="16">
        <v>2.0</v>
      </c>
      <c r="K321" s="16" t="s">
        <v>602</v>
      </c>
      <c r="L321" s="17" t="s">
        <v>1663</v>
      </c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>
        <v>500000.0</v>
      </c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 t="s">
        <v>1664</v>
      </c>
      <c r="BC321" s="18">
        <f t="shared" si="2"/>
        <v>0</v>
      </c>
      <c r="BD321" s="18">
        <f t="shared" si="3"/>
        <v>500000</v>
      </c>
      <c r="BE321" s="18">
        <f t="shared" si="4"/>
        <v>0</v>
      </c>
      <c r="BF321" s="18">
        <f t="shared" si="5"/>
        <v>500000</v>
      </c>
      <c r="BG321" s="15"/>
      <c r="BH321" s="15"/>
      <c r="BI321" s="15"/>
      <c r="BJ321" s="12" t="s">
        <v>1527</v>
      </c>
      <c r="BK321" s="12" t="s">
        <v>1544</v>
      </c>
      <c r="BL321" s="32">
        <v>510000.0</v>
      </c>
    </row>
    <row r="322">
      <c r="A322" s="21">
        <f t="shared" si="1"/>
        <v>320</v>
      </c>
      <c r="B322" s="22" t="s">
        <v>1665</v>
      </c>
      <c r="C322" s="23">
        <v>2.025070503E9</v>
      </c>
      <c r="D322" s="24" t="s">
        <v>1666</v>
      </c>
      <c r="E322" s="24" t="s">
        <v>1077</v>
      </c>
      <c r="F322" s="24" t="s">
        <v>1667</v>
      </c>
      <c r="G322" s="25" t="s">
        <v>95</v>
      </c>
      <c r="H322" s="23" t="s">
        <v>1527</v>
      </c>
      <c r="I322" s="23" t="s">
        <v>1528</v>
      </c>
      <c r="J322" s="25">
        <v>2.0</v>
      </c>
      <c r="K322" s="25" t="s">
        <v>609</v>
      </c>
      <c r="L322" s="26" t="s">
        <v>1668</v>
      </c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>
        <v>500000.0</v>
      </c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>
        <v>500000.0</v>
      </c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>
        <f t="shared" si="2"/>
        <v>0</v>
      </c>
      <c r="BD322" s="27">
        <f t="shared" si="3"/>
        <v>1000000</v>
      </c>
      <c r="BE322" s="27">
        <f t="shared" si="4"/>
        <v>0</v>
      </c>
      <c r="BF322" s="27">
        <f t="shared" si="5"/>
        <v>1000000</v>
      </c>
      <c r="BG322" s="24"/>
      <c r="BH322" s="24"/>
      <c r="BI322" s="24"/>
      <c r="BJ322" s="21" t="s">
        <v>1527</v>
      </c>
      <c r="BK322" s="21" t="s">
        <v>1528</v>
      </c>
      <c r="BL322" s="33">
        <v>510000.0</v>
      </c>
    </row>
    <row r="323">
      <c r="A323" s="12">
        <f t="shared" si="1"/>
        <v>321</v>
      </c>
      <c r="B323" s="13" t="s">
        <v>1669</v>
      </c>
      <c r="C323" s="14">
        <v>2.025070168E9</v>
      </c>
      <c r="D323" s="15" t="s">
        <v>1670</v>
      </c>
      <c r="E323" s="15" t="s">
        <v>1671</v>
      </c>
      <c r="F323" s="15" t="s">
        <v>1672</v>
      </c>
      <c r="G323" s="16" t="s">
        <v>1049</v>
      </c>
      <c r="H323" s="14" t="s">
        <v>1527</v>
      </c>
      <c r="I323" s="14" t="s">
        <v>1528</v>
      </c>
      <c r="J323" s="16">
        <v>2.0</v>
      </c>
      <c r="K323" s="16" t="s">
        <v>617</v>
      </c>
      <c r="L323" s="17" t="s">
        <v>1673</v>
      </c>
      <c r="M323" s="18"/>
      <c r="N323" s="18"/>
      <c r="O323" s="18"/>
      <c r="P323" s="18"/>
      <c r="Q323" s="18"/>
      <c r="R323" s="18"/>
      <c r="S323" s="18"/>
      <c r="T323" s="18">
        <v>500000.0</v>
      </c>
      <c r="U323" s="18">
        <v>500000.0</v>
      </c>
      <c r="V323" s="18">
        <v>500000.0</v>
      </c>
      <c r="W323" s="18">
        <v>500000.0</v>
      </c>
      <c r="X323" s="18">
        <v>500000.0</v>
      </c>
      <c r="Y323" s="18">
        <v>500000.0</v>
      </c>
      <c r="Z323" s="18">
        <v>500000.0</v>
      </c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f t="shared" si="2"/>
        <v>3500000</v>
      </c>
      <c r="BD323" s="18">
        <f t="shared" si="3"/>
        <v>0</v>
      </c>
      <c r="BE323" s="18">
        <f t="shared" si="4"/>
        <v>0</v>
      </c>
      <c r="BF323" s="18">
        <f t="shared" si="5"/>
        <v>3500000</v>
      </c>
      <c r="BG323" s="15"/>
      <c r="BH323" s="15"/>
      <c r="BI323" s="15"/>
      <c r="BJ323" s="12" t="s">
        <v>1527</v>
      </c>
      <c r="BK323" s="12" t="s">
        <v>1528</v>
      </c>
      <c r="BL323" s="32">
        <v>510000.0</v>
      </c>
    </row>
    <row r="324">
      <c r="A324" s="21">
        <f t="shared" si="1"/>
        <v>322</v>
      </c>
      <c r="B324" s="22" t="s">
        <v>1674</v>
      </c>
      <c r="C324" s="23">
        <v>2.025070451E9</v>
      </c>
      <c r="D324" s="24" t="s">
        <v>1675</v>
      </c>
      <c r="E324" s="24" t="s">
        <v>1676</v>
      </c>
      <c r="F324" s="24" t="s">
        <v>1677</v>
      </c>
      <c r="G324" s="25" t="s">
        <v>615</v>
      </c>
      <c r="H324" s="23" t="s">
        <v>1392</v>
      </c>
      <c r="I324" s="23" t="s">
        <v>1405</v>
      </c>
      <c r="J324" s="25">
        <v>2.0</v>
      </c>
      <c r="K324" s="25" t="s">
        <v>1017</v>
      </c>
      <c r="L324" s="26" t="s">
        <v>1678</v>
      </c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>
        <v>450000.0</v>
      </c>
      <c r="Y324" s="27">
        <v>450000.0</v>
      </c>
      <c r="Z324" s="27">
        <v>450000.0</v>
      </c>
      <c r="AA324" s="27"/>
      <c r="AB324" s="27">
        <v>500000.0</v>
      </c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>
        <v>500000.0</v>
      </c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>
        <f t="shared" si="2"/>
        <v>1350000</v>
      </c>
      <c r="BD324" s="27">
        <f t="shared" si="3"/>
        <v>1000000</v>
      </c>
      <c r="BE324" s="27">
        <f t="shared" si="4"/>
        <v>0</v>
      </c>
      <c r="BF324" s="27">
        <f t="shared" si="5"/>
        <v>2350000</v>
      </c>
      <c r="BG324" s="24"/>
      <c r="BH324" s="24"/>
      <c r="BI324" s="24"/>
      <c r="BJ324" s="21" t="s">
        <v>1392</v>
      </c>
      <c r="BK324" s="21" t="s">
        <v>1405</v>
      </c>
      <c r="BL324" s="33">
        <v>460000.0</v>
      </c>
    </row>
    <row r="325">
      <c r="A325" s="12">
        <f t="shared" si="1"/>
        <v>323</v>
      </c>
      <c r="B325" s="13" t="s">
        <v>1679</v>
      </c>
      <c r="C325" s="14">
        <v>2.025070455E9</v>
      </c>
      <c r="D325" s="15" t="s">
        <v>1680</v>
      </c>
      <c r="E325" s="15" t="s">
        <v>1681</v>
      </c>
      <c r="F325" s="15" t="s">
        <v>1682</v>
      </c>
      <c r="G325" s="16" t="s">
        <v>1477</v>
      </c>
      <c r="H325" s="14" t="s">
        <v>1683</v>
      </c>
      <c r="I325" s="14" t="s">
        <v>1684</v>
      </c>
      <c r="J325" s="16">
        <v>2.0</v>
      </c>
      <c r="K325" s="16" t="s">
        <v>638</v>
      </c>
      <c r="L325" s="17" t="s">
        <v>1685</v>
      </c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>
        <v>500000.0</v>
      </c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>
        <v>500000.0</v>
      </c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f t="shared" si="2"/>
        <v>0</v>
      </c>
      <c r="BD325" s="18">
        <f t="shared" si="3"/>
        <v>1000000</v>
      </c>
      <c r="BE325" s="18">
        <f t="shared" si="4"/>
        <v>0</v>
      </c>
      <c r="BF325" s="18">
        <f t="shared" si="5"/>
        <v>1000000</v>
      </c>
      <c r="BG325" s="15"/>
      <c r="BH325" s="15"/>
      <c r="BI325" s="15"/>
      <c r="BJ325" s="12" t="s">
        <v>1683</v>
      </c>
      <c r="BK325" s="12" t="s">
        <v>1684</v>
      </c>
      <c r="BL325" s="32">
        <v>460000.0</v>
      </c>
    </row>
    <row r="326">
      <c r="A326" s="21">
        <f t="shared" si="1"/>
        <v>324</v>
      </c>
      <c r="B326" s="22" t="s">
        <v>1686</v>
      </c>
      <c r="C326" s="23">
        <v>2.025070447E9</v>
      </c>
      <c r="D326" s="24" t="s">
        <v>1687</v>
      </c>
      <c r="E326" s="24" t="s">
        <v>1688</v>
      </c>
      <c r="F326" s="24" t="s">
        <v>1162</v>
      </c>
      <c r="G326" s="25" t="s">
        <v>770</v>
      </c>
      <c r="H326" s="23" t="s">
        <v>1683</v>
      </c>
      <c r="I326" s="23" t="s">
        <v>1684</v>
      </c>
      <c r="J326" s="25">
        <v>2.0</v>
      </c>
      <c r="K326" s="25" t="s">
        <v>617</v>
      </c>
      <c r="L326" s="26" t="s">
        <v>1689</v>
      </c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>
        <v>500000.0</v>
      </c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>
        <f t="shared" si="2"/>
        <v>0</v>
      </c>
      <c r="BD326" s="27">
        <f t="shared" si="3"/>
        <v>500000</v>
      </c>
      <c r="BE326" s="27">
        <f t="shared" si="4"/>
        <v>0</v>
      </c>
      <c r="BF326" s="27">
        <f t="shared" si="5"/>
        <v>500000</v>
      </c>
      <c r="BG326" s="24"/>
      <c r="BH326" s="24"/>
      <c r="BI326" s="24"/>
      <c r="BJ326" s="21" t="s">
        <v>1683</v>
      </c>
      <c r="BK326" s="21" t="s">
        <v>1684</v>
      </c>
      <c r="BL326" s="33">
        <v>460000.0</v>
      </c>
    </row>
    <row r="327">
      <c r="A327" s="12">
        <f t="shared" si="1"/>
        <v>325</v>
      </c>
      <c r="B327" s="13" t="s">
        <v>1690</v>
      </c>
      <c r="C327" s="14">
        <v>2.025070461E9</v>
      </c>
      <c r="D327" s="15" t="s">
        <v>1691</v>
      </c>
      <c r="E327" s="15" t="s">
        <v>1692</v>
      </c>
      <c r="F327" s="15" t="s">
        <v>1693</v>
      </c>
      <c r="G327" s="16" t="s">
        <v>385</v>
      </c>
      <c r="H327" s="14" t="s">
        <v>1683</v>
      </c>
      <c r="I327" s="14" t="s">
        <v>1684</v>
      </c>
      <c r="J327" s="16">
        <v>2.0</v>
      </c>
      <c r="K327" s="16" t="s">
        <v>638</v>
      </c>
      <c r="L327" s="17" t="s">
        <v>1694</v>
      </c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>
        <f t="shared" si="2"/>
        <v>0</v>
      </c>
      <c r="BD327" s="18">
        <f t="shared" si="3"/>
        <v>0</v>
      </c>
      <c r="BE327" s="18">
        <f t="shared" si="4"/>
        <v>0</v>
      </c>
      <c r="BF327" s="18">
        <f t="shared" si="5"/>
        <v>0</v>
      </c>
      <c r="BG327" s="15"/>
      <c r="BH327" s="15"/>
      <c r="BI327" s="15"/>
      <c r="BJ327" s="12" t="s">
        <v>1683</v>
      </c>
      <c r="BK327" s="12" t="s">
        <v>1684</v>
      </c>
      <c r="BL327" s="32">
        <v>460000.0</v>
      </c>
    </row>
    <row r="328">
      <c r="A328" s="21">
        <f t="shared" si="1"/>
        <v>326</v>
      </c>
      <c r="B328" s="22" t="s">
        <v>1695</v>
      </c>
      <c r="C328" s="23">
        <v>2.025070434E9</v>
      </c>
      <c r="D328" s="24" t="s">
        <v>1696</v>
      </c>
      <c r="E328" s="24" t="s">
        <v>1697</v>
      </c>
      <c r="F328" s="24" t="s">
        <v>1698</v>
      </c>
      <c r="G328" s="25" t="s">
        <v>113</v>
      </c>
      <c r="H328" s="23" t="s">
        <v>1683</v>
      </c>
      <c r="I328" s="23" t="s">
        <v>1684</v>
      </c>
      <c r="J328" s="25">
        <v>2.0</v>
      </c>
      <c r="K328" s="25" t="s">
        <v>1017</v>
      </c>
      <c r="L328" s="26"/>
      <c r="M328" s="27"/>
      <c r="N328" s="27"/>
      <c r="O328" s="27"/>
      <c r="P328" s="27" t="s">
        <v>629</v>
      </c>
      <c r="Q328" s="27"/>
      <c r="R328" s="27"/>
      <c r="S328" s="27"/>
      <c r="T328" s="27"/>
      <c r="U328" s="27"/>
      <c r="V328" s="27"/>
      <c r="W328" s="27"/>
      <c r="X328" s="27"/>
      <c r="Y328" s="27">
        <v>450000.0</v>
      </c>
      <c r="Z328" s="27">
        <v>450000.0</v>
      </c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>
        <f t="shared" si="2"/>
        <v>900000</v>
      </c>
      <c r="BD328" s="27">
        <f t="shared" si="3"/>
        <v>0</v>
      </c>
      <c r="BE328" s="27">
        <f t="shared" si="4"/>
        <v>0</v>
      </c>
      <c r="BF328" s="27">
        <f t="shared" si="5"/>
        <v>900000</v>
      </c>
      <c r="BG328" s="24"/>
      <c r="BH328" s="24"/>
      <c r="BI328" s="24"/>
      <c r="BJ328" s="21" t="s">
        <v>1683</v>
      </c>
      <c r="BK328" s="21" t="s">
        <v>1684</v>
      </c>
      <c r="BL328" s="33">
        <v>460000.0</v>
      </c>
    </row>
    <row r="329">
      <c r="A329" s="12">
        <f t="shared" si="1"/>
        <v>327</v>
      </c>
      <c r="B329" s="13" t="s">
        <v>1699</v>
      </c>
      <c r="C329" s="14">
        <v>2.025070431E9</v>
      </c>
      <c r="D329" s="15" t="s">
        <v>1700</v>
      </c>
      <c r="E329" s="15" t="s">
        <v>1701</v>
      </c>
      <c r="F329" s="15" t="s">
        <v>295</v>
      </c>
      <c r="G329" s="16" t="s">
        <v>385</v>
      </c>
      <c r="H329" s="14" t="s">
        <v>1683</v>
      </c>
      <c r="I329" s="14" t="s">
        <v>1684</v>
      </c>
      <c r="J329" s="16">
        <v>2.0</v>
      </c>
      <c r="K329" s="16" t="s">
        <v>617</v>
      </c>
      <c r="L329" s="17" t="s">
        <v>1702</v>
      </c>
      <c r="M329" s="18">
        <v>600000.0</v>
      </c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>
        <v>500000.0</v>
      </c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>
        <v>500000.0</v>
      </c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>
        <f t="shared" si="2"/>
        <v>0</v>
      </c>
      <c r="BD329" s="18">
        <f t="shared" si="3"/>
        <v>1600000</v>
      </c>
      <c r="BE329" s="18">
        <f t="shared" si="4"/>
        <v>0</v>
      </c>
      <c r="BF329" s="18">
        <f t="shared" si="5"/>
        <v>1600000</v>
      </c>
      <c r="BG329" s="15"/>
      <c r="BH329" s="15"/>
      <c r="BI329" s="15"/>
      <c r="BJ329" s="12" t="s">
        <v>1683</v>
      </c>
      <c r="BK329" s="12" t="s">
        <v>1684</v>
      </c>
      <c r="BL329" s="32">
        <v>460000.0</v>
      </c>
    </row>
    <row r="330">
      <c r="A330" s="21">
        <f t="shared" si="1"/>
        <v>328</v>
      </c>
      <c r="B330" s="22" t="s">
        <v>1703</v>
      </c>
      <c r="C330" s="23">
        <v>2.025070446E9</v>
      </c>
      <c r="D330" s="24" t="s">
        <v>1704</v>
      </c>
      <c r="E330" s="24" t="s">
        <v>1705</v>
      </c>
      <c r="F330" s="24" t="s">
        <v>1706</v>
      </c>
      <c r="G330" s="25" t="s">
        <v>385</v>
      </c>
      <c r="H330" s="23" t="s">
        <v>1683</v>
      </c>
      <c r="I330" s="23" t="s">
        <v>1684</v>
      </c>
      <c r="J330" s="25">
        <v>2.0</v>
      </c>
      <c r="K330" s="25" t="s">
        <v>617</v>
      </c>
      <c r="L330" s="26" t="s">
        <v>1707</v>
      </c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>
        <v>500000.0</v>
      </c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>
        <v>500000.0</v>
      </c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>
        <f t="shared" si="2"/>
        <v>0</v>
      </c>
      <c r="BD330" s="27">
        <f t="shared" si="3"/>
        <v>1000000</v>
      </c>
      <c r="BE330" s="27">
        <f t="shared" si="4"/>
        <v>0</v>
      </c>
      <c r="BF330" s="27">
        <f t="shared" si="5"/>
        <v>1000000</v>
      </c>
      <c r="BG330" s="24"/>
      <c r="BH330" s="24"/>
      <c r="BI330" s="24"/>
      <c r="BJ330" s="21" t="s">
        <v>1683</v>
      </c>
      <c r="BK330" s="21" t="s">
        <v>1684</v>
      </c>
      <c r="BL330" s="33">
        <v>460000.0</v>
      </c>
    </row>
    <row r="331">
      <c r="A331" s="12">
        <f t="shared" si="1"/>
        <v>329</v>
      </c>
      <c r="B331" s="13" t="s">
        <v>1708</v>
      </c>
      <c r="C331" s="14">
        <v>2.025070465E9</v>
      </c>
      <c r="D331" s="15" t="s">
        <v>1709</v>
      </c>
      <c r="E331" s="15" t="s">
        <v>1710</v>
      </c>
      <c r="F331" s="15" t="s">
        <v>1711</v>
      </c>
      <c r="G331" s="16" t="s">
        <v>113</v>
      </c>
      <c r="H331" s="14" t="s">
        <v>1683</v>
      </c>
      <c r="I331" s="14" t="s">
        <v>1684</v>
      </c>
      <c r="J331" s="16">
        <v>2.0</v>
      </c>
      <c r="K331" s="16" t="s">
        <v>1017</v>
      </c>
      <c r="L331" s="17" t="s">
        <v>1712</v>
      </c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>
        <f t="shared" si="2"/>
        <v>0</v>
      </c>
      <c r="BD331" s="18">
        <f t="shared" si="3"/>
        <v>0</v>
      </c>
      <c r="BE331" s="18">
        <f t="shared" si="4"/>
        <v>0</v>
      </c>
      <c r="BF331" s="18">
        <f t="shared" si="5"/>
        <v>0</v>
      </c>
      <c r="BG331" s="15"/>
      <c r="BH331" s="15"/>
      <c r="BI331" s="15"/>
      <c r="BJ331" s="12" t="s">
        <v>1683</v>
      </c>
      <c r="BK331" s="12" t="s">
        <v>1684</v>
      </c>
      <c r="BL331" s="32">
        <v>460000.0</v>
      </c>
    </row>
    <row r="332">
      <c r="A332" s="21">
        <f t="shared" si="1"/>
        <v>330</v>
      </c>
      <c r="B332" s="22" t="s">
        <v>1713</v>
      </c>
      <c r="C332" s="23">
        <v>2.02507043E9</v>
      </c>
      <c r="D332" s="24" t="s">
        <v>1714</v>
      </c>
      <c r="E332" s="24" t="s">
        <v>1715</v>
      </c>
      <c r="F332" s="24" t="s">
        <v>1157</v>
      </c>
      <c r="G332" s="25" t="s">
        <v>259</v>
      </c>
      <c r="H332" s="23" t="s">
        <v>1683</v>
      </c>
      <c r="I332" s="23" t="s">
        <v>1684</v>
      </c>
      <c r="J332" s="25">
        <v>2.0</v>
      </c>
      <c r="K332" s="25" t="s">
        <v>617</v>
      </c>
      <c r="L332" s="26" t="s">
        <v>1716</v>
      </c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>
        <v>450000.0</v>
      </c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>
        <f t="shared" si="2"/>
        <v>450000</v>
      </c>
      <c r="BD332" s="27">
        <f t="shared" si="3"/>
        <v>0</v>
      </c>
      <c r="BE332" s="27">
        <f t="shared" si="4"/>
        <v>0</v>
      </c>
      <c r="BF332" s="27">
        <f t="shared" si="5"/>
        <v>450000</v>
      </c>
      <c r="BG332" s="24"/>
      <c r="BH332" s="24"/>
      <c r="BI332" s="24"/>
      <c r="BJ332" s="21" t="s">
        <v>1683</v>
      </c>
      <c r="BK332" s="21" t="s">
        <v>1684</v>
      </c>
      <c r="BL332" s="33">
        <v>460000.0</v>
      </c>
    </row>
    <row r="333">
      <c r="A333" s="12">
        <f t="shared" si="1"/>
        <v>331</v>
      </c>
      <c r="B333" s="13" t="s">
        <v>1717</v>
      </c>
      <c r="C333" s="14">
        <v>2.025070444E9</v>
      </c>
      <c r="D333" s="15" t="s">
        <v>1718</v>
      </c>
      <c r="E333" s="15" t="s">
        <v>1719</v>
      </c>
      <c r="F333" s="15" t="s">
        <v>1720</v>
      </c>
      <c r="G333" s="16" t="s">
        <v>615</v>
      </c>
      <c r="H333" s="14" t="s">
        <v>1683</v>
      </c>
      <c r="I333" s="14" t="s">
        <v>1684</v>
      </c>
      <c r="J333" s="16">
        <v>2.0</v>
      </c>
      <c r="K333" s="16" t="s">
        <v>617</v>
      </c>
      <c r="L333" s="17" t="s">
        <v>1721</v>
      </c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>
        <f t="shared" si="2"/>
        <v>0</v>
      </c>
      <c r="BD333" s="18">
        <f t="shared" si="3"/>
        <v>0</v>
      </c>
      <c r="BE333" s="18">
        <f t="shared" si="4"/>
        <v>0</v>
      </c>
      <c r="BF333" s="18">
        <f t="shared" si="5"/>
        <v>0</v>
      </c>
      <c r="BG333" s="15"/>
      <c r="BH333" s="15"/>
      <c r="BI333" s="15"/>
      <c r="BJ333" s="12" t="s">
        <v>1683</v>
      </c>
      <c r="BK333" s="12" t="s">
        <v>1684</v>
      </c>
      <c r="BL333" s="32">
        <v>460000.0</v>
      </c>
    </row>
    <row r="334">
      <c r="A334" s="21">
        <f t="shared" si="1"/>
        <v>332</v>
      </c>
      <c r="B334" s="22" t="s">
        <v>1722</v>
      </c>
      <c r="C334" s="23">
        <v>2.025070449E9</v>
      </c>
      <c r="D334" s="24" t="s">
        <v>1723</v>
      </c>
      <c r="E334" s="24" t="s">
        <v>1724</v>
      </c>
      <c r="F334" s="24" t="s">
        <v>1725</v>
      </c>
      <c r="G334" s="25" t="s">
        <v>615</v>
      </c>
      <c r="H334" s="23" t="s">
        <v>1683</v>
      </c>
      <c r="I334" s="23" t="s">
        <v>1684</v>
      </c>
      <c r="J334" s="25">
        <v>2.0</v>
      </c>
      <c r="K334" s="25" t="s">
        <v>638</v>
      </c>
      <c r="L334" s="26" t="s">
        <v>1726</v>
      </c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34" t="s">
        <v>1727</v>
      </c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>
        <f t="shared" si="2"/>
        <v>0</v>
      </c>
      <c r="BD334" s="27">
        <f t="shared" si="3"/>
        <v>0</v>
      </c>
      <c r="BE334" s="27" t="str">
        <f t="shared" si="4"/>
        <v>#VALUE!</v>
      </c>
      <c r="BF334" s="27" t="str">
        <f t="shared" si="5"/>
        <v>#VALUE!</v>
      </c>
      <c r="BG334" s="24"/>
      <c r="BH334" s="24"/>
      <c r="BI334" s="24"/>
      <c r="BJ334" s="21" t="s">
        <v>1683</v>
      </c>
      <c r="BK334" s="21" t="s">
        <v>1684</v>
      </c>
      <c r="BL334" s="33">
        <v>460000.0</v>
      </c>
    </row>
    <row r="335">
      <c r="A335" s="12">
        <f t="shared" si="1"/>
        <v>333</v>
      </c>
      <c r="B335" s="13" t="s">
        <v>1728</v>
      </c>
      <c r="C335" s="14">
        <v>2.025070109E9</v>
      </c>
      <c r="D335" s="15" t="s">
        <v>1729</v>
      </c>
      <c r="E335" s="15" t="s">
        <v>1730</v>
      </c>
      <c r="F335" s="15" t="s">
        <v>1731</v>
      </c>
      <c r="G335" s="16" t="s">
        <v>158</v>
      </c>
      <c r="H335" s="14" t="s">
        <v>863</v>
      </c>
      <c r="I335" s="14" t="s">
        <v>870</v>
      </c>
      <c r="J335" s="16">
        <v>2.0</v>
      </c>
      <c r="K335" s="16" t="s">
        <v>1017</v>
      </c>
      <c r="L335" s="17" t="s">
        <v>1732</v>
      </c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>
        <f t="shared" si="2"/>
        <v>0</v>
      </c>
      <c r="BD335" s="18">
        <f t="shared" si="3"/>
        <v>0</v>
      </c>
      <c r="BE335" s="18">
        <f t="shared" si="4"/>
        <v>0</v>
      </c>
      <c r="BF335" s="18">
        <f t="shared" si="5"/>
        <v>0</v>
      </c>
      <c r="BG335" s="15"/>
      <c r="BH335" s="15"/>
      <c r="BI335" s="15"/>
      <c r="BJ335" s="12" t="s">
        <v>863</v>
      </c>
      <c r="BK335" s="12" t="s">
        <v>870</v>
      </c>
      <c r="BL335" s="32">
        <v>460000.0</v>
      </c>
    </row>
    <row r="336">
      <c r="A336" s="21">
        <f t="shared" si="1"/>
        <v>334</v>
      </c>
      <c r="B336" s="22" t="s">
        <v>1733</v>
      </c>
      <c r="C336" s="23">
        <v>2.025070117E9</v>
      </c>
      <c r="D336" s="22" t="s">
        <v>1734</v>
      </c>
      <c r="E336" s="22" t="s">
        <v>1735</v>
      </c>
      <c r="F336" s="22" t="s">
        <v>1736</v>
      </c>
      <c r="G336" s="25" t="s">
        <v>658</v>
      </c>
      <c r="H336" s="23" t="s">
        <v>592</v>
      </c>
      <c r="I336" s="23" t="s">
        <v>616</v>
      </c>
      <c r="J336" s="25">
        <v>2.0</v>
      </c>
      <c r="K336" s="25" t="s">
        <v>594</v>
      </c>
      <c r="L336" s="26" t="s">
        <v>1737</v>
      </c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>
        <v>450000.0</v>
      </c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>
        <f t="shared" si="2"/>
        <v>450000</v>
      </c>
      <c r="BD336" s="27">
        <f t="shared" si="3"/>
        <v>0</v>
      </c>
      <c r="BE336" s="27">
        <f t="shared" si="4"/>
        <v>0</v>
      </c>
      <c r="BF336" s="27">
        <f t="shared" si="5"/>
        <v>450000</v>
      </c>
      <c r="BG336" s="24"/>
      <c r="BH336" s="24"/>
      <c r="BI336" s="24"/>
      <c r="BJ336" s="21" t="s">
        <v>592</v>
      </c>
      <c r="BK336" s="21" t="s">
        <v>616</v>
      </c>
      <c r="BL336" s="33">
        <v>460000.0</v>
      </c>
    </row>
    <row r="337">
      <c r="A337" s="12">
        <f t="shared" si="1"/>
        <v>335</v>
      </c>
      <c r="B337" s="13" t="s">
        <v>1738</v>
      </c>
      <c r="C337" s="14">
        <v>2.02507042E9</v>
      </c>
      <c r="D337" s="15" t="s">
        <v>1739</v>
      </c>
      <c r="E337" s="15" t="s">
        <v>1740</v>
      </c>
      <c r="F337" s="15" t="s">
        <v>1741</v>
      </c>
      <c r="G337" s="16" t="s">
        <v>658</v>
      </c>
      <c r="H337" s="14" t="s">
        <v>1392</v>
      </c>
      <c r="I337" s="14" t="s">
        <v>1405</v>
      </c>
      <c r="J337" s="16">
        <v>2.0</v>
      </c>
      <c r="K337" s="16" t="s">
        <v>638</v>
      </c>
      <c r="L337" s="17" t="s">
        <v>1742</v>
      </c>
      <c r="M337" s="18">
        <v>600000.0</v>
      </c>
      <c r="N337" s="18"/>
      <c r="O337" s="18"/>
      <c r="P337" s="18"/>
      <c r="Q337" s="18"/>
      <c r="R337" s="18"/>
      <c r="S337" s="18">
        <v>450000.0</v>
      </c>
      <c r="T337" s="18">
        <v>450000.0</v>
      </c>
      <c r="U337" s="18">
        <v>450000.0</v>
      </c>
      <c r="V337" s="18">
        <v>450000.0</v>
      </c>
      <c r="W337" s="18">
        <v>450000.0</v>
      </c>
      <c r="X337" s="18">
        <v>450000.0</v>
      </c>
      <c r="Y337" s="18">
        <v>450000.0</v>
      </c>
      <c r="Z337" s="18">
        <v>450000.0</v>
      </c>
      <c r="AA337" s="18"/>
      <c r="AB337" s="18">
        <v>500000.0</v>
      </c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>
        <v>500000.0</v>
      </c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>
        <f t="shared" si="2"/>
        <v>3600000</v>
      </c>
      <c r="BD337" s="18">
        <f t="shared" si="3"/>
        <v>1600000</v>
      </c>
      <c r="BE337" s="18">
        <f t="shared" si="4"/>
        <v>0</v>
      </c>
      <c r="BF337" s="18">
        <f t="shared" si="5"/>
        <v>5200000</v>
      </c>
      <c r="BG337" s="15"/>
      <c r="BH337" s="15"/>
      <c r="BI337" s="15"/>
      <c r="BJ337" s="12" t="s">
        <v>1392</v>
      </c>
      <c r="BK337" s="12" t="s">
        <v>1405</v>
      </c>
      <c r="BL337" s="32">
        <v>460000.0</v>
      </c>
    </row>
    <row r="338">
      <c r="A338" s="21">
        <f t="shared" si="1"/>
        <v>336</v>
      </c>
      <c r="B338" s="22" t="s">
        <v>1743</v>
      </c>
      <c r="C338" s="23">
        <v>2.025070257E9</v>
      </c>
      <c r="D338" s="24" t="s">
        <v>1744</v>
      </c>
      <c r="E338" s="24" t="s">
        <v>1745</v>
      </c>
      <c r="F338" s="24" t="s">
        <v>1746</v>
      </c>
      <c r="G338" s="25" t="s">
        <v>158</v>
      </c>
      <c r="H338" s="23" t="s">
        <v>34</v>
      </c>
      <c r="I338" s="23" t="s">
        <v>114</v>
      </c>
      <c r="J338" s="25">
        <v>2.0</v>
      </c>
      <c r="K338" s="25" t="s">
        <v>367</v>
      </c>
      <c r="L338" s="26" t="s">
        <v>1747</v>
      </c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>
        <f t="shared" si="2"/>
        <v>0</v>
      </c>
      <c r="BD338" s="27">
        <f t="shared" si="3"/>
        <v>0</v>
      </c>
      <c r="BE338" s="27">
        <f t="shared" si="4"/>
        <v>0</v>
      </c>
      <c r="BF338" s="27">
        <f t="shared" si="5"/>
        <v>0</v>
      </c>
      <c r="BG338" s="24"/>
      <c r="BH338" s="24"/>
      <c r="BI338" s="24"/>
      <c r="BJ338" s="21" t="s">
        <v>34</v>
      </c>
      <c r="BK338" s="21" t="s">
        <v>114</v>
      </c>
      <c r="BL338" s="33">
        <v>460000.0</v>
      </c>
    </row>
    <row r="339">
      <c r="A339" s="12">
        <f t="shared" si="1"/>
        <v>337</v>
      </c>
      <c r="B339" s="13" t="s">
        <v>1748</v>
      </c>
      <c r="C339" s="14">
        <v>2.025070202E9</v>
      </c>
      <c r="D339" s="15" t="s">
        <v>1749</v>
      </c>
      <c r="E339" s="15" t="s">
        <v>1750</v>
      </c>
      <c r="F339" s="15" t="s">
        <v>1751</v>
      </c>
      <c r="G339" s="16" t="s">
        <v>243</v>
      </c>
      <c r="H339" s="14" t="s">
        <v>34</v>
      </c>
      <c r="I339" s="14" t="s">
        <v>114</v>
      </c>
      <c r="J339" s="16">
        <v>2.0</v>
      </c>
      <c r="K339" s="16" t="s">
        <v>367</v>
      </c>
      <c r="L339" s="17" t="s">
        <v>1752</v>
      </c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>
        <f t="shared" si="2"/>
        <v>0</v>
      </c>
      <c r="BD339" s="18">
        <f t="shared" si="3"/>
        <v>0</v>
      </c>
      <c r="BE339" s="18">
        <f t="shared" si="4"/>
        <v>0</v>
      </c>
      <c r="BF339" s="18">
        <f t="shared" si="5"/>
        <v>0</v>
      </c>
      <c r="BG339" s="15"/>
      <c r="BH339" s="15"/>
      <c r="BI339" s="15"/>
      <c r="BJ339" s="12" t="s">
        <v>34</v>
      </c>
      <c r="BK339" s="12" t="s">
        <v>114</v>
      </c>
      <c r="BL339" s="32">
        <v>460000.0</v>
      </c>
    </row>
    <row r="340">
      <c r="A340" s="21">
        <f t="shared" si="1"/>
        <v>338</v>
      </c>
      <c r="B340" s="22" t="s">
        <v>1753</v>
      </c>
      <c r="C340" s="23">
        <v>2.02507001E9</v>
      </c>
      <c r="D340" s="24" t="s">
        <v>1754</v>
      </c>
      <c r="E340" s="24" t="s">
        <v>1755</v>
      </c>
      <c r="F340" s="24" t="s">
        <v>1756</v>
      </c>
      <c r="G340" s="25" t="s">
        <v>243</v>
      </c>
      <c r="H340" s="23" t="s">
        <v>34</v>
      </c>
      <c r="I340" s="23" t="s">
        <v>114</v>
      </c>
      <c r="J340" s="25">
        <v>2.0</v>
      </c>
      <c r="K340" s="25" t="s">
        <v>102</v>
      </c>
      <c r="L340" s="26" t="s">
        <v>1757</v>
      </c>
      <c r="M340" s="24"/>
      <c r="N340" s="24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7"/>
      <c r="BC340" s="27">
        <f t="shared" si="2"/>
        <v>0</v>
      </c>
      <c r="BD340" s="27">
        <f t="shared" si="3"/>
        <v>0</v>
      </c>
      <c r="BE340" s="27">
        <f t="shared" si="4"/>
        <v>0</v>
      </c>
      <c r="BF340" s="27">
        <f t="shared" si="5"/>
        <v>0</v>
      </c>
      <c r="BG340" s="24"/>
      <c r="BH340" s="24"/>
      <c r="BI340" s="24"/>
      <c r="BJ340" s="21" t="s">
        <v>34</v>
      </c>
      <c r="BK340" s="21" t="s">
        <v>114</v>
      </c>
      <c r="BL340" s="33">
        <v>460000.0</v>
      </c>
    </row>
    <row r="341">
      <c r="A341" s="12">
        <f t="shared" si="1"/>
        <v>339</v>
      </c>
      <c r="B341" s="13" t="s">
        <v>1758</v>
      </c>
      <c r="C341" s="14">
        <v>2.025070175E9</v>
      </c>
      <c r="D341" s="15" t="s">
        <v>1759</v>
      </c>
      <c r="E341" s="15" t="s">
        <v>1760</v>
      </c>
      <c r="F341" s="15" t="s">
        <v>1761</v>
      </c>
      <c r="G341" s="16" t="s">
        <v>532</v>
      </c>
      <c r="H341" s="14" t="s">
        <v>34</v>
      </c>
      <c r="I341" s="14" t="s">
        <v>114</v>
      </c>
      <c r="J341" s="16">
        <v>2.0</v>
      </c>
      <c r="K341" s="16" t="s">
        <v>367</v>
      </c>
      <c r="L341" s="17" t="s">
        <v>1762</v>
      </c>
      <c r="M341" s="15"/>
      <c r="N341" s="15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8"/>
      <c r="BC341" s="18">
        <f t="shared" si="2"/>
        <v>0</v>
      </c>
      <c r="BD341" s="18">
        <f t="shared" si="3"/>
        <v>0</v>
      </c>
      <c r="BE341" s="18">
        <f t="shared" si="4"/>
        <v>0</v>
      </c>
      <c r="BF341" s="18">
        <f t="shared" si="5"/>
        <v>0</v>
      </c>
      <c r="BG341" s="15"/>
      <c r="BH341" s="15"/>
      <c r="BI341" s="15"/>
      <c r="BJ341" s="12" t="s">
        <v>34</v>
      </c>
      <c r="BK341" s="12" t="s">
        <v>114</v>
      </c>
      <c r="BL341" s="32">
        <v>460000.0</v>
      </c>
    </row>
    <row r="342">
      <c r="A342" s="21">
        <f t="shared" si="1"/>
        <v>340</v>
      </c>
      <c r="B342" s="22" t="s">
        <v>1763</v>
      </c>
      <c r="C342" s="23">
        <v>2.025070089E9</v>
      </c>
      <c r="D342" s="24" t="s">
        <v>1764</v>
      </c>
      <c r="E342" s="24" t="s">
        <v>1765</v>
      </c>
      <c r="F342" s="24" t="s">
        <v>1766</v>
      </c>
      <c r="G342" s="25" t="s">
        <v>243</v>
      </c>
      <c r="H342" s="23" t="s">
        <v>34</v>
      </c>
      <c r="I342" s="23" t="s">
        <v>114</v>
      </c>
      <c r="J342" s="25">
        <v>2.0</v>
      </c>
      <c r="K342" s="25" t="s">
        <v>367</v>
      </c>
      <c r="L342" s="26" t="s">
        <v>1767</v>
      </c>
      <c r="M342" s="24"/>
      <c r="N342" s="24"/>
      <c r="O342" s="24"/>
      <c r="P342" s="24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7"/>
      <c r="BC342" s="27">
        <f t="shared" si="2"/>
        <v>0</v>
      </c>
      <c r="BD342" s="27">
        <f t="shared" si="3"/>
        <v>0</v>
      </c>
      <c r="BE342" s="27">
        <f t="shared" si="4"/>
        <v>0</v>
      </c>
      <c r="BF342" s="27">
        <f t="shared" si="5"/>
        <v>0</v>
      </c>
      <c r="BG342" s="24"/>
      <c r="BH342" s="24"/>
      <c r="BI342" s="24"/>
      <c r="BJ342" s="21" t="s">
        <v>34</v>
      </c>
      <c r="BK342" s="21" t="s">
        <v>114</v>
      </c>
      <c r="BL342" s="33">
        <v>460000.0</v>
      </c>
    </row>
    <row r="343">
      <c r="A343" s="12">
        <f t="shared" si="1"/>
        <v>341</v>
      </c>
      <c r="B343" s="13" t="s">
        <v>1768</v>
      </c>
      <c r="C343" s="14">
        <v>2.025070144E9</v>
      </c>
      <c r="D343" s="15" t="s">
        <v>1769</v>
      </c>
      <c r="E343" s="15" t="s">
        <v>1770</v>
      </c>
      <c r="F343" s="15" t="s">
        <v>1771</v>
      </c>
      <c r="G343" s="16" t="s">
        <v>437</v>
      </c>
      <c r="H343" s="14" t="s">
        <v>34</v>
      </c>
      <c r="I343" s="14" t="s">
        <v>114</v>
      </c>
      <c r="J343" s="16">
        <v>2.0</v>
      </c>
      <c r="K343" s="16" t="s">
        <v>367</v>
      </c>
      <c r="L343" s="17" t="s">
        <v>1772</v>
      </c>
      <c r="M343" s="18"/>
      <c r="N343" s="15"/>
      <c r="O343" s="15"/>
      <c r="P343" s="15"/>
      <c r="Q343" s="18"/>
      <c r="R343" s="18"/>
      <c r="S343" s="18"/>
      <c r="T343" s="18"/>
      <c r="U343" s="18">
        <v>450000.0</v>
      </c>
      <c r="V343" s="18">
        <v>450000.0</v>
      </c>
      <c r="W343" s="18">
        <v>450000.0</v>
      </c>
      <c r="X343" s="18">
        <v>450000.0</v>
      </c>
      <c r="Y343" s="18">
        <v>450000.0</v>
      </c>
      <c r="Z343" s="18">
        <v>450000.0</v>
      </c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8"/>
      <c r="BC343" s="18">
        <f t="shared" si="2"/>
        <v>2700000</v>
      </c>
      <c r="BD343" s="18">
        <f t="shared" si="3"/>
        <v>0</v>
      </c>
      <c r="BE343" s="18">
        <f t="shared" si="4"/>
        <v>0</v>
      </c>
      <c r="BF343" s="18">
        <f t="shared" si="5"/>
        <v>2700000</v>
      </c>
      <c r="BG343" s="15"/>
      <c r="BH343" s="15"/>
      <c r="BI343" s="15"/>
      <c r="BJ343" s="12" t="s">
        <v>34</v>
      </c>
      <c r="BK343" s="12" t="s">
        <v>114</v>
      </c>
      <c r="BL343" s="32">
        <v>460000.0</v>
      </c>
    </row>
    <row r="344">
      <c r="A344" s="21">
        <f t="shared" si="1"/>
        <v>342</v>
      </c>
      <c r="B344" s="22" t="s">
        <v>1773</v>
      </c>
      <c r="C344" s="23">
        <v>2.025070231E9</v>
      </c>
      <c r="D344" s="24" t="s">
        <v>1774</v>
      </c>
      <c r="E344" s="24" t="s">
        <v>1775</v>
      </c>
      <c r="F344" s="24" t="s">
        <v>1776</v>
      </c>
      <c r="G344" s="25" t="s">
        <v>1049</v>
      </c>
      <c r="H344" s="23" t="s">
        <v>863</v>
      </c>
      <c r="I344" s="23" t="s">
        <v>864</v>
      </c>
      <c r="J344" s="25">
        <v>2.0</v>
      </c>
      <c r="K344" s="25" t="s">
        <v>638</v>
      </c>
      <c r="L344" s="26" t="s">
        <v>1777</v>
      </c>
      <c r="M344" s="24"/>
      <c r="N344" s="27">
        <v>200000.0</v>
      </c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>
        <v>450000.0</v>
      </c>
      <c r="Z344" s="27">
        <v>450000.0</v>
      </c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7"/>
      <c r="BC344" s="27">
        <f t="shared" si="2"/>
        <v>900000</v>
      </c>
      <c r="BD344" s="27">
        <f t="shared" si="3"/>
        <v>0</v>
      </c>
      <c r="BE344" s="27">
        <f t="shared" si="4"/>
        <v>0</v>
      </c>
      <c r="BF344" s="27">
        <f t="shared" si="5"/>
        <v>900000</v>
      </c>
      <c r="BG344" s="24"/>
      <c r="BH344" s="24"/>
      <c r="BI344" s="24"/>
      <c r="BJ344" s="21" t="s">
        <v>863</v>
      </c>
      <c r="BK344" s="21" t="s">
        <v>864</v>
      </c>
      <c r="BL344" s="33">
        <v>460000.0</v>
      </c>
    </row>
    <row r="345">
      <c r="A345" s="12">
        <f t="shared" si="1"/>
        <v>343</v>
      </c>
      <c r="B345" s="13" t="s">
        <v>1778</v>
      </c>
      <c r="C345" s="14">
        <v>2.025070373E9</v>
      </c>
      <c r="D345" s="15" t="s">
        <v>1005</v>
      </c>
      <c r="E345" s="15" t="s">
        <v>1779</v>
      </c>
      <c r="F345" s="15" t="s">
        <v>1780</v>
      </c>
      <c r="G345" s="16" t="s">
        <v>184</v>
      </c>
      <c r="H345" s="14" t="s">
        <v>863</v>
      </c>
      <c r="I345" s="14" t="s">
        <v>864</v>
      </c>
      <c r="J345" s="16">
        <v>2.0</v>
      </c>
      <c r="K345" s="16" t="s">
        <v>594</v>
      </c>
      <c r="L345" s="17" t="s">
        <v>1781</v>
      </c>
      <c r="M345" s="15"/>
      <c r="N345" s="15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>
        <v>450000.0</v>
      </c>
      <c r="Z345" s="18">
        <v>450000.0</v>
      </c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8"/>
      <c r="BC345" s="18">
        <f t="shared" si="2"/>
        <v>900000</v>
      </c>
      <c r="BD345" s="18">
        <f t="shared" si="3"/>
        <v>0</v>
      </c>
      <c r="BE345" s="18">
        <f t="shared" si="4"/>
        <v>0</v>
      </c>
      <c r="BF345" s="18">
        <f t="shared" si="5"/>
        <v>900000</v>
      </c>
      <c r="BG345" s="15"/>
      <c r="BH345" s="15"/>
      <c r="BI345" s="15"/>
      <c r="BJ345" s="12" t="s">
        <v>863</v>
      </c>
      <c r="BK345" s="12" t="s">
        <v>864</v>
      </c>
      <c r="BL345" s="32">
        <v>460000.0</v>
      </c>
    </row>
    <row r="346">
      <c r="A346" s="21">
        <f t="shared" si="1"/>
        <v>344</v>
      </c>
      <c r="B346" s="22" t="s">
        <v>1782</v>
      </c>
      <c r="C346" s="23">
        <v>2.025070385E9</v>
      </c>
      <c r="D346" s="24" t="s">
        <v>1783</v>
      </c>
      <c r="E346" s="24" t="s">
        <v>1784</v>
      </c>
      <c r="F346" s="24" t="s">
        <v>1785</v>
      </c>
      <c r="G346" s="25" t="s">
        <v>591</v>
      </c>
      <c r="H346" s="23" t="s">
        <v>863</v>
      </c>
      <c r="I346" s="23" t="s">
        <v>864</v>
      </c>
      <c r="J346" s="25">
        <v>2.0</v>
      </c>
      <c r="K346" s="25" t="s">
        <v>1017</v>
      </c>
      <c r="L346" s="26" t="s">
        <v>1786</v>
      </c>
      <c r="M346" s="24"/>
      <c r="N346" s="24"/>
      <c r="O346" s="24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7"/>
      <c r="BC346" s="27">
        <f t="shared" si="2"/>
        <v>0</v>
      </c>
      <c r="BD346" s="27">
        <f t="shared" si="3"/>
        <v>0</v>
      </c>
      <c r="BE346" s="27">
        <f t="shared" si="4"/>
        <v>0</v>
      </c>
      <c r="BF346" s="27">
        <f t="shared" si="5"/>
        <v>0</v>
      </c>
      <c r="BG346" s="24"/>
      <c r="BH346" s="24"/>
      <c r="BI346" s="24"/>
      <c r="BJ346" s="21" t="s">
        <v>863</v>
      </c>
      <c r="BK346" s="21" t="s">
        <v>864</v>
      </c>
      <c r="BL346" s="33">
        <v>460000.0</v>
      </c>
    </row>
    <row r="347">
      <c r="A347" s="12">
        <f t="shared" si="1"/>
        <v>345</v>
      </c>
      <c r="B347" s="13" t="s">
        <v>1787</v>
      </c>
      <c r="C347" s="14">
        <v>2.025070139E9</v>
      </c>
      <c r="D347" s="15" t="s">
        <v>1788</v>
      </c>
      <c r="E347" s="15" t="s">
        <v>1789</v>
      </c>
      <c r="F347" s="15" t="s">
        <v>457</v>
      </c>
      <c r="G347" s="16" t="s">
        <v>361</v>
      </c>
      <c r="H347" s="14" t="s">
        <v>863</v>
      </c>
      <c r="I347" s="14" t="s">
        <v>870</v>
      </c>
      <c r="J347" s="16">
        <v>2.0</v>
      </c>
      <c r="K347" s="16" t="s">
        <v>617</v>
      </c>
      <c r="L347" s="17" t="s">
        <v>1790</v>
      </c>
      <c r="M347" s="15"/>
      <c r="N347" s="15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8"/>
      <c r="BC347" s="18">
        <f t="shared" si="2"/>
        <v>0</v>
      </c>
      <c r="BD347" s="18">
        <f t="shared" si="3"/>
        <v>0</v>
      </c>
      <c r="BE347" s="18">
        <f t="shared" si="4"/>
        <v>0</v>
      </c>
      <c r="BF347" s="18">
        <f t="shared" si="5"/>
        <v>0</v>
      </c>
      <c r="BG347" s="15"/>
      <c r="BH347" s="15"/>
      <c r="BI347" s="15"/>
      <c r="BJ347" s="12" t="s">
        <v>863</v>
      </c>
      <c r="BK347" s="12" t="s">
        <v>870</v>
      </c>
      <c r="BL347" s="32">
        <v>460000.0</v>
      </c>
    </row>
    <row r="348">
      <c r="A348" s="21">
        <f t="shared" si="1"/>
        <v>346</v>
      </c>
      <c r="B348" s="22" t="s">
        <v>1791</v>
      </c>
      <c r="C348" s="23">
        <v>2.025070313E9</v>
      </c>
      <c r="D348" s="24" t="s">
        <v>1792</v>
      </c>
      <c r="E348" s="24" t="s">
        <v>1793</v>
      </c>
      <c r="F348" s="24" t="s">
        <v>1794</v>
      </c>
      <c r="G348" s="25" t="s">
        <v>1049</v>
      </c>
      <c r="H348" s="23" t="s">
        <v>863</v>
      </c>
      <c r="I348" s="23" t="s">
        <v>870</v>
      </c>
      <c r="J348" s="25">
        <v>2.0</v>
      </c>
      <c r="K348" s="25" t="s">
        <v>638</v>
      </c>
      <c r="L348" s="26" t="s">
        <v>1795</v>
      </c>
      <c r="M348" s="24"/>
      <c r="N348" s="24"/>
      <c r="O348" s="24"/>
      <c r="P348" s="24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7"/>
      <c r="BC348" s="27">
        <f t="shared" si="2"/>
        <v>0</v>
      </c>
      <c r="BD348" s="27">
        <f t="shared" si="3"/>
        <v>0</v>
      </c>
      <c r="BE348" s="27">
        <f t="shared" si="4"/>
        <v>0</v>
      </c>
      <c r="BF348" s="27">
        <f t="shared" si="5"/>
        <v>0</v>
      </c>
      <c r="BG348" s="24"/>
      <c r="BH348" s="24"/>
      <c r="BI348" s="24"/>
      <c r="BJ348" s="21" t="s">
        <v>863</v>
      </c>
      <c r="BK348" s="21" t="s">
        <v>870</v>
      </c>
      <c r="BL348" s="33">
        <v>460000.0</v>
      </c>
    </row>
    <row r="349">
      <c r="A349" s="12">
        <f t="shared" si="1"/>
        <v>347</v>
      </c>
      <c r="B349" s="13" t="s">
        <v>1796</v>
      </c>
      <c r="C349" s="14">
        <v>2.025070162E9</v>
      </c>
      <c r="D349" s="15" t="s">
        <v>1797</v>
      </c>
      <c r="E349" s="15" t="s">
        <v>1798</v>
      </c>
      <c r="F349" s="15" t="s">
        <v>1799</v>
      </c>
      <c r="G349" s="16" t="s">
        <v>184</v>
      </c>
      <c r="H349" s="14" t="s">
        <v>863</v>
      </c>
      <c r="I349" s="14" t="s">
        <v>870</v>
      </c>
      <c r="J349" s="16">
        <v>2.0</v>
      </c>
      <c r="K349" s="16" t="s">
        <v>1017</v>
      </c>
      <c r="L349" s="17" t="s">
        <v>1800</v>
      </c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>
        <v>450000.0</v>
      </c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>
        <f t="shared" si="2"/>
        <v>450000</v>
      </c>
      <c r="BD349" s="18">
        <f t="shared" si="3"/>
        <v>0</v>
      </c>
      <c r="BE349" s="18">
        <f t="shared" si="4"/>
        <v>0</v>
      </c>
      <c r="BF349" s="18">
        <f t="shared" si="5"/>
        <v>450000</v>
      </c>
      <c r="BG349" s="15"/>
      <c r="BH349" s="15"/>
      <c r="BI349" s="15"/>
      <c r="BJ349" s="12" t="s">
        <v>863</v>
      </c>
      <c r="BK349" s="12" t="s">
        <v>870</v>
      </c>
      <c r="BL349" s="32">
        <v>460000.0</v>
      </c>
    </row>
    <row r="350">
      <c r="A350" s="21">
        <f t="shared" si="1"/>
        <v>348</v>
      </c>
      <c r="B350" s="22" t="s">
        <v>1801</v>
      </c>
      <c r="C350" s="23">
        <v>2.023080629E9</v>
      </c>
      <c r="D350" s="24" t="s">
        <v>1802</v>
      </c>
      <c r="E350" s="24" t="s">
        <v>1803</v>
      </c>
      <c r="F350" s="24" t="s">
        <v>1804</v>
      </c>
      <c r="G350" s="25" t="s">
        <v>184</v>
      </c>
      <c r="H350" s="23" t="s">
        <v>863</v>
      </c>
      <c r="I350" s="23" t="s">
        <v>870</v>
      </c>
      <c r="J350" s="25">
        <v>2.0</v>
      </c>
      <c r="K350" s="25" t="s">
        <v>594</v>
      </c>
      <c r="L350" s="26" t="s">
        <v>1805</v>
      </c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>
        <f t="shared" si="2"/>
        <v>0</v>
      </c>
      <c r="BD350" s="27">
        <f t="shared" si="3"/>
        <v>0</v>
      </c>
      <c r="BE350" s="27">
        <f t="shared" si="4"/>
        <v>0</v>
      </c>
      <c r="BF350" s="27">
        <f t="shared" si="5"/>
        <v>0</v>
      </c>
      <c r="BG350" s="24"/>
      <c r="BH350" s="24"/>
      <c r="BI350" s="24"/>
      <c r="BJ350" s="21" t="s">
        <v>863</v>
      </c>
      <c r="BK350" s="21" t="s">
        <v>870</v>
      </c>
      <c r="BL350" s="33">
        <v>460000.0</v>
      </c>
    </row>
    <row r="351">
      <c r="A351" s="12">
        <f t="shared" si="1"/>
        <v>349</v>
      </c>
      <c r="B351" s="13" t="s">
        <v>1806</v>
      </c>
      <c r="C351" s="14">
        <v>2.025070177E9</v>
      </c>
      <c r="D351" s="15" t="s">
        <v>1807</v>
      </c>
      <c r="E351" s="15" t="s">
        <v>1808</v>
      </c>
      <c r="F351" s="15" t="s">
        <v>1809</v>
      </c>
      <c r="G351" s="16" t="s">
        <v>33</v>
      </c>
      <c r="H351" s="14" t="s">
        <v>592</v>
      </c>
      <c r="I351" s="14" t="s">
        <v>695</v>
      </c>
      <c r="J351" s="16">
        <v>2.0</v>
      </c>
      <c r="K351" s="16" t="s">
        <v>706</v>
      </c>
      <c r="L351" s="17" t="s">
        <v>1810</v>
      </c>
      <c r="M351" s="18"/>
      <c r="N351" s="18"/>
      <c r="O351" s="18"/>
      <c r="P351" s="18">
        <v>450000.0</v>
      </c>
      <c r="Q351" s="18">
        <v>450000.0</v>
      </c>
      <c r="R351" s="18">
        <v>450000.0</v>
      </c>
      <c r="S351" s="18">
        <v>450000.0</v>
      </c>
      <c r="T351" s="18">
        <v>450000.0</v>
      </c>
      <c r="U351" s="18">
        <v>450000.0</v>
      </c>
      <c r="V351" s="18">
        <v>450000.0</v>
      </c>
      <c r="W351" s="18">
        <v>450000.0</v>
      </c>
      <c r="X351" s="18">
        <v>450000.0</v>
      </c>
      <c r="Y351" s="18">
        <v>450000.0</v>
      </c>
      <c r="Z351" s="18">
        <v>450000.0</v>
      </c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>
        <f t="shared" si="2"/>
        <v>4950000</v>
      </c>
      <c r="BD351" s="18">
        <f t="shared" si="3"/>
        <v>0</v>
      </c>
      <c r="BE351" s="18">
        <f t="shared" si="4"/>
        <v>0</v>
      </c>
      <c r="BF351" s="18">
        <f t="shared" si="5"/>
        <v>4950000</v>
      </c>
      <c r="BG351" s="15"/>
      <c r="BH351" s="15"/>
      <c r="BI351" s="15"/>
      <c r="BJ351" s="12" t="s">
        <v>592</v>
      </c>
      <c r="BK351" s="12" t="s">
        <v>695</v>
      </c>
      <c r="BL351" s="32">
        <v>460000.0</v>
      </c>
    </row>
    <row r="352">
      <c r="A352" s="21">
        <f t="shared" si="1"/>
        <v>350</v>
      </c>
      <c r="B352" s="22" t="s">
        <v>1811</v>
      </c>
      <c r="C352" s="23">
        <v>2.025070103E9</v>
      </c>
      <c r="D352" s="24" t="s">
        <v>1812</v>
      </c>
      <c r="E352" s="24" t="s">
        <v>1813</v>
      </c>
      <c r="F352" s="24" t="s">
        <v>1814</v>
      </c>
      <c r="G352" s="25" t="s">
        <v>184</v>
      </c>
      <c r="H352" s="23" t="s">
        <v>592</v>
      </c>
      <c r="I352" s="23" t="s">
        <v>695</v>
      </c>
      <c r="J352" s="25">
        <v>2.0</v>
      </c>
      <c r="K352" s="25" t="s">
        <v>617</v>
      </c>
      <c r="L352" s="26" t="s">
        <v>1815</v>
      </c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>
        <f t="shared" si="2"/>
        <v>0</v>
      </c>
      <c r="BD352" s="27">
        <f t="shared" si="3"/>
        <v>0</v>
      </c>
      <c r="BE352" s="27">
        <f t="shared" si="4"/>
        <v>0</v>
      </c>
      <c r="BF352" s="27">
        <f t="shared" si="5"/>
        <v>0</v>
      </c>
      <c r="BG352" s="24"/>
      <c r="BH352" s="24"/>
      <c r="BI352" s="24"/>
      <c r="BJ352" s="21" t="s">
        <v>592</v>
      </c>
      <c r="BK352" s="21" t="s">
        <v>695</v>
      </c>
      <c r="BL352" s="33">
        <v>460000.0</v>
      </c>
    </row>
    <row r="353">
      <c r="A353" s="12">
        <f t="shared" si="1"/>
        <v>351</v>
      </c>
      <c r="B353" s="13" t="s">
        <v>1816</v>
      </c>
      <c r="C353" s="14">
        <v>2.025070156E9</v>
      </c>
      <c r="D353" s="15" t="s">
        <v>1817</v>
      </c>
      <c r="E353" s="15" t="s">
        <v>1818</v>
      </c>
      <c r="F353" s="15" t="s">
        <v>1613</v>
      </c>
      <c r="G353" s="16" t="s">
        <v>658</v>
      </c>
      <c r="H353" s="14" t="s">
        <v>592</v>
      </c>
      <c r="I353" s="14" t="s">
        <v>695</v>
      </c>
      <c r="J353" s="16">
        <v>2.0</v>
      </c>
      <c r="K353" s="16" t="s">
        <v>617</v>
      </c>
      <c r="L353" s="17" t="s">
        <v>1819</v>
      </c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>
        <f t="shared" si="2"/>
        <v>0</v>
      </c>
      <c r="BD353" s="18">
        <f t="shared" si="3"/>
        <v>0</v>
      </c>
      <c r="BE353" s="18">
        <f t="shared" si="4"/>
        <v>0</v>
      </c>
      <c r="BF353" s="18">
        <f t="shared" si="5"/>
        <v>0</v>
      </c>
      <c r="BG353" s="15"/>
      <c r="BH353" s="15"/>
      <c r="BI353" s="15"/>
      <c r="BJ353" s="12" t="s">
        <v>592</v>
      </c>
      <c r="BK353" s="12" t="s">
        <v>695</v>
      </c>
      <c r="BL353" s="32">
        <v>460000.0</v>
      </c>
    </row>
    <row r="354">
      <c r="A354" s="21">
        <f t="shared" si="1"/>
        <v>352</v>
      </c>
      <c r="B354" s="22" t="s">
        <v>1820</v>
      </c>
      <c r="C354" s="23">
        <v>2.025070411E9</v>
      </c>
      <c r="D354" s="24" t="s">
        <v>1734</v>
      </c>
      <c r="E354" s="24" t="s">
        <v>1821</v>
      </c>
      <c r="F354" s="24" t="s">
        <v>1822</v>
      </c>
      <c r="G354" s="25" t="s">
        <v>532</v>
      </c>
      <c r="H354" s="23" t="s">
        <v>1527</v>
      </c>
      <c r="I354" s="23" t="s">
        <v>1528</v>
      </c>
      <c r="J354" s="25">
        <v>2.0</v>
      </c>
      <c r="K354" s="25" t="s">
        <v>617</v>
      </c>
      <c r="L354" s="26" t="s">
        <v>1823</v>
      </c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>
        <f t="shared" si="2"/>
        <v>0</v>
      </c>
      <c r="BD354" s="27">
        <f t="shared" si="3"/>
        <v>0</v>
      </c>
      <c r="BE354" s="27">
        <f t="shared" si="4"/>
        <v>0</v>
      </c>
      <c r="BF354" s="27">
        <f t="shared" si="5"/>
        <v>0</v>
      </c>
      <c r="BG354" s="24"/>
      <c r="BH354" s="24"/>
      <c r="BI354" s="24"/>
      <c r="BJ354" s="21" t="s">
        <v>1527</v>
      </c>
      <c r="BK354" s="21" t="s">
        <v>1528</v>
      </c>
      <c r="BL354" s="33">
        <v>510000.0</v>
      </c>
    </row>
    <row r="355">
      <c r="A355" s="12">
        <f t="shared" si="1"/>
        <v>353</v>
      </c>
      <c r="B355" s="13" t="s">
        <v>1824</v>
      </c>
      <c r="C355" s="14">
        <v>2.025090673E9</v>
      </c>
      <c r="D355" s="13" t="s">
        <v>1825</v>
      </c>
      <c r="E355" s="13" t="s">
        <v>1826</v>
      </c>
      <c r="F355" s="13" t="s">
        <v>1827</v>
      </c>
      <c r="G355" s="12" t="e">
        <v>#N/A</v>
      </c>
      <c r="H355" s="14" t="s">
        <v>863</v>
      </c>
      <c r="I355" s="14" t="s">
        <v>881</v>
      </c>
      <c r="J355" s="16">
        <v>2.0</v>
      </c>
      <c r="K355" s="16" t="s">
        <v>627</v>
      </c>
      <c r="L355" s="17" t="s">
        <v>1828</v>
      </c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>
        <v>500000.0</v>
      </c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>
        <f t="shared" si="2"/>
        <v>0</v>
      </c>
      <c r="BD355" s="18">
        <f t="shared" si="3"/>
        <v>500000</v>
      </c>
      <c r="BE355" s="18">
        <f t="shared" si="4"/>
        <v>0</v>
      </c>
      <c r="BF355" s="18">
        <f t="shared" si="5"/>
        <v>500000</v>
      </c>
      <c r="BG355" s="15"/>
      <c r="BH355" s="15"/>
      <c r="BI355" s="15"/>
      <c r="BJ355" s="12" t="s">
        <v>863</v>
      </c>
      <c r="BK355" s="12" t="s">
        <v>881</v>
      </c>
      <c r="BL355" s="32">
        <v>460000.0</v>
      </c>
    </row>
    <row r="356">
      <c r="A356" s="21">
        <f t="shared" si="1"/>
        <v>354</v>
      </c>
      <c r="B356" s="22" t="s">
        <v>1829</v>
      </c>
      <c r="C356" s="23">
        <v>2.02507013E9</v>
      </c>
      <c r="D356" s="24" t="s">
        <v>1830</v>
      </c>
      <c r="E356" s="24" t="s">
        <v>1831</v>
      </c>
      <c r="F356" s="24" t="s">
        <v>55</v>
      </c>
      <c r="G356" s="25" t="s">
        <v>33</v>
      </c>
      <c r="H356" s="23" t="s">
        <v>1527</v>
      </c>
      <c r="I356" s="23" t="s">
        <v>1528</v>
      </c>
      <c r="J356" s="25">
        <v>2.0</v>
      </c>
      <c r="K356" s="25" t="s">
        <v>706</v>
      </c>
      <c r="L356" s="26" t="s">
        <v>1832</v>
      </c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>
        <f t="shared" si="2"/>
        <v>0</v>
      </c>
      <c r="BD356" s="27">
        <f t="shared" si="3"/>
        <v>0</v>
      </c>
      <c r="BE356" s="27">
        <f t="shared" si="4"/>
        <v>0</v>
      </c>
      <c r="BF356" s="27">
        <f t="shared" si="5"/>
        <v>0</v>
      </c>
      <c r="BG356" s="24"/>
      <c r="BH356" s="24"/>
      <c r="BI356" s="24"/>
      <c r="BJ356" s="21" t="s">
        <v>1527</v>
      </c>
      <c r="BK356" s="21" t="s">
        <v>1528</v>
      </c>
      <c r="BL356" s="33">
        <v>510000.0</v>
      </c>
    </row>
    <row r="357">
      <c r="A357" s="12">
        <f t="shared" si="1"/>
        <v>355</v>
      </c>
      <c r="B357" s="13" t="s">
        <v>1833</v>
      </c>
      <c r="C357" s="14">
        <v>2.025070101E9</v>
      </c>
      <c r="D357" s="15" t="s">
        <v>1834</v>
      </c>
      <c r="E357" s="15" t="s">
        <v>1835</v>
      </c>
      <c r="F357" s="15" t="s">
        <v>1836</v>
      </c>
      <c r="G357" s="16" t="s">
        <v>33</v>
      </c>
      <c r="H357" s="14" t="s">
        <v>1527</v>
      </c>
      <c r="I357" s="14" t="s">
        <v>1528</v>
      </c>
      <c r="J357" s="16">
        <v>2.0</v>
      </c>
      <c r="K357" s="16" t="s">
        <v>706</v>
      </c>
      <c r="L357" s="17" t="s">
        <v>1837</v>
      </c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>
        <f t="shared" si="2"/>
        <v>0</v>
      </c>
      <c r="BD357" s="18">
        <f t="shared" si="3"/>
        <v>0</v>
      </c>
      <c r="BE357" s="18">
        <f t="shared" si="4"/>
        <v>0</v>
      </c>
      <c r="BF357" s="18">
        <f t="shared" si="5"/>
        <v>0</v>
      </c>
      <c r="BG357" s="15"/>
      <c r="BH357" s="15"/>
      <c r="BI357" s="15"/>
      <c r="BJ357" s="12" t="s">
        <v>1527</v>
      </c>
      <c r="BK357" s="12" t="s">
        <v>1528</v>
      </c>
      <c r="BL357" s="32">
        <v>510000.0</v>
      </c>
    </row>
    <row r="358">
      <c r="A358" s="21">
        <f t="shared" si="1"/>
        <v>356</v>
      </c>
      <c r="B358" s="22" t="s">
        <v>1838</v>
      </c>
      <c r="C358" s="23">
        <v>2.02507021E9</v>
      </c>
      <c r="D358" s="24" t="s">
        <v>1839</v>
      </c>
      <c r="E358" s="24" t="s">
        <v>1840</v>
      </c>
      <c r="F358" s="24" t="s">
        <v>1841</v>
      </c>
      <c r="G358" s="25" t="s">
        <v>532</v>
      </c>
      <c r="H358" s="23" t="s">
        <v>1527</v>
      </c>
      <c r="I358" s="23" t="s">
        <v>1528</v>
      </c>
      <c r="J358" s="25">
        <v>2.0</v>
      </c>
      <c r="K358" s="25" t="s">
        <v>617</v>
      </c>
      <c r="L358" s="26" t="s">
        <v>1842</v>
      </c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>
        <v>500000.0</v>
      </c>
      <c r="Z358" s="27">
        <v>500000.0</v>
      </c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>
        <f t="shared" si="2"/>
        <v>1000000</v>
      </c>
      <c r="BD358" s="27">
        <f t="shared" si="3"/>
        <v>0</v>
      </c>
      <c r="BE358" s="27">
        <f t="shared" si="4"/>
        <v>0</v>
      </c>
      <c r="BF358" s="27">
        <f t="shared" si="5"/>
        <v>1000000</v>
      </c>
      <c r="BG358" s="24"/>
      <c r="BH358" s="24"/>
      <c r="BI358" s="24"/>
      <c r="BJ358" s="21" t="s">
        <v>1527</v>
      </c>
      <c r="BK358" s="21" t="s">
        <v>1528</v>
      </c>
      <c r="BL358" s="33">
        <v>510000.0</v>
      </c>
    </row>
    <row r="359">
      <c r="A359" s="12">
        <f t="shared" si="1"/>
        <v>357</v>
      </c>
      <c r="B359" s="13" t="s">
        <v>1843</v>
      </c>
      <c r="C359" s="14">
        <v>2.025070024E9</v>
      </c>
      <c r="D359" s="15" t="s">
        <v>1844</v>
      </c>
      <c r="E359" s="15" t="s">
        <v>1845</v>
      </c>
      <c r="F359" s="15" t="s">
        <v>1846</v>
      </c>
      <c r="G359" s="16" t="s">
        <v>437</v>
      </c>
      <c r="H359" s="14" t="s">
        <v>1527</v>
      </c>
      <c r="I359" s="14" t="s">
        <v>1544</v>
      </c>
      <c r="J359" s="16">
        <v>2.0</v>
      </c>
      <c r="K359" s="16" t="s">
        <v>617</v>
      </c>
      <c r="L359" s="17" t="s">
        <v>1847</v>
      </c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>
        <f t="shared" si="2"/>
        <v>0</v>
      </c>
      <c r="BD359" s="18">
        <f t="shared" si="3"/>
        <v>0</v>
      </c>
      <c r="BE359" s="18">
        <f t="shared" si="4"/>
        <v>0</v>
      </c>
      <c r="BF359" s="18">
        <f t="shared" si="5"/>
        <v>0</v>
      </c>
      <c r="BG359" s="15"/>
      <c r="BH359" s="15"/>
      <c r="BI359" s="15"/>
      <c r="BJ359" s="12" t="s">
        <v>1527</v>
      </c>
      <c r="BK359" s="12" t="s">
        <v>1544</v>
      </c>
      <c r="BL359" s="32">
        <v>510000.0</v>
      </c>
    </row>
    <row r="360">
      <c r="A360" s="21">
        <f t="shared" si="1"/>
        <v>358</v>
      </c>
      <c r="B360" s="22" t="s">
        <v>1848</v>
      </c>
      <c r="C360" s="23">
        <v>2.025070199E9</v>
      </c>
      <c r="D360" s="24" t="s">
        <v>1849</v>
      </c>
      <c r="E360" s="24" t="s">
        <v>1850</v>
      </c>
      <c r="F360" s="24" t="s">
        <v>1851</v>
      </c>
      <c r="G360" s="25" t="s">
        <v>33</v>
      </c>
      <c r="H360" s="23" t="s">
        <v>1527</v>
      </c>
      <c r="I360" s="23" t="s">
        <v>1544</v>
      </c>
      <c r="J360" s="25">
        <v>2.0</v>
      </c>
      <c r="K360" s="25" t="s">
        <v>706</v>
      </c>
      <c r="L360" s="26" t="s">
        <v>1852</v>
      </c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>
        <f t="shared" si="2"/>
        <v>0</v>
      </c>
      <c r="BD360" s="27">
        <f t="shared" si="3"/>
        <v>0</v>
      </c>
      <c r="BE360" s="27">
        <f t="shared" si="4"/>
        <v>0</v>
      </c>
      <c r="BF360" s="27">
        <f t="shared" si="5"/>
        <v>0</v>
      </c>
      <c r="BG360" s="24"/>
      <c r="BH360" s="24"/>
      <c r="BI360" s="24"/>
      <c r="BJ360" s="21" t="s">
        <v>1527</v>
      </c>
      <c r="BK360" s="21" t="s">
        <v>1544</v>
      </c>
      <c r="BL360" s="33">
        <v>510000.0</v>
      </c>
    </row>
    <row r="361">
      <c r="A361" s="12">
        <f t="shared" si="1"/>
        <v>359</v>
      </c>
      <c r="B361" s="13" t="s">
        <v>1853</v>
      </c>
      <c r="C361" s="14">
        <v>2.025090674E9</v>
      </c>
      <c r="D361" s="13" t="s">
        <v>1854</v>
      </c>
      <c r="E361" s="13" t="s">
        <v>1855</v>
      </c>
      <c r="F361" s="13" t="s">
        <v>1856</v>
      </c>
      <c r="G361" s="16" t="s">
        <v>776</v>
      </c>
      <c r="H361" s="14" t="s">
        <v>863</v>
      </c>
      <c r="I361" s="14" t="s">
        <v>1857</v>
      </c>
      <c r="J361" s="16">
        <v>2.0</v>
      </c>
      <c r="K361" s="14" t="s">
        <v>777</v>
      </c>
      <c r="L361" s="17" t="s">
        <v>1858</v>
      </c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>
        <v>500000.0</v>
      </c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>
        <v>500000.0</v>
      </c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>
        <f t="shared" si="2"/>
        <v>0</v>
      </c>
      <c r="BD361" s="18">
        <f t="shared" si="3"/>
        <v>1000000</v>
      </c>
      <c r="BE361" s="18">
        <f t="shared" si="4"/>
        <v>0</v>
      </c>
      <c r="BF361" s="18">
        <f t="shared" si="5"/>
        <v>1000000</v>
      </c>
      <c r="BG361" s="15"/>
      <c r="BH361" s="15"/>
      <c r="BI361" s="15"/>
      <c r="BJ361" s="12" t="s">
        <v>863</v>
      </c>
      <c r="BK361" s="12" t="s">
        <v>1857</v>
      </c>
      <c r="BL361" s="32">
        <v>460000.0</v>
      </c>
    </row>
    <row r="362">
      <c r="A362" s="21">
        <f t="shared" si="1"/>
        <v>360</v>
      </c>
      <c r="B362" s="22" t="s">
        <v>1859</v>
      </c>
      <c r="C362" s="23">
        <v>2.025070277E9</v>
      </c>
      <c r="D362" s="22" t="s">
        <v>1860</v>
      </c>
      <c r="E362" s="22" t="s">
        <v>1861</v>
      </c>
      <c r="F362" s="22" t="s">
        <v>973</v>
      </c>
      <c r="G362" s="25" t="s">
        <v>184</v>
      </c>
      <c r="H362" s="23" t="s">
        <v>863</v>
      </c>
      <c r="I362" s="23" t="s">
        <v>1857</v>
      </c>
      <c r="J362" s="25">
        <v>2.0</v>
      </c>
      <c r="K362" s="25" t="s">
        <v>617</v>
      </c>
      <c r="L362" s="26" t="s">
        <v>1862</v>
      </c>
      <c r="M362" s="24"/>
      <c r="N362" s="24"/>
      <c r="O362" s="24"/>
      <c r="P362" s="24"/>
      <c r="Q362" s="24"/>
      <c r="R362" s="27"/>
      <c r="S362" s="27"/>
      <c r="T362" s="27"/>
      <c r="U362" s="27"/>
      <c r="V362" s="27"/>
      <c r="W362" s="27"/>
      <c r="X362" s="27"/>
      <c r="Y362" s="27"/>
      <c r="Z362" s="27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7"/>
      <c r="BC362" s="27">
        <f t="shared" si="2"/>
        <v>0</v>
      </c>
      <c r="BD362" s="27">
        <f t="shared" si="3"/>
        <v>0</v>
      </c>
      <c r="BE362" s="27">
        <f t="shared" si="4"/>
        <v>0</v>
      </c>
      <c r="BF362" s="27">
        <f t="shared" si="5"/>
        <v>0</v>
      </c>
      <c r="BG362" s="24"/>
      <c r="BH362" s="24"/>
      <c r="BI362" s="24"/>
      <c r="BJ362" s="21" t="s">
        <v>863</v>
      </c>
      <c r="BK362" s="21" t="s">
        <v>1857</v>
      </c>
      <c r="BL362" s="33">
        <v>460000.0</v>
      </c>
    </row>
    <row r="363">
      <c r="A363" s="12">
        <f t="shared" si="1"/>
        <v>361</v>
      </c>
      <c r="B363" s="13" t="s">
        <v>1863</v>
      </c>
      <c r="C363" s="14">
        <v>2.025100677E9</v>
      </c>
      <c r="D363" s="13" t="s">
        <v>1864</v>
      </c>
      <c r="E363" s="13" t="s">
        <v>1865</v>
      </c>
      <c r="F363" s="13" t="s">
        <v>1866</v>
      </c>
      <c r="G363" s="16" t="s">
        <v>33</v>
      </c>
      <c r="H363" s="14" t="s">
        <v>34</v>
      </c>
      <c r="I363" s="14" t="s">
        <v>43</v>
      </c>
      <c r="J363" s="16">
        <v>2.0</v>
      </c>
      <c r="K363" s="16" t="s">
        <v>36</v>
      </c>
      <c r="L363" s="17" t="s">
        <v>1867</v>
      </c>
      <c r="M363" s="15"/>
      <c r="N363" s="15"/>
      <c r="O363" s="15"/>
      <c r="P363" s="15"/>
      <c r="Q363" s="15"/>
      <c r="R363" s="15"/>
      <c r="S363" s="18"/>
      <c r="T363" s="18"/>
      <c r="U363" s="18"/>
      <c r="V363" s="18"/>
      <c r="W363" s="18"/>
      <c r="X363" s="18"/>
      <c r="Y363" s="18"/>
      <c r="Z363" s="18">
        <v>450000.0</v>
      </c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8">
        <f t="shared" si="2"/>
        <v>450000</v>
      </c>
      <c r="BD363" s="18">
        <f t="shared" si="3"/>
        <v>0</v>
      </c>
      <c r="BE363" s="18">
        <f t="shared" si="4"/>
        <v>0</v>
      </c>
      <c r="BF363" s="18">
        <f t="shared" si="5"/>
        <v>450000</v>
      </c>
      <c r="BG363" s="15"/>
      <c r="BH363" s="15"/>
      <c r="BI363" s="15"/>
      <c r="BJ363" s="12" t="s">
        <v>34</v>
      </c>
      <c r="BK363" s="12" t="s">
        <v>43</v>
      </c>
      <c r="BL363" s="32">
        <v>460000.0</v>
      </c>
    </row>
    <row r="364">
      <c r="A364" s="21">
        <f t="shared" si="1"/>
        <v>362</v>
      </c>
      <c r="B364" s="22" t="s">
        <v>1868</v>
      </c>
      <c r="C364" s="23">
        <v>2.025110682E9</v>
      </c>
      <c r="D364" s="22" t="s">
        <v>1869</v>
      </c>
      <c r="E364" s="22" t="s">
        <v>1870</v>
      </c>
      <c r="F364" s="22" t="s">
        <v>242</v>
      </c>
      <c r="G364" s="25" t="s">
        <v>658</v>
      </c>
      <c r="H364" s="23" t="s">
        <v>592</v>
      </c>
      <c r="I364" s="23" t="s">
        <v>593</v>
      </c>
      <c r="J364" s="25">
        <v>2.0</v>
      </c>
      <c r="K364" s="25" t="s">
        <v>594</v>
      </c>
      <c r="L364" s="26" t="s">
        <v>1871</v>
      </c>
      <c r="M364" s="24"/>
      <c r="N364" s="24"/>
      <c r="O364" s="24"/>
      <c r="P364" s="24"/>
      <c r="Q364" s="24"/>
      <c r="R364" s="24"/>
      <c r="S364" s="24"/>
      <c r="T364" s="27"/>
      <c r="U364" s="27"/>
      <c r="V364" s="27"/>
      <c r="W364" s="27"/>
      <c r="X364" s="27"/>
      <c r="Y364" s="27"/>
      <c r="Z364" s="27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7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4"/>
      <c r="BC364" s="27">
        <f t="shared" si="2"/>
        <v>0</v>
      </c>
      <c r="BD364" s="27">
        <f t="shared" si="3"/>
        <v>0</v>
      </c>
      <c r="BE364" s="27">
        <f t="shared" si="4"/>
        <v>0</v>
      </c>
      <c r="BF364" s="27">
        <f t="shared" si="5"/>
        <v>0</v>
      </c>
      <c r="BG364" s="24"/>
      <c r="BH364" s="24"/>
      <c r="BI364" s="24"/>
      <c r="BJ364" s="21" t="s">
        <v>592</v>
      </c>
      <c r="BK364" s="21" t="s">
        <v>593</v>
      </c>
      <c r="BL364" s="33">
        <v>460000.0</v>
      </c>
    </row>
    <row r="365">
      <c r="A365" s="12">
        <f t="shared" si="1"/>
        <v>363</v>
      </c>
      <c r="B365" s="13" t="s">
        <v>1872</v>
      </c>
      <c r="C365" s="14">
        <v>2.025110683E9</v>
      </c>
      <c r="D365" s="13" t="s">
        <v>1873</v>
      </c>
      <c r="E365" s="13" t="s">
        <v>1874</v>
      </c>
      <c r="F365" s="13" t="s">
        <v>1875</v>
      </c>
      <c r="G365" s="12" t="e">
        <v>#N/A</v>
      </c>
      <c r="H365" s="14" t="s">
        <v>863</v>
      </c>
      <c r="I365" s="14" t="s">
        <v>1857</v>
      </c>
      <c r="J365" s="16">
        <v>2.0</v>
      </c>
      <c r="K365" s="16" t="s">
        <v>602</v>
      </c>
      <c r="L365" s="17" t="s">
        <v>1876</v>
      </c>
      <c r="M365" s="15"/>
      <c r="N365" s="15"/>
      <c r="O365" s="15"/>
      <c r="P365" s="15"/>
      <c r="Q365" s="15"/>
      <c r="R365" s="15"/>
      <c r="S365" s="15"/>
      <c r="T365" s="15"/>
      <c r="U365" s="18">
        <v>450000.0</v>
      </c>
      <c r="V365" s="18">
        <v>450000.0</v>
      </c>
      <c r="W365" s="18">
        <v>450000.0</v>
      </c>
      <c r="X365" s="18">
        <v>450000.0</v>
      </c>
      <c r="Y365" s="18">
        <v>450000.0</v>
      </c>
      <c r="Z365" s="18">
        <v>450000.0</v>
      </c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8">
        <f t="shared" si="2"/>
        <v>2700000</v>
      </c>
      <c r="BD365" s="18">
        <f t="shared" si="3"/>
        <v>0</v>
      </c>
      <c r="BE365" s="18">
        <f t="shared" si="4"/>
        <v>0</v>
      </c>
      <c r="BF365" s="18">
        <f t="shared" si="5"/>
        <v>2700000</v>
      </c>
      <c r="BG365" s="15"/>
      <c r="BH365" s="15"/>
      <c r="BI365" s="15"/>
      <c r="BJ365" s="12" t="s">
        <v>863</v>
      </c>
      <c r="BK365" s="12" t="s">
        <v>1857</v>
      </c>
      <c r="BL365" s="32">
        <v>460000.0</v>
      </c>
    </row>
    <row r="366">
      <c r="A366" s="21">
        <f t="shared" si="1"/>
        <v>364</v>
      </c>
      <c r="B366" s="22" t="s">
        <v>1877</v>
      </c>
      <c r="C366" s="23">
        <v>2.026010001E9</v>
      </c>
      <c r="D366" s="24"/>
      <c r="E366" s="24"/>
      <c r="F366" s="24"/>
      <c r="G366" s="25" t="s">
        <v>658</v>
      </c>
      <c r="H366" s="23" t="s">
        <v>592</v>
      </c>
      <c r="I366" s="23" t="s">
        <v>593</v>
      </c>
      <c r="J366" s="25">
        <v>2.0</v>
      </c>
      <c r="K366" s="21"/>
      <c r="L366" s="26"/>
      <c r="M366" s="24"/>
      <c r="N366" s="24"/>
      <c r="O366" s="24"/>
      <c r="P366" s="24"/>
      <c r="Q366" s="24"/>
      <c r="R366" s="24"/>
      <c r="S366" s="24"/>
      <c r="T366" s="24"/>
      <c r="U366" s="24"/>
      <c r="V366" s="27"/>
      <c r="W366" s="27">
        <v>450000.0</v>
      </c>
      <c r="X366" s="27">
        <v>450000.0</v>
      </c>
      <c r="Y366" s="27">
        <v>450000.0</v>
      </c>
      <c r="Z366" s="27">
        <v>450000.0</v>
      </c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4"/>
      <c r="BC366" s="27">
        <f t="shared" si="2"/>
        <v>1800000</v>
      </c>
      <c r="BD366" s="27">
        <f t="shared" si="3"/>
        <v>0</v>
      </c>
      <c r="BE366" s="27">
        <f t="shared" si="4"/>
        <v>0</v>
      </c>
      <c r="BF366" s="27">
        <f t="shared" si="5"/>
        <v>1800000</v>
      </c>
      <c r="BG366" s="22" t="s">
        <v>27</v>
      </c>
      <c r="BH366" s="24"/>
      <c r="BI366" s="24"/>
      <c r="BJ366" s="21" t="s">
        <v>592</v>
      </c>
      <c r="BK366" s="21" t="s">
        <v>593</v>
      </c>
      <c r="BL366" s="33">
        <v>460000.0</v>
      </c>
    </row>
    <row r="367">
      <c r="A367" s="12">
        <f t="shared" si="1"/>
        <v>365</v>
      </c>
      <c r="B367" s="13" t="s">
        <v>1878</v>
      </c>
      <c r="C367" s="14">
        <v>2.026010002E9</v>
      </c>
      <c r="D367" s="15"/>
      <c r="E367" s="15"/>
      <c r="F367" s="15"/>
      <c r="G367" s="16" t="s">
        <v>658</v>
      </c>
      <c r="H367" s="14" t="s">
        <v>863</v>
      </c>
      <c r="I367" s="14" t="s">
        <v>1857</v>
      </c>
      <c r="J367" s="16">
        <v>2.0</v>
      </c>
      <c r="K367" s="12"/>
      <c r="L367" s="17"/>
      <c r="M367" s="13"/>
      <c r="N367" s="15"/>
      <c r="O367" s="15"/>
      <c r="P367" s="15"/>
      <c r="Q367" s="15"/>
      <c r="R367" s="15"/>
      <c r="S367" s="15"/>
      <c r="T367" s="15"/>
      <c r="U367" s="15"/>
      <c r="V367" s="18"/>
      <c r="W367" s="15"/>
      <c r="X367" s="15"/>
      <c r="Y367" s="15"/>
      <c r="Z367" s="15"/>
      <c r="AA367" s="15"/>
      <c r="AB367" s="18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8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8">
        <f t="shared" si="2"/>
        <v>0</v>
      </c>
      <c r="BD367" s="18">
        <f t="shared" si="3"/>
        <v>0</v>
      </c>
      <c r="BE367" s="18">
        <f t="shared" si="4"/>
        <v>0</v>
      </c>
      <c r="BF367" s="18">
        <f t="shared" si="5"/>
        <v>0</v>
      </c>
      <c r="BG367" s="15"/>
      <c r="BH367" s="15"/>
      <c r="BI367" s="15"/>
      <c r="BJ367" s="12" t="s">
        <v>863</v>
      </c>
      <c r="BK367" s="12" t="s">
        <v>1857</v>
      </c>
      <c r="BL367" s="32">
        <v>460000.0</v>
      </c>
    </row>
    <row r="368">
      <c r="A368" s="21" t="str">
        <f t="shared" si="1"/>
        <v/>
      </c>
      <c r="B368" s="24"/>
      <c r="C368" s="21"/>
      <c r="D368" s="24"/>
      <c r="E368" s="24"/>
      <c r="F368" s="24"/>
      <c r="G368" s="21"/>
      <c r="H368" s="21"/>
      <c r="I368" s="21"/>
      <c r="J368" s="21"/>
      <c r="K368" s="21"/>
      <c r="L368" s="26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4"/>
      <c r="BC368" s="24"/>
      <c r="BD368" s="24"/>
      <c r="BE368" s="24"/>
      <c r="BF368" s="24"/>
      <c r="BG368" s="24"/>
      <c r="BH368" s="24"/>
      <c r="BI368" s="24"/>
      <c r="BJ368" s="21"/>
      <c r="BK368" s="21"/>
      <c r="BL368" s="30"/>
    </row>
    <row r="369">
      <c r="A369" s="12" t="str">
        <f t="shared" si="1"/>
        <v/>
      </c>
      <c r="B369" s="15"/>
      <c r="C369" s="12"/>
      <c r="D369" s="15"/>
      <c r="E369" s="15"/>
      <c r="F369" s="15"/>
      <c r="G369" s="12"/>
      <c r="H369" s="12"/>
      <c r="I369" s="12"/>
      <c r="J369" s="12"/>
      <c r="K369" s="12"/>
      <c r="L369" s="17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2"/>
      <c r="BK369" s="12"/>
      <c r="BL369" s="31"/>
    </row>
    <row r="370">
      <c r="A370" s="21" t="str">
        <f t="shared" si="1"/>
        <v/>
      </c>
      <c r="B370" s="24"/>
      <c r="C370" s="21"/>
      <c r="D370" s="24"/>
      <c r="E370" s="24"/>
      <c r="F370" s="24"/>
      <c r="G370" s="21"/>
      <c r="H370" s="21"/>
      <c r="I370" s="21"/>
      <c r="J370" s="21"/>
      <c r="K370" s="21"/>
      <c r="L370" s="26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4"/>
      <c r="BC370" s="24"/>
      <c r="BD370" s="24"/>
      <c r="BE370" s="24"/>
      <c r="BF370" s="24"/>
      <c r="BG370" s="24"/>
      <c r="BH370" s="24"/>
      <c r="BI370" s="24"/>
      <c r="BJ370" s="21"/>
      <c r="BK370" s="21"/>
      <c r="BL370" s="30"/>
    </row>
    <row r="371">
      <c r="A371" s="12" t="str">
        <f t="shared" si="1"/>
        <v/>
      </c>
      <c r="B371" s="15"/>
      <c r="C371" s="12"/>
      <c r="D371" s="15"/>
      <c r="E371" s="15"/>
      <c r="F371" s="15"/>
      <c r="G371" s="12"/>
      <c r="H371" s="12"/>
      <c r="I371" s="12"/>
      <c r="J371" s="12"/>
      <c r="K371" s="12"/>
      <c r="L371" s="17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2"/>
      <c r="BK371" s="12"/>
      <c r="BL371" s="31"/>
    </row>
    <row r="372">
      <c r="A372" s="21" t="str">
        <f t="shared" si="1"/>
        <v/>
      </c>
      <c r="B372" s="24"/>
      <c r="C372" s="21"/>
      <c r="D372" s="24"/>
      <c r="E372" s="24"/>
      <c r="F372" s="24"/>
      <c r="G372" s="21"/>
      <c r="H372" s="21"/>
      <c r="I372" s="21"/>
      <c r="J372" s="21"/>
      <c r="K372" s="21"/>
      <c r="L372" s="26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4"/>
      <c r="BC372" s="24"/>
      <c r="BD372" s="24"/>
      <c r="BE372" s="24"/>
      <c r="BF372" s="24"/>
      <c r="BG372" s="24"/>
      <c r="BH372" s="24"/>
      <c r="BI372" s="24"/>
      <c r="BJ372" s="21"/>
      <c r="BK372" s="21"/>
      <c r="BL372" s="30"/>
    </row>
    <row r="373">
      <c r="A373" s="12" t="str">
        <f t="shared" si="1"/>
        <v/>
      </c>
      <c r="B373" s="15"/>
      <c r="C373" s="12"/>
      <c r="D373" s="15"/>
      <c r="E373" s="15"/>
      <c r="F373" s="15"/>
      <c r="G373" s="12"/>
      <c r="H373" s="12"/>
      <c r="I373" s="12"/>
      <c r="J373" s="12"/>
      <c r="K373" s="12"/>
      <c r="L373" s="17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2"/>
      <c r="BK373" s="12"/>
      <c r="BL373" s="31"/>
    </row>
    <row r="374">
      <c r="A374" s="21" t="str">
        <f t="shared" si="1"/>
        <v/>
      </c>
      <c r="B374" s="24"/>
      <c r="C374" s="21"/>
      <c r="D374" s="24"/>
      <c r="E374" s="24"/>
      <c r="F374" s="24"/>
      <c r="G374" s="21"/>
      <c r="H374" s="21"/>
      <c r="I374" s="21"/>
      <c r="J374" s="21"/>
      <c r="K374" s="21"/>
      <c r="L374" s="26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4"/>
      <c r="BC374" s="24"/>
      <c r="BD374" s="24"/>
      <c r="BE374" s="24"/>
      <c r="BF374" s="24"/>
      <c r="BG374" s="24"/>
      <c r="BH374" s="24"/>
      <c r="BI374" s="24"/>
      <c r="BJ374" s="21"/>
      <c r="BK374" s="21"/>
      <c r="BL374" s="30"/>
    </row>
    <row r="375">
      <c r="A375" s="12" t="str">
        <f t="shared" si="1"/>
        <v/>
      </c>
      <c r="B375" s="15"/>
      <c r="C375" s="12"/>
      <c r="D375" s="15"/>
      <c r="E375" s="15"/>
      <c r="F375" s="15"/>
      <c r="G375" s="12"/>
      <c r="H375" s="12"/>
      <c r="I375" s="12"/>
      <c r="J375" s="12"/>
      <c r="K375" s="12"/>
      <c r="L375" s="17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2"/>
      <c r="BK375" s="12"/>
      <c r="BL375" s="31"/>
    </row>
    <row r="376">
      <c r="A376" s="21" t="str">
        <f t="shared" si="1"/>
        <v/>
      </c>
      <c r="B376" s="24"/>
      <c r="C376" s="21"/>
      <c r="D376" s="24"/>
      <c r="E376" s="24"/>
      <c r="F376" s="24"/>
      <c r="G376" s="21"/>
      <c r="H376" s="21"/>
      <c r="I376" s="21"/>
      <c r="J376" s="21"/>
      <c r="K376" s="21"/>
      <c r="L376" s="26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4"/>
      <c r="BC376" s="24"/>
      <c r="BD376" s="24"/>
      <c r="BE376" s="24"/>
      <c r="BF376" s="24"/>
      <c r="BG376" s="24"/>
      <c r="BH376" s="24"/>
      <c r="BI376" s="24"/>
      <c r="BJ376" s="21"/>
      <c r="BK376" s="21"/>
      <c r="BL376" s="30"/>
    </row>
    <row r="377">
      <c r="A377" s="12" t="str">
        <f t="shared" si="1"/>
        <v/>
      </c>
      <c r="B377" s="15"/>
      <c r="C377" s="12"/>
      <c r="D377" s="15"/>
      <c r="E377" s="15"/>
      <c r="F377" s="15"/>
      <c r="G377" s="12"/>
      <c r="H377" s="12"/>
      <c r="I377" s="12"/>
      <c r="J377" s="12"/>
      <c r="K377" s="12"/>
      <c r="L377" s="17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2"/>
      <c r="BK377" s="12"/>
      <c r="BL377" s="31"/>
    </row>
    <row r="378">
      <c r="A378" s="21" t="str">
        <f t="shared" si="1"/>
        <v/>
      </c>
      <c r="B378" s="24"/>
      <c r="C378" s="21"/>
      <c r="D378" s="24"/>
      <c r="E378" s="24"/>
      <c r="F378" s="24"/>
      <c r="G378" s="21"/>
      <c r="H378" s="21"/>
      <c r="I378" s="21"/>
      <c r="J378" s="21"/>
      <c r="K378" s="21"/>
      <c r="L378" s="26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4"/>
      <c r="BC378" s="24"/>
      <c r="BD378" s="24"/>
      <c r="BE378" s="24"/>
      <c r="BF378" s="24"/>
      <c r="BG378" s="24"/>
      <c r="BH378" s="24"/>
      <c r="BI378" s="24"/>
      <c r="BJ378" s="21"/>
      <c r="BK378" s="21"/>
      <c r="BL378" s="30"/>
    </row>
    <row r="379">
      <c r="A379" s="12" t="str">
        <f t="shared" si="1"/>
        <v/>
      </c>
      <c r="B379" s="15"/>
      <c r="C379" s="12"/>
      <c r="D379" s="15"/>
      <c r="E379" s="15"/>
      <c r="F379" s="15"/>
      <c r="G379" s="12"/>
      <c r="H379" s="12"/>
      <c r="I379" s="12"/>
      <c r="J379" s="12"/>
      <c r="K379" s="12"/>
      <c r="L379" s="17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2"/>
      <c r="BK379" s="12"/>
      <c r="BL379" s="31"/>
    </row>
    <row r="380">
      <c r="A380" s="21" t="str">
        <f t="shared" si="1"/>
        <v/>
      </c>
      <c r="B380" s="24"/>
      <c r="C380" s="21"/>
      <c r="D380" s="24"/>
      <c r="E380" s="24"/>
      <c r="F380" s="24"/>
      <c r="G380" s="21"/>
      <c r="H380" s="21"/>
      <c r="I380" s="21"/>
      <c r="J380" s="21"/>
      <c r="K380" s="21"/>
      <c r="L380" s="26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4"/>
      <c r="BC380" s="24"/>
      <c r="BD380" s="24"/>
      <c r="BE380" s="24"/>
      <c r="BF380" s="24"/>
      <c r="BG380" s="24"/>
      <c r="BH380" s="24"/>
      <c r="BI380" s="24"/>
      <c r="BJ380" s="21"/>
      <c r="BK380" s="21"/>
      <c r="BL380" s="30"/>
    </row>
    <row r="381">
      <c r="A381" s="12" t="str">
        <f t="shared" si="1"/>
        <v/>
      </c>
      <c r="B381" s="15"/>
      <c r="C381" s="12"/>
      <c r="D381" s="15"/>
      <c r="E381" s="15"/>
      <c r="F381" s="15"/>
      <c r="G381" s="12"/>
      <c r="H381" s="12"/>
      <c r="I381" s="12"/>
      <c r="J381" s="12"/>
      <c r="K381" s="12"/>
      <c r="L381" s="17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2"/>
      <c r="BK381" s="12"/>
      <c r="BL381" s="31"/>
    </row>
    <row r="382">
      <c r="A382" s="21" t="str">
        <f t="shared" si="1"/>
        <v/>
      </c>
      <c r="B382" s="24"/>
      <c r="C382" s="21"/>
      <c r="D382" s="24"/>
      <c r="E382" s="24"/>
      <c r="F382" s="24"/>
      <c r="G382" s="21"/>
      <c r="H382" s="21"/>
      <c r="I382" s="21"/>
      <c r="J382" s="21"/>
      <c r="K382" s="21"/>
      <c r="L382" s="26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4"/>
      <c r="BC382" s="24"/>
      <c r="BD382" s="24"/>
      <c r="BE382" s="24"/>
      <c r="BF382" s="24"/>
      <c r="BG382" s="24"/>
      <c r="BH382" s="24"/>
      <c r="BI382" s="24"/>
      <c r="BJ382" s="21"/>
      <c r="BK382" s="21"/>
      <c r="BL382" s="30"/>
    </row>
    <row r="383">
      <c r="A383" s="12" t="str">
        <f t="shared" si="1"/>
        <v/>
      </c>
      <c r="B383" s="15"/>
      <c r="C383" s="12"/>
      <c r="D383" s="15"/>
      <c r="E383" s="15"/>
      <c r="F383" s="15"/>
      <c r="G383" s="12"/>
      <c r="H383" s="12"/>
      <c r="I383" s="12"/>
      <c r="J383" s="12"/>
      <c r="K383" s="12"/>
      <c r="L383" s="17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2"/>
      <c r="BK383" s="12"/>
      <c r="BL383" s="31"/>
    </row>
    <row r="384">
      <c r="A384" s="21" t="str">
        <f t="shared" si="1"/>
        <v/>
      </c>
      <c r="B384" s="24"/>
      <c r="C384" s="21"/>
      <c r="D384" s="24"/>
      <c r="E384" s="24"/>
      <c r="F384" s="24"/>
      <c r="G384" s="21"/>
      <c r="H384" s="21"/>
      <c r="I384" s="21"/>
      <c r="J384" s="21"/>
      <c r="K384" s="21"/>
      <c r="L384" s="26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4"/>
      <c r="BC384" s="24"/>
      <c r="BD384" s="24"/>
      <c r="BE384" s="24"/>
      <c r="BF384" s="24"/>
      <c r="BG384" s="24"/>
      <c r="BH384" s="24"/>
      <c r="BI384" s="24"/>
      <c r="BJ384" s="21"/>
      <c r="BK384" s="21"/>
      <c r="BL384" s="30"/>
    </row>
    <row r="385">
      <c r="A385" s="12" t="str">
        <f t="shared" si="1"/>
        <v/>
      </c>
      <c r="B385" s="15"/>
      <c r="C385" s="12"/>
      <c r="D385" s="15"/>
      <c r="E385" s="15"/>
      <c r="F385" s="15"/>
      <c r="G385" s="12"/>
      <c r="H385" s="12"/>
      <c r="I385" s="12"/>
      <c r="J385" s="12"/>
      <c r="K385" s="12"/>
      <c r="L385" s="17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2"/>
      <c r="BK385" s="12"/>
      <c r="BL385" s="31"/>
    </row>
    <row r="386">
      <c r="A386" s="21" t="str">
        <f t="shared" si="1"/>
        <v/>
      </c>
      <c r="B386" s="24"/>
      <c r="C386" s="21"/>
      <c r="D386" s="24"/>
      <c r="E386" s="24"/>
      <c r="F386" s="24"/>
      <c r="G386" s="21"/>
      <c r="H386" s="21"/>
      <c r="I386" s="21"/>
      <c r="J386" s="21"/>
      <c r="K386" s="21"/>
      <c r="L386" s="26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4"/>
      <c r="BC386" s="24"/>
      <c r="BD386" s="24"/>
      <c r="BE386" s="24"/>
      <c r="BF386" s="24"/>
      <c r="BG386" s="24"/>
      <c r="BH386" s="24"/>
      <c r="BI386" s="24"/>
      <c r="BJ386" s="21"/>
      <c r="BK386" s="21"/>
      <c r="BL386" s="30"/>
    </row>
    <row r="387">
      <c r="A387" s="12" t="str">
        <f t="shared" si="1"/>
        <v/>
      </c>
      <c r="B387" s="15"/>
      <c r="C387" s="12"/>
      <c r="D387" s="15"/>
      <c r="E387" s="15"/>
      <c r="F387" s="15"/>
      <c r="G387" s="12"/>
      <c r="H387" s="12"/>
      <c r="I387" s="12"/>
      <c r="J387" s="12"/>
      <c r="K387" s="12"/>
      <c r="L387" s="17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2"/>
      <c r="BK387" s="12"/>
      <c r="BL387" s="31"/>
    </row>
    <row r="388">
      <c r="A388" s="21" t="str">
        <f t="shared" si="1"/>
        <v/>
      </c>
      <c r="B388" s="24"/>
      <c r="C388" s="21"/>
      <c r="D388" s="24"/>
      <c r="E388" s="24"/>
      <c r="F388" s="24"/>
      <c r="G388" s="21"/>
      <c r="H388" s="21"/>
      <c r="I388" s="21"/>
      <c r="J388" s="21"/>
      <c r="K388" s="21"/>
      <c r="L388" s="26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4"/>
      <c r="BC388" s="24"/>
      <c r="BD388" s="24"/>
      <c r="BE388" s="24"/>
      <c r="BF388" s="24"/>
      <c r="BG388" s="24"/>
      <c r="BH388" s="24"/>
      <c r="BI388" s="24"/>
      <c r="BJ388" s="21"/>
      <c r="BK388" s="21"/>
      <c r="BL388" s="30"/>
    </row>
    <row r="389">
      <c r="A389" s="12" t="str">
        <f t="shared" si="1"/>
        <v/>
      </c>
      <c r="B389" s="15"/>
      <c r="C389" s="12"/>
      <c r="D389" s="15"/>
      <c r="E389" s="15"/>
      <c r="F389" s="15"/>
      <c r="G389" s="12"/>
      <c r="H389" s="12"/>
      <c r="I389" s="12"/>
      <c r="J389" s="12"/>
      <c r="K389" s="12"/>
      <c r="L389" s="17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2"/>
      <c r="BK389" s="12"/>
      <c r="BL389" s="31"/>
    </row>
    <row r="390">
      <c r="A390" s="21" t="str">
        <f t="shared" si="1"/>
        <v/>
      </c>
      <c r="B390" s="24"/>
      <c r="C390" s="21"/>
      <c r="D390" s="24"/>
      <c r="E390" s="24"/>
      <c r="F390" s="24"/>
      <c r="G390" s="21"/>
      <c r="H390" s="21"/>
      <c r="I390" s="21"/>
      <c r="J390" s="21"/>
      <c r="K390" s="21"/>
      <c r="L390" s="26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4"/>
      <c r="BC390" s="24"/>
      <c r="BD390" s="24"/>
      <c r="BE390" s="24"/>
      <c r="BF390" s="24"/>
      <c r="BG390" s="24"/>
      <c r="BH390" s="24"/>
      <c r="BI390" s="24"/>
      <c r="BJ390" s="21"/>
      <c r="BK390" s="21"/>
      <c r="BL390" s="30"/>
    </row>
    <row r="391">
      <c r="A391" s="12" t="str">
        <f t="shared" si="1"/>
        <v/>
      </c>
      <c r="B391" s="15"/>
      <c r="C391" s="12"/>
      <c r="D391" s="15"/>
      <c r="E391" s="15"/>
      <c r="F391" s="15"/>
      <c r="G391" s="12"/>
      <c r="H391" s="12"/>
      <c r="I391" s="12"/>
      <c r="J391" s="12"/>
      <c r="K391" s="12"/>
      <c r="L391" s="17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2"/>
      <c r="BK391" s="12"/>
      <c r="BL391" s="31"/>
    </row>
    <row r="392">
      <c r="A392" s="21" t="str">
        <f t="shared" si="1"/>
        <v/>
      </c>
      <c r="B392" s="24"/>
      <c r="C392" s="21"/>
      <c r="D392" s="24"/>
      <c r="E392" s="24"/>
      <c r="F392" s="24"/>
      <c r="G392" s="21"/>
      <c r="H392" s="21"/>
      <c r="I392" s="21"/>
      <c r="J392" s="21"/>
      <c r="K392" s="21"/>
      <c r="L392" s="26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4"/>
      <c r="BC392" s="24"/>
      <c r="BD392" s="24"/>
      <c r="BE392" s="24"/>
      <c r="BF392" s="24"/>
      <c r="BG392" s="24"/>
      <c r="BH392" s="24"/>
      <c r="BI392" s="24"/>
      <c r="BJ392" s="21"/>
      <c r="BK392" s="21"/>
      <c r="BL392" s="30"/>
    </row>
    <row r="393">
      <c r="A393" s="12" t="str">
        <f t="shared" si="1"/>
        <v/>
      </c>
      <c r="B393" s="15"/>
      <c r="C393" s="12"/>
      <c r="D393" s="15"/>
      <c r="E393" s="15"/>
      <c r="F393" s="15"/>
      <c r="G393" s="12"/>
      <c r="H393" s="12"/>
      <c r="I393" s="12"/>
      <c r="J393" s="12"/>
      <c r="K393" s="12"/>
      <c r="L393" s="17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2"/>
      <c r="BK393" s="12"/>
      <c r="BL393" s="31"/>
    </row>
    <row r="394">
      <c r="A394" s="21" t="str">
        <f t="shared" si="1"/>
        <v/>
      </c>
      <c r="B394" s="24"/>
      <c r="C394" s="21"/>
      <c r="D394" s="24"/>
      <c r="E394" s="24"/>
      <c r="F394" s="24"/>
      <c r="G394" s="21"/>
      <c r="H394" s="21"/>
      <c r="I394" s="21"/>
      <c r="J394" s="21"/>
      <c r="K394" s="21"/>
      <c r="L394" s="26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4"/>
      <c r="BC394" s="24"/>
      <c r="BD394" s="24"/>
      <c r="BE394" s="24"/>
      <c r="BF394" s="24"/>
      <c r="BG394" s="24"/>
      <c r="BH394" s="24"/>
      <c r="BI394" s="24"/>
      <c r="BJ394" s="21"/>
      <c r="BK394" s="21"/>
      <c r="BL394" s="30"/>
    </row>
    <row r="395">
      <c r="A395" s="12" t="str">
        <f t="shared" si="1"/>
        <v/>
      </c>
      <c r="B395" s="15"/>
      <c r="C395" s="12"/>
      <c r="D395" s="15"/>
      <c r="E395" s="15"/>
      <c r="F395" s="15"/>
      <c r="G395" s="12"/>
      <c r="H395" s="12"/>
      <c r="I395" s="12"/>
      <c r="J395" s="12"/>
      <c r="K395" s="12"/>
      <c r="L395" s="17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2"/>
      <c r="BK395" s="12"/>
      <c r="BL395" s="31"/>
    </row>
    <row r="396">
      <c r="A396" s="21" t="str">
        <f t="shared" si="1"/>
        <v/>
      </c>
      <c r="B396" s="24"/>
      <c r="C396" s="21"/>
      <c r="D396" s="24"/>
      <c r="E396" s="24"/>
      <c r="F396" s="24"/>
      <c r="G396" s="21"/>
      <c r="H396" s="21"/>
      <c r="I396" s="21"/>
      <c r="J396" s="21"/>
      <c r="K396" s="21"/>
      <c r="L396" s="26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4"/>
      <c r="BC396" s="24"/>
      <c r="BD396" s="24"/>
      <c r="BE396" s="24"/>
      <c r="BF396" s="24"/>
      <c r="BG396" s="24"/>
      <c r="BH396" s="24"/>
      <c r="BI396" s="24"/>
      <c r="BJ396" s="21"/>
      <c r="BK396" s="21"/>
      <c r="BL396" s="30"/>
    </row>
    <row r="397">
      <c r="A397" s="12" t="str">
        <f t="shared" si="1"/>
        <v/>
      </c>
      <c r="B397" s="15"/>
      <c r="C397" s="12"/>
      <c r="D397" s="15"/>
      <c r="E397" s="15"/>
      <c r="F397" s="15"/>
      <c r="G397" s="12"/>
      <c r="H397" s="12"/>
      <c r="I397" s="12"/>
      <c r="J397" s="12"/>
      <c r="K397" s="12"/>
      <c r="L397" s="17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2"/>
      <c r="BK397" s="12"/>
      <c r="BL397" s="31"/>
    </row>
    <row r="398">
      <c r="A398" s="21" t="str">
        <f t="shared" si="1"/>
        <v/>
      </c>
      <c r="B398" s="24"/>
      <c r="C398" s="21"/>
      <c r="D398" s="24"/>
      <c r="E398" s="24"/>
      <c r="F398" s="24"/>
      <c r="G398" s="21"/>
      <c r="H398" s="21"/>
      <c r="I398" s="21"/>
      <c r="J398" s="21"/>
      <c r="K398" s="21"/>
      <c r="L398" s="26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4"/>
      <c r="BC398" s="24"/>
      <c r="BD398" s="24"/>
      <c r="BE398" s="24"/>
      <c r="BF398" s="24"/>
      <c r="BG398" s="24"/>
      <c r="BH398" s="24"/>
      <c r="BI398" s="24"/>
      <c r="BJ398" s="21"/>
      <c r="BK398" s="21"/>
      <c r="BL398" s="30"/>
    </row>
    <row r="399">
      <c r="A399" s="12" t="str">
        <f t="shared" si="1"/>
        <v/>
      </c>
      <c r="B399" s="15"/>
      <c r="C399" s="12"/>
      <c r="D399" s="15"/>
      <c r="E399" s="15"/>
      <c r="F399" s="15"/>
      <c r="G399" s="12"/>
      <c r="H399" s="12"/>
      <c r="I399" s="12"/>
      <c r="J399" s="12"/>
      <c r="K399" s="12"/>
      <c r="L399" s="17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2"/>
      <c r="BK399" s="12"/>
      <c r="BL399" s="31"/>
    </row>
    <row r="400">
      <c r="A400" s="21" t="str">
        <f t="shared" si="1"/>
        <v/>
      </c>
      <c r="B400" s="24"/>
      <c r="C400" s="21"/>
      <c r="D400" s="24"/>
      <c r="E400" s="24"/>
      <c r="F400" s="24"/>
      <c r="G400" s="21"/>
      <c r="H400" s="21"/>
      <c r="I400" s="21"/>
      <c r="J400" s="21"/>
      <c r="K400" s="21"/>
      <c r="L400" s="26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4"/>
      <c r="BC400" s="24"/>
      <c r="BD400" s="24"/>
      <c r="BE400" s="24"/>
      <c r="BF400" s="24"/>
      <c r="BG400" s="24"/>
      <c r="BH400" s="24"/>
      <c r="BI400" s="24"/>
      <c r="BJ400" s="21"/>
      <c r="BK400" s="21"/>
      <c r="BL400" s="30"/>
    </row>
    <row r="401">
      <c r="A401" s="12" t="str">
        <f t="shared" si="1"/>
        <v/>
      </c>
      <c r="B401" s="15"/>
      <c r="C401" s="12"/>
      <c r="D401" s="15"/>
      <c r="E401" s="15"/>
      <c r="F401" s="15"/>
      <c r="G401" s="12"/>
      <c r="H401" s="12"/>
      <c r="I401" s="12"/>
      <c r="J401" s="12"/>
      <c r="K401" s="12"/>
      <c r="L401" s="17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2"/>
      <c r="BK401" s="12"/>
      <c r="BL401" s="31"/>
    </row>
    <row r="402">
      <c r="A402" s="21" t="str">
        <f t="shared" si="1"/>
        <v/>
      </c>
      <c r="B402" s="24"/>
      <c r="C402" s="21"/>
      <c r="D402" s="24"/>
      <c r="E402" s="24"/>
      <c r="F402" s="24"/>
      <c r="G402" s="21"/>
      <c r="H402" s="21"/>
      <c r="I402" s="21"/>
      <c r="J402" s="21"/>
      <c r="K402" s="21"/>
      <c r="L402" s="26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4"/>
      <c r="BC402" s="24"/>
      <c r="BD402" s="24"/>
      <c r="BE402" s="24"/>
      <c r="BF402" s="24"/>
      <c r="BG402" s="24"/>
      <c r="BH402" s="24"/>
      <c r="BI402" s="24"/>
      <c r="BJ402" s="21"/>
      <c r="BK402" s="21"/>
      <c r="BL402" s="30"/>
    </row>
    <row r="403">
      <c r="A403" s="12" t="str">
        <f t="shared" si="1"/>
        <v/>
      </c>
      <c r="B403" s="15"/>
      <c r="C403" s="12"/>
      <c r="D403" s="15"/>
      <c r="E403" s="15"/>
      <c r="F403" s="15"/>
      <c r="G403" s="12"/>
      <c r="H403" s="12"/>
      <c r="I403" s="12"/>
      <c r="J403" s="12"/>
      <c r="K403" s="12"/>
      <c r="L403" s="17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2"/>
      <c r="BK403" s="12"/>
      <c r="BL403" s="31"/>
    </row>
    <row r="404">
      <c r="A404" s="21" t="str">
        <f t="shared" si="1"/>
        <v/>
      </c>
      <c r="B404" s="24"/>
      <c r="C404" s="21"/>
      <c r="D404" s="24"/>
      <c r="E404" s="24"/>
      <c r="F404" s="24"/>
      <c r="G404" s="21"/>
      <c r="H404" s="21"/>
      <c r="I404" s="21"/>
      <c r="J404" s="21"/>
      <c r="K404" s="21"/>
      <c r="L404" s="26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4"/>
      <c r="BC404" s="24"/>
      <c r="BD404" s="24"/>
      <c r="BE404" s="24"/>
      <c r="BF404" s="24"/>
      <c r="BG404" s="24"/>
      <c r="BH404" s="24"/>
      <c r="BI404" s="24"/>
      <c r="BJ404" s="21"/>
      <c r="BK404" s="21"/>
      <c r="BL404" s="30"/>
    </row>
    <row r="405">
      <c r="A405" s="12" t="str">
        <f t="shared" si="1"/>
        <v/>
      </c>
      <c r="B405" s="15"/>
      <c r="C405" s="12"/>
      <c r="D405" s="15"/>
      <c r="E405" s="15"/>
      <c r="F405" s="15"/>
      <c r="G405" s="12"/>
      <c r="H405" s="12"/>
      <c r="I405" s="12"/>
      <c r="J405" s="12"/>
      <c r="K405" s="12"/>
      <c r="L405" s="17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2"/>
      <c r="BK405" s="12"/>
      <c r="BL405" s="31"/>
    </row>
    <row r="406">
      <c r="A406" s="21" t="str">
        <f t="shared" si="1"/>
        <v/>
      </c>
      <c r="B406" s="24"/>
      <c r="C406" s="21"/>
      <c r="D406" s="24"/>
      <c r="E406" s="24"/>
      <c r="F406" s="24"/>
      <c r="G406" s="21"/>
      <c r="H406" s="21"/>
      <c r="I406" s="21"/>
      <c r="J406" s="21"/>
      <c r="K406" s="21"/>
      <c r="L406" s="26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4"/>
      <c r="BC406" s="24"/>
      <c r="BD406" s="24"/>
      <c r="BE406" s="24"/>
      <c r="BF406" s="24"/>
      <c r="BG406" s="24"/>
      <c r="BH406" s="24"/>
      <c r="BI406" s="24"/>
      <c r="BJ406" s="21"/>
      <c r="BK406" s="21"/>
      <c r="BL406" s="30"/>
    </row>
    <row r="407">
      <c r="A407" s="12" t="str">
        <f t="shared" si="1"/>
        <v/>
      </c>
      <c r="B407" s="15"/>
      <c r="C407" s="12"/>
      <c r="D407" s="15"/>
      <c r="E407" s="15"/>
      <c r="F407" s="15"/>
      <c r="G407" s="12"/>
      <c r="H407" s="12"/>
      <c r="I407" s="12"/>
      <c r="J407" s="12"/>
      <c r="K407" s="12"/>
      <c r="L407" s="17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2"/>
      <c r="BK407" s="12"/>
      <c r="BL407" s="31"/>
    </row>
    <row r="408">
      <c r="A408" s="21" t="str">
        <f t="shared" si="1"/>
        <v/>
      </c>
      <c r="B408" s="24"/>
      <c r="C408" s="21"/>
      <c r="D408" s="24"/>
      <c r="E408" s="24"/>
      <c r="F408" s="24"/>
      <c r="G408" s="21"/>
      <c r="H408" s="21"/>
      <c r="I408" s="21"/>
      <c r="J408" s="21"/>
      <c r="K408" s="21"/>
      <c r="L408" s="26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4"/>
      <c r="BC408" s="24"/>
      <c r="BD408" s="24"/>
      <c r="BE408" s="24"/>
      <c r="BF408" s="24"/>
      <c r="BG408" s="24"/>
      <c r="BH408" s="24"/>
      <c r="BI408" s="24"/>
      <c r="BJ408" s="21"/>
      <c r="BK408" s="21"/>
      <c r="BL408" s="30"/>
    </row>
    <row r="409">
      <c r="A409" s="12" t="str">
        <f t="shared" si="1"/>
        <v/>
      </c>
      <c r="B409" s="15"/>
      <c r="C409" s="12"/>
      <c r="D409" s="15"/>
      <c r="E409" s="15"/>
      <c r="F409" s="15"/>
      <c r="G409" s="12"/>
      <c r="H409" s="12"/>
      <c r="I409" s="12"/>
      <c r="J409" s="12"/>
      <c r="K409" s="12"/>
      <c r="L409" s="17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2"/>
      <c r="BK409" s="12"/>
      <c r="BL409" s="31"/>
    </row>
    <row r="410">
      <c r="A410" s="21" t="str">
        <f t="shared" si="1"/>
        <v/>
      </c>
      <c r="B410" s="24"/>
      <c r="C410" s="21"/>
      <c r="D410" s="24"/>
      <c r="E410" s="24"/>
      <c r="F410" s="24"/>
      <c r="G410" s="21"/>
      <c r="H410" s="21"/>
      <c r="I410" s="21"/>
      <c r="J410" s="21"/>
      <c r="K410" s="21"/>
      <c r="L410" s="26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4"/>
      <c r="BC410" s="24"/>
      <c r="BD410" s="24"/>
      <c r="BE410" s="24"/>
      <c r="BF410" s="24"/>
      <c r="BG410" s="24"/>
      <c r="BH410" s="24"/>
      <c r="BI410" s="24"/>
      <c r="BJ410" s="21"/>
      <c r="BK410" s="21"/>
      <c r="BL410" s="30"/>
    </row>
    <row r="411">
      <c r="A411" s="12" t="str">
        <f t="shared" si="1"/>
        <v/>
      </c>
      <c r="B411" s="15"/>
      <c r="C411" s="12"/>
      <c r="D411" s="15"/>
      <c r="E411" s="15"/>
      <c r="F411" s="15"/>
      <c r="G411" s="12"/>
      <c r="H411" s="12"/>
      <c r="I411" s="12"/>
      <c r="J411" s="12"/>
      <c r="K411" s="12"/>
      <c r="L411" s="17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2"/>
      <c r="BK411" s="12"/>
      <c r="BL411" s="31"/>
    </row>
    <row r="412">
      <c r="A412" s="21" t="str">
        <f t="shared" si="1"/>
        <v/>
      </c>
      <c r="B412" s="24"/>
      <c r="C412" s="21"/>
      <c r="D412" s="24"/>
      <c r="E412" s="24"/>
      <c r="F412" s="24"/>
      <c r="G412" s="21"/>
      <c r="H412" s="21"/>
      <c r="I412" s="21"/>
      <c r="J412" s="21"/>
      <c r="K412" s="21"/>
      <c r="L412" s="26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4"/>
      <c r="BC412" s="24"/>
      <c r="BD412" s="24"/>
      <c r="BE412" s="24"/>
      <c r="BF412" s="24"/>
      <c r="BG412" s="24"/>
      <c r="BH412" s="24"/>
      <c r="BI412" s="24"/>
      <c r="BJ412" s="21"/>
      <c r="BK412" s="21"/>
      <c r="BL412" s="30"/>
    </row>
    <row r="413">
      <c r="A413" s="12" t="str">
        <f t="shared" si="1"/>
        <v/>
      </c>
      <c r="B413" s="15"/>
      <c r="C413" s="12"/>
      <c r="D413" s="15"/>
      <c r="E413" s="15"/>
      <c r="F413" s="15"/>
      <c r="G413" s="12"/>
      <c r="H413" s="12"/>
      <c r="I413" s="12"/>
      <c r="J413" s="12"/>
      <c r="K413" s="12"/>
      <c r="L413" s="17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2"/>
      <c r="BK413" s="12"/>
      <c r="BL413" s="31"/>
    </row>
    <row r="414">
      <c r="A414" s="21" t="str">
        <f t="shared" si="1"/>
        <v/>
      </c>
      <c r="B414" s="24"/>
      <c r="C414" s="21"/>
      <c r="D414" s="24"/>
      <c r="E414" s="24"/>
      <c r="F414" s="24"/>
      <c r="G414" s="21"/>
      <c r="H414" s="21"/>
      <c r="I414" s="21"/>
      <c r="J414" s="21"/>
      <c r="K414" s="21"/>
      <c r="L414" s="26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4"/>
      <c r="BC414" s="24"/>
      <c r="BD414" s="24"/>
      <c r="BE414" s="24"/>
      <c r="BF414" s="24"/>
      <c r="BG414" s="24"/>
      <c r="BH414" s="24"/>
      <c r="BI414" s="24"/>
      <c r="BJ414" s="21"/>
      <c r="BK414" s="21"/>
      <c r="BL414" s="30"/>
    </row>
    <row r="415">
      <c r="A415" s="12" t="str">
        <f t="shared" si="1"/>
        <v/>
      </c>
      <c r="B415" s="15"/>
      <c r="C415" s="12"/>
      <c r="D415" s="15"/>
      <c r="E415" s="15"/>
      <c r="F415" s="15"/>
      <c r="G415" s="12"/>
      <c r="H415" s="12"/>
      <c r="I415" s="12"/>
      <c r="J415" s="12"/>
      <c r="K415" s="12"/>
      <c r="L415" s="17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2"/>
      <c r="BK415" s="12"/>
      <c r="BL415" s="31"/>
    </row>
    <row r="416">
      <c r="A416" s="21" t="str">
        <f t="shared" si="1"/>
        <v/>
      </c>
      <c r="B416" s="24"/>
      <c r="C416" s="21"/>
      <c r="D416" s="24"/>
      <c r="E416" s="24"/>
      <c r="F416" s="24"/>
      <c r="G416" s="21"/>
      <c r="H416" s="21"/>
      <c r="I416" s="21"/>
      <c r="J416" s="21"/>
      <c r="K416" s="21"/>
      <c r="L416" s="26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4"/>
      <c r="BC416" s="24"/>
      <c r="BD416" s="24"/>
      <c r="BE416" s="24"/>
      <c r="BF416" s="24"/>
      <c r="BG416" s="24"/>
      <c r="BH416" s="24"/>
      <c r="BI416" s="24"/>
      <c r="BJ416" s="21"/>
      <c r="BK416" s="21"/>
      <c r="BL416" s="30"/>
    </row>
    <row r="417">
      <c r="A417" s="12" t="str">
        <f t="shared" si="1"/>
        <v/>
      </c>
      <c r="B417" s="15"/>
      <c r="C417" s="12"/>
      <c r="D417" s="15"/>
      <c r="E417" s="15"/>
      <c r="F417" s="15"/>
      <c r="G417" s="12"/>
      <c r="H417" s="12"/>
      <c r="I417" s="12"/>
      <c r="J417" s="12"/>
      <c r="K417" s="12"/>
      <c r="L417" s="17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2"/>
      <c r="BK417" s="12"/>
      <c r="BL417" s="31"/>
    </row>
    <row r="418">
      <c r="A418" s="21" t="str">
        <f t="shared" si="1"/>
        <v/>
      </c>
      <c r="B418" s="24"/>
      <c r="C418" s="21"/>
      <c r="D418" s="24"/>
      <c r="E418" s="24"/>
      <c r="F418" s="24"/>
      <c r="G418" s="21"/>
      <c r="H418" s="21"/>
      <c r="I418" s="21"/>
      <c r="J418" s="21"/>
      <c r="K418" s="21"/>
      <c r="L418" s="26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4"/>
      <c r="BC418" s="24"/>
      <c r="BD418" s="24"/>
      <c r="BE418" s="24"/>
      <c r="BF418" s="24"/>
      <c r="BG418" s="24"/>
      <c r="BH418" s="24"/>
      <c r="BI418" s="24"/>
      <c r="BJ418" s="21"/>
      <c r="BK418" s="21"/>
      <c r="BL418" s="30"/>
    </row>
    <row r="419">
      <c r="A419" s="12" t="str">
        <f t="shared" si="1"/>
        <v/>
      </c>
      <c r="B419" s="15"/>
      <c r="C419" s="12"/>
      <c r="D419" s="15"/>
      <c r="E419" s="15"/>
      <c r="F419" s="15"/>
      <c r="G419" s="12"/>
      <c r="H419" s="12"/>
      <c r="I419" s="12"/>
      <c r="J419" s="12"/>
      <c r="K419" s="12"/>
      <c r="L419" s="17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2"/>
      <c r="BK419" s="12"/>
      <c r="BL419" s="31"/>
    </row>
    <row r="420">
      <c r="A420" s="21" t="str">
        <f t="shared" si="1"/>
        <v/>
      </c>
      <c r="B420" s="24"/>
      <c r="C420" s="21"/>
      <c r="D420" s="24"/>
      <c r="E420" s="24"/>
      <c r="F420" s="24"/>
      <c r="G420" s="21"/>
      <c r="H420" s="21"/>
      <c r="I420" s="21"/>
      <c r="J420" s="21"/>
      <c r="K420" s="21"/>
      <c r="L420" s="26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4"/>
      <c r="BC420" s="24"/>
      <c r="BD420" s="24"/>
      <c r="BE420" s="24"/>
      <c r="BF420" s="24"/>
      <c r="BG420" s="24"/>
      <c r="BH420" s="24"/>
      <c r="BI420" s="24"/>
      <c r="BJ420" s="21"/>
      <c r="BK420" s="21"/>
      <c r="BL420" s="30"/>
    </row>
    <row r="421">
      <c r="A421" s="12" t="str">
        <f t="shared" si="1"/>
        <v/>
      </c>
      <c r="B421" s="15"/>
      <c r="C421" s="12"/>
      <c r="D421" s="15"/>
      <c r="E421" s="15"/>
      <c r="F421" s="15"/>
      <c r="G421" s="12"/>
      <c r="H421" s="12"/>
      <c r="I421" s="12"/>
      <c r="J421" s="12"/>
      <c r="K421" s="12"/>
      <c r="L421" s="17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2"/>
      <c r="BK421" s="12"/>
      <c r="BL421" s="31"/>
    </row>
    <row r="422">
      <c r="A422" s="21" t="str">
        <f t="shared" si="1"/>
        <v/>
      </c>
      <c r="B422" s="24"/>
      <c r="C422" s="21"/>
      <c r="D422" s="24"/>
      <c r="E422" s="24"/>
      <c r="F422" s="24"/>
      <c r="G422" s="21"/>
      <c r="H422" s="21"/>
      <c r="I422" s="21"/>
      <c r="J422" s="21"/>
      <c r="K422" s="21"/>
      <c r="L422" s="26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4"/>
      <c r="BC422" s="24"/>
      <c r="BD422" s="24"/>
      <c r="BE422" s="24"/>
      <c r="BF422" s="24"/>
      <c r="BG422" s="24"/>
      <c r="BH422" s="24"/>
      <c r="BI422" s="24"/>
      <c r="BJ422" s="21"/>
      <c r="BK422" s="21"/>
      <c r="BL422" s="30"/>
    </row>
    <row r="423">
      <c r="A423" s="12" t="str">
        <f t="shared" si="1"/>
        <v/>
      </c>
      <c r="B423" s="15"/>
      <c r="C423" s="12"/>
      <c r="D423" s="15"/>
      <c r="E423" s="15"/>
      <c r="F423" s="15"/>
      <c r="G423" s="12"/>
      <c r="H423" s="12"/>
      <c r="I423" s="12"/>
      <c r="J423" s="12"/>
      <c r="K423" s="12"/>
      <c r="L423" s="17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2"/>
      <c r="BK423" s="12"/>
      <c r="BL423" s="31"/>
    </row>
    <row r="424">
      <c r="A424" s="21" t="str">
        <f t="shared" si="1"/>
        <v/>
      </c>
      <c r="B424" s="24"/>
      <c r="C424" s="21"/>
      <c r="D424" s="24"/>
      <c r="E424" s="24"/>
      <c r="F424" s="24"/>
      <c r="G424" s="21"/>
      <c r="H424" s="21"/>
      <c r="I424" s="21"/>
      <c r="J424" s="21"/>
      <c r="K424" s="21"/>
      <c r="L424" s="26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4"/>
      <c r="BC424" s="24"/>
      <c r="BD424" s="24"/>
      <c r="BE424" s="24"/>
      <c r="BF424" s="24"/>
      <c r="BG424" s="24"/>
      <c r="BH424" s="24"/>
      <c r="BI424" s="24"/>
      <c r="BJ424" s="21"/>
      <c r="BK424" s="21"/>
      <c r="BL424" s="30"/>
    </row>
    <row r="425">
      <c r="A425" s="12" t="str">
        <f t="shared" si="1"/>
        <v/>
      </c>
      <c r="B425" s="15"/>
      <c r="C425" s="12"/>
      <c r="D425" s="15"/>
      <c r="E425" s="15"/>
      <c r="F425" s="15"/>
      <c r="G425" s="12"/>
      <c r="H425" s="12"/>
      <c r="I425" s="12"/>
      <c r="J425" s="12"/>
      <c r="K425" s="12"/>
      <c r="L425" s="17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2"/>
      <c r="BK425" s="12"/>
      <c r="BL425" s="31"/>
    </row>
    <row r="426">
      <c r="A426" s="21" t="str">
        <f t="shared" si="1"/>
        <v/>
      </c>
      <c r="B426" s="24"/>
      <c r="C426" s="21"/>
      <c r="D426" s="24"/>
      <c r="E426" s="24"/>
      <c r="F426" s="24"/>
      <c r="G426" s="21"/>
      <c r="H426" s="21"/>
      <c r="I426" s="21"/>
      <c r="J426" s="21"/>
      <c r="K426" s="21"/>
      <c r="L426" s="26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4"/>
      <c r="BC426" s="24"/>
      <c r="BD426" s="24"/>
      <c r="BE426" s="24"/>
      <c r="BF426" s="24"/>
      <c r="BG426" s="24"/>
      <c r="BH426" s="24"/>
      <c r="BI426" s="24"/>
      <c r="BJ426" s="21"/>
      <c r="BK426" s="21"/>
      <c r="BL426" s="30"/>
    </row>
    <row r="427">
      <c r="A427" s="12" t="str">
        <f t="shared" si="1"/>
        <v/>
      </c>
      <c r="B427" s="15"/>
      <c r="C427" s="12"/>
      <c r="D427" s="15"/>
      <c r="E427" s="15"/>
      <c r="F427" s="15"/>
      <c r="G427" s="12"/>
      <c r="H427" s="12"/>
      <c r="I427" s="12"/>
      <c r="J427" s="12"/>
      <c r="K427" s="12"/>
      <c r="L427" s="17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2"/>
      <c r="BK427" s="12"/>
      <c r="BL427" s="31"/>
    </row>
    <row r="428">
      <c r="A428" s="21" t="str">
        <f t="shared" si="1"/>
        <v/>
      </c>
      <c r="B428" s="24"/>
      <c r="C428" s="21"/>
      <c r="D428" s="24"/>
      <c r="E428" s="24"/>
      <c r="F428" s="24"/>
      <c r="G428" s="21"/>
      <c r="H428" s="21"/>
      <c r="I428" s="21"/>
      <c r="J428" s="21"/>
      <c r="K428" s="21"/>
      <c r="L428" s="26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4"/>
      <c r="BC428" s="24"/>
      <c r="BD428" s="24"/>
      <c r="BE428" s="24"/>
      <c r="BF428" s="24"/>
      <c r="BG428" s="24"/>
      <c r="BH428" s="24"/>
      <c r="BI428" s="24"/>
      <c r="BJ428" s="21"/>
      <c r="BK428" s="21"/>
      <c r="BL428" s="30"/>
    </row>
    <row r="429">
      <c r="A429" s="12" t="str">
        <f t="shared" si="1"/>
        <v/>
      </c>
      <c r="B429" s="15"/>
      <c r="C429" s="12"/>
      <c r="D429" s="15"/>
      <c r="E429" s="15"/>
      <c r="F429" s="15"/>
      <c r="G429" s="12"/>
      <c r="H429" s="12"/>
      <c r="I429" s="12"/>
      <c r="J429" s="12"/>
      <c r="K429" s="12"/>
      <c r="L429" s="17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2"/>
      <c r="BK429" s="12"/>
      <c r="BL429" s="31"/>
    </row>
    <row r="430">
      <c r="A430" s="21" t="str">
        <f t="shared" si="1"/>
        <v/>
      </c>
      <c r="B430" s="24"/>
      <c r="C430" s="21"/>
      <c r="D430" s="24"/>
      <c r="E430" s="24"/>
      <c r="F430" s="24"/>
      <c r="G430" s="21"/>
      <c r="H430" s="21"/>
      <c r="I430" s="21"/>
      <c r="J430" s="21"/>
      <c r="K430" s="21"/>
      <c r="L430" s="26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4"/>
      <c r="BC430" s="24"/>
      <c r="BD430" s="24"/>
      <c r="BE430" s="24"/>
      <c r="BF430" s="24"/>
      <c r="BG430" s="24"/>
      <c r="BH430" s="24"/>
      <c r="BI430" s="24"/>
      <c r="BJ430" s="21"/>
      <c r="BK430" s="21"/>
      <c r="BL430" s="30"/>
    </row>
    <row r="431">
      <c r="A431" s="12" t="str">
        <f t="shared" si="1"/>
        <v/>
      </c>
      <c r="B431" s="15"/>
      <c r="C431" s="12"/>
      <c r="D431" s="15"/>
      <c r="E431" s="15"/>
      <c r="F431" s="15"/>
      <c r="G431" s="12"/>
      <c r="H431" s="12"/>
      <c r="I431" s="12"/>
      <c r="J431" s="12"/>
      <c r="K431" s="12"/>
      <c r="L431" s="17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2"/>
      <c r="BK431" s="12"/>
      <c r="BL431" s="31"/>
    </row>
    <row r="432">
      <c r="A432" s="21" t="str">
        <f t="shared" si="1"/>
        <v/>
      </c>
      <c r="B432" s="24"/>
      <c r="C432" s="21"/>
      <c r="D432" s="24"/>
      <c r="E432" s="24"/>
      <c r="F432" s="24"/>
      <c r="G432" s="21"/>
      <c r="H432" s="21"/>
      <c r="I432" s="21"/>
      <c r="J432" s="21"/>
      <c r="K432" s="21"/>
      <c r="L432" s="26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4"/>
      <c r="BC432" s="24"/>
      <c r="BD432" s="24"/>
      <c r="BE432" s="24"/>
      <c r="BF432" s="24"/>
      <c r="BG432" s="24"/>
      <c r="BH432" s="24"/>
      <c r="BI432" s="24"/>
      <c r="BJ432" s="21"/>
      <c r="BK432" s="21"/>
      <c r="BL432" s="30"/>
    </row>
    <row r="433">
      <c r="A433" s="12" t="str">
        <f t="shared" si="1"/>
        <v/>
      </c>
      <c r="B433" s="15"/>
      <c r="C433" s="12"/>
      <c r="D433" s="15"/>
      <c r="E433" s="15"/>
      <c r="F433" s="15"/>
      <c r="G433" s="12"/>
      <c r="H433" s="12"/>
      <c r="I433" s="12"/>
      <c r="J433" s="12"/>
      <c r="K433" s="12"/>
      <c r="L433" s="17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2"/>
      <c r="BK433" s="12"/>
      <c r="BL433" s="31"/>
    </row>
    <row r="434">
      <c r="A434" s="21" t="str">
        <f t="shared" si="1"/>
        <v/>
      </c>
      <c r="B434" s="24"/>
      <c r="C434" s="21"/>
      <c r="D434" s="24"/>
      <c r="E434" s="24"/>
      <c r="F434" s="24"/>
      <c r="G434" s="21"/>
      <c r="H434" s="21"/>
      <c r="I434" s="21"/>
      <c r="J434" s="21"/>
      <c r="K434" s="21"/>
      <c r="L434" s="26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4"/>
      <c r="BC434" s="24"/>
      <c r="BD434" s="24"/>
      <c r="BE434" s="24"/>
      <c r="BF434" s="24"/>
      <c r="BG434" s="24"/>
      <c r="BH434" s="24"/>
      <c r="BI434" s="24"/>
      <c r="BJ434" s="21"/>
      <c r="BK434" s="21"/>
      <c r="BL434" s="30"/>
    </row>
    <row r="435">
      <c r="A435" s="12" t="str">
        <f t="shared" si="1"/>
        <v/>
      </c>
      <c r="B435" s="15"/>
      <c r="C435" s="12"/>
      <c r="D435" s="15"/>
      <c r="E435" s="15"/>
      <c r="F435" s="15"/>
      <c r="G435" s="12"/>
      <c r="H435" s="12"/>
      <c r="I435" s="12"/>
      <c r="J435" s="12"/>
      <c r="K435" s="12"/>
      <c r="L435" s="17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2"/>
      <c r="BK435" s="12"/>
      <c r="BL435" s="31"/>
    </row>
    <row r="436">
      <c r="A436" s="21" t="str">
        <f t="shared" si="1"/>
        <v/>
      </c>
      <c r="B436" s="24"/>
      <c r="C436" s="21"/>
      <c r="D436" s="24"/>
      <c r="E436" s="24"/>
      <c r="F436" s="24"/>
      <c r="G436" s="21"/>
      <c r="H436" s="21"/>
      <c r="I436" s="21"/>
      <c r="J436" s="21"/>
      <c r="K436" s="21"/>
      <c r="L436" s="26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4"/>
      <c r="BC436" s="24"/>
      <c r="BD436" s="24"/>
      <c r="BE436" s="24"/>
      <c r="BF436" s="24"/>
      <c r="BG436" s="24"/>
      <c r="BH436" s="24"/>
      <c r="BI436" s="24"/>
      <c r="BJ436" s="21"/>
      <c r="BK436" s="21"/>
      <c r="BL436" s="30"/>
    </row>
    <row r="437">
      <c r="A437" s="12" t="str">
        <f t="shared" si="1"/>
        <v/>
      </c>
      <c r="B437" s="15"/>
      <c r="C437" s="12"/>
      <c r="D437" s="15"/>
      <c r="E437" s="15"/>
      <c r="F437" s="15"/>
      <c r="G437" s="12"/>
      <c r="H437" s="12"/>
      <c r="I437" s="12"/>
      <c r="J437" s="12"/>
      <c r="K437" s="12"/>
      <c r="L437" s="17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2"/>
      <c r="BK437" s="12"/>
      <c r="BL437" s="31"/>
    </row>
    <row r="438">
      <c r="A438" s="21" t="str">
        <f t="shared" si="1"/>
        <v/>
      </c>
      <c r="B438" s="24"/>
      <c r="C438" s="21"/>
      <c r="D438" s="24"/>
      <c r="E438" s="24"/>
      <c r="F438" s="24"/>
      <c r="G438" s="21"/>
      <c r="H438" s="21"/>
      <c r="I438" s="21"/>
      <c r="J438" s="21"/>
      <c r="K438" s="21"/>
      <c r="L438" s="26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4"/>
      <c r="BC438" s="24"/>
      <c r="BD438" s="24"/>
      <c r="BE438" s="24"/>
      <c r="BF438" s="24"/>
      <c r="BG438" s="24"/>
      <c r="BH438" s="24"/>
      <c r="BI438" s="24"/>
      <c r="BJ438" s="21"/>
      <c r="BK438" s="21"/>
      <c r="BL438" s="30"/>
    </row>
    <row r="439">
      <c r="A439" s="12" t="str">
        <f t="shared" si="1"/>
        <v/>
      </c>
      <c r="B439" s="15"/>
      <c r="C439" s="12"/>
      <c r="D439" s="15"/>
      <c r="E439" s="15"/>
      <c r="F439" s="15"/>
      <c r="G439" s="12"/>
      <c r="H439" s="12"/>
      <c r="I439" s="12"/>
      <c r="J439" s="12"/>
      <c r="K439" s="12"/>
      <c r="L439" s="17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2"/>
      <c r="BK439" s="12"/>
      <c r="BL439" s="31"/>
    </row>
    <row r="440">
      <c r="A440" s="21" t="str">
        <f t="shared" si="1"/>
        <v/>
      </c>
      <c r="B440" s="24"/>
      <c r="C440" s="21"/>
      <c r="D440" s="24"/>
      <c r="E440" s="24"/>
      <c r="F440" s="24"/>
      <c r="G440" s="21"/>
      <c r="H440" s="21"/>
      <c r="I440" s="21"/>
      <c r="J440" s="21"/>
      <c r="K440" s="21"/>
      <c r="L440" s="26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4"/>
      <c r="BC440" s="24"/>
      <c r="BD440" s="24"/>
      <c r="BE440" s="24"/>
      <c r="BF440" s="24"/>
      <c r="BG440" s="24"/>
      <c r="BH440" s="24"/>
      <c r="BI440" s="24"/>
      <c r="BJ440" s="21"/>
      <c r="BK440" s="21"/>
      <c r="BL440" s="30"/>
    </row>
    <row r="441">
      <c r="A441" s="12" t="str">
        <f t="shared" si="1"/>
        <v/>
      </c>
      <c r="B441" s="15"/>
      <c r="C441" s="12"/>
      <c r="D441" s="15"/>
      <c r="E441" s="15"/>
      <c r="F441" s="15"/>
      <c r="G441" s="12"/>
      <c r="H441" s="12"/>
      <c r="I441" s="12"/>
      <c r="J441" s="12"/>
      <c r="K441" s="12"/>
      <c r="L441" s="17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2"/>
      <c r="BK441" s="12"/>
      <c r="BL441" s="31"/>
    </row>
    <row r="442">
      <c r="A442" s="21" t="str">
        <f t="shared" si="1"/>
        <v/>
      </c>
      <c r="B442" s="24"/>
      <c r="C442" s="21"/>
      <c r="D442" s="24"/>
      <c r="E442" s="24"/>
      <c r="F442" s="24"/>
      <c r="G442" s="21"/>
      <c r="H442" s="21"/>
      <c r="I442" s="21"/>
      <c r="J442" s="21"/>
      <c r="K442" s="21"/>
      <c r="L442" s="26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4"/>
      <c r="BC442" s="24"/>
      <c r="BD442" s="24"/>
      <c r="BE442" s="24"/>
      <c r="BF442" s="24"/>
      <c r="BG442" s="24"/>
      <c r="BH442" s="24"/>
      <c r="BI442" s="24"/>
      <c r="BJ442" s="21"/>
      <c r="BK442" s="21"/>
      <c r="BL442" s="30"/>
    </row>
    <row r="443">
      <c r="A443" s="12" t="str">
        <f t="shared" si="1"/>
        <v/>
      </c>
      <c r="B443" s="15"/>
      <c r="C443" s="12"/>
      <c r="D443" s="15"/>
      <c r="E443" s="15"/>
      <c r="F443" s="15"/>
      <c r="G443" s="12"/>
      <c r="H443" s="12"/>
      <c r="I443" s="12"/>
      <c r="J443" s="12"/>
      <c r="K443" s="12"/>
      <c r="L443" s="17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2"/>
      <c r="BK443" s="12"/>
      <c r="BL443" s="31"/>
    </row>
    <row r="444">
      <c r="A444" s="21" t="str">
        <f t="shared" si="1"/>
        <v/>
      </c>
      <c r="B444" s="24"/>
      <c r="C444" s="21"/>
      <c r="D444" s="24"/>
      <c r="E444" s="24"/>
      <c r="F444" s="24"/>
      <c r="G444" s="21"/>
      <c r="H444" s="21"/>
      <c r="I444" s="21"/>
      <c r="J444" s="21"/>
      <c r="K444" s="21"/>
      <c r="L444" s="26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4"/>
      <c r="BC444" s="24"/>
      <c r="BD444" s="24"/>
      <c r="BE444" s="24"/>
      <c r="BF444" s="24"/>
      <c r="BG444" s="24"/>
      <c r="BH444" s="24"/>
      <c r="BI444" s="24"/>
      <c r="BJ444" s="21"/>
      <c r="BK444" s="21"/>
      <c r="BL444" s="30"/>
    </row>
    <row r="445">
      <c r="A445" s="12" t="str">
        <f t="shared" si="1"/>
        <v/>
      </c>
      <c r="B445" s="15"/>
      <c r="C445" s="12"/>
      <c r="D445" s="15"/>
      <c r="E445" s="15"/>
      <c r="F445" s="15"/>
      <c r="G445" s="12"/>
      <c r="H445" s="12"/>
      <c r="I445" s="12"/>
      <c r="J445" s="12"/>
      <c r="K445" s="12"/>
      <c r="L445" s="17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2"/>
      <c r="BK445" s="12"/>
      <c r="BL445" s="31"/>
    </row>
    <row r="446">
      <c r="A446" s="21" t="str">
        <f t="shared" si="1"/>
        <v/>
      </c>
      <c r="B446" s="24"/>
      <c r="C446" s="21"/>
      <c r="D446" s="24"/>
      <c r="E446" s="24"/>
      <c r="F446" s="24"/>
      <c r="G446" s="21"/>
      <c r="H446" s="21"/>
      <c r="I446" s="21"/>
      <c r="J446" s="21"/>
      <c r="K446" s="21"/>
      <c r="L446" s="26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4"/>
      <c r="BC446" s="24"/>
      <c r="BD446" s="24"/>
      <c r="BE446" s="24"/>
      <c r="BF446" s="24"/>
      <c r="BG446" s="24"/>
      <c r="BH446" s="24"/>
      <c r="BI446" s="24"/>
      <c r="BJ446" s="21"/>
      <c r="BK446" s="21"/>
      <c r="BL446" s="30"/>
    </row>
    <row r="447">
      <c r="A447" s="4" t="str">
        <f t="shared" si="1"/>
        <v/>
      </c>
      <c r="C447" s="4"/>
      <c r="G447" s="4"/>
      <c r="H447" s="4"/>
      <c r="I447" s="4"/>
      <c r="J447" s="4"/>
      <c r="K447" s="4"/>
      <c r="L447" s="5"/>
      <c r="BJ447" s="4"/>
      <c r="BK447" s="4"/>
      <c r="BL447" s="7"/>
    </row>
    <row r="448">
      <c r="A448" s="4" t="str">
        <f t="shared" si="1"/>
        <v/>
      </c>
      <c r="C448" s="4"/>
      <c r="G448" s="4"/>
      <c r="H448" s="4"/>
      <c r="I448" s="4"/>
      <c r="J448" s="4"/>
      <c r="K448" s="4"/>
      <c r="L448" s="5"/>
      <c r="BJ448" s="4"/>
      <c r="BK448" s="4"/>
      <c r="BL448" s="7"/>
    </row>
    <row r="449">
      <c r="A449" s="4" t="str">
        <f t="shared" si="1"/>
        <v/>
      </c>
      <c r="C449" s="4"/>
      <c r="G449" s="4"/>
      <c r="H449" s="4"/>
      <c r="I449" s="4"/>
      <c r="J449" s="4"/>
      <c r="K449" s="4"/>
      <c r="L449" s="5"/>
      <c r="BJ449" s="4"/>
      <c r="BK449" s="4"/>
      <c r="BL449" s="7"/>
    </row>
    <row r="450">
      <c r="A450" s="4" t="str">
        <f t="shared" si="1"/>
        <v/>
      </c>
      <c r="C450" s="4"/>
      <c r="G450" s="4"/>
      <c r="H450" s="4"/>
      <c r="I450" s="4"/>
      <c r="J450" s="4"/>
      <c r="K450" s="4"/>
      <c r="L450" s="5"/>
      <c r="BJ450" s="4"/>
      <c r="BK450" s="4"/>
      <c r="BL450" s="7"/>
    </row>
    <row r="451">
      <c r="A451" s="4" t="str">
        <f t="shared" si="1"/>
        <v/>
      </c>
      <c r="C451" s="4"/>
      <c r="G451" s="4"/>
      <c r="H451" s="4"/>
      <c r="I451" s="4"/>
      <c r="J451" s="4"/>
      <c r="K451" s="4"/>
      <c r="L451" s="5"/>
      <c r="BJ451" s="4"/>
      <c r="BK451" s="4"/>
      <c r="BL451" s="7"/>
    </row>
    <row r="452">
      <c r="A452" s="4" t="str">
        <f t="shared" si="1"/>
        <v/>
      </c>
      <c r="C452" s="4"/>
      <c r="G452" s="4"/>
      <c r="H452" s="4"/>
      <c r="I452" s="4"/>
      <c r="J452" s="4"/>
      <c r="K452" s="4"/>
      <c r="L452" s="5"/>
      <c r="BJ452" s="4"/>
      <c r="BK452" s="4"/>
      <c r="BL452" s="7"/>
    </row>
    <row r="453">
      <c r="A453" s="4" t="str">
        <f t="shared" si="1"/>
        <v/>
      </c>
      <c r="C453" s="4"/>
      <c r="G453" s="4"/>
      <c r="H453" s="4"/>
      <c r="I453" s="4"/>
      <c r="J453" s="4"/>
      <c r="K453" s="4"/>
      <c r="L453" s="5"/>
      <c r="BJ453" s="4"/>
      <c r="BK453" s="4"/>
      <c r="BL453" s="7"/>
    </row>
    <row r="454">
      <c r="A454" s="4" t="str">
        <f t="shared" si="1"/>
        <v/>
      </c>
      <c r="C454" s="4"/>
      <c r="G454" s="4"/>
      <c r="H454" s="4"/>
      <c r="I454" s="4"/>
      <c r="J454" s="4"/>
      <c r="K454" s="4"/>
      <c r="L454" s="5"/>
      <c r="BJ454" s="4"/>
      <c r="BK454" s="4"/>
      <c r="BL454" s="7"/>
    </row>
    <row r="455">
      <c r="A455" s="4" t="str">
        <f t="shared" si="1"/>
        <v/>
      </c>
      <c r="C455" s="4"/>
      <c r="G455" s="4"/>
      <c r="H455" s="4"/>
      <c r="I455" s="4"/>
      <c r="J455" s="4"/>
      <c r="K455" s="4"/>
      <c r="L455" s="5"/>
      <c r="BJ455" s="4"/>
      <c r="BK455" s="4"/>
      <c r="BL455" s="7"/>
    </row>
    <row r="456">
      <c r="A456" s="4" t="str">
        <f t="shared" si="1"/>
        <v/>
      </c>
      <c r="C456" s="4"/>
      <c r="G456" s="4"/>
      <c r="H456" s="4"/>
      <c r="I456" s="4"/>
      <c r="J456" s="4"/>
      <c r="K456" s="4"/>
      <c r="L456" s="5"/>
      <c r="BJ456" s="4"/>
      <c r="BK456" s="4"/>
      <c r="BL456" s="7"/>
    </row>
    <row r="457">
      <c r="A457" s="4" t="str">
        <f t="shared" si="1"/>
        <v/>
      </c>
      <c r="C457" s="4"/>
      <c r="G457" s="4"/>
      <c r="H457" s="4"/>
      <c r="I457" s="4"/>
      <c r="J457" s="4"/>
      <c r="K457" s="4"/>
      <c r="L457" s="5"/>
      <c r="BJ457" s="4"/>
      <c r="BK457" s="4"/>
      <c r="BL457" s="7"/>
    </row>
    <row r="458">
      <c r="A458" s="4" t="str">
        <f t="shared" si="1"/>
        <v/>
      </c>
      <c r="C458" s="4"/>
      <c r="G458" s="4"/>
      <c r="H458" s="4"/>
      <c r="I458" s="4"/>
      <c r="J458" s="4"/>
      <c r="K458" s="4"/>
      <c r="L458" s="5"/>
      <c r="BJ458" s="4"/>
      <c r="BK458" s="4"/>
      <c r="BL458" s="7"/>
    </row>
    <row r="459">
      <c r="A459" s="4" t="str">
        <f t="shared" si="1"/>
        <v/>
      </c>
      <c r="C459" s="4"/>
      <c r="G459" s="4"/>
      <c r="H459" s="4"/>
      <c r="I459" s="4"/>
      <c r="J459" s="4"/>
      <c r="K459" s="4"/>
      <c r="L459" s="5"/>
      <c r="BJ459" s="4"/>
      <c r="BK459" s="4"/>
      <c r="BL459" s="7"/>
    </row>
    <row r="460">
      <c r="A460" s="4" t="str">
        <f t="shared" si="1"/>
        <v/>
      </c>
      <c r="C460" s="4"/>
      <c r="G460" s="4"/>
      <c r="H460" s="4"/>
      <c r="I460" s="4"/>
      <c r="J460" s="4"/>
      <c r="K460" s="4"/>
      <c r="L460" s="5"/>
      <c r="BJ460" s="4"/>
      <c r="BK460" s="4"/>
      <c r="BL460" s="7"/>
    </row>
    <row r="461">
      <c r="A461" s="4" t="str">
        <f t="shared" si="1"/>
        <v/>
      </c>
      <c r="C461" s="4"/>
      <c r="G461" s="4"/>
      <c r="H461" s="4"/>
      <c r="I461" s="4"/>
      <c r="J461" s="4"/>
      <c r="K461" s="4"/>
      <c r="L461" s="5"/>
      <c r="BJ461" s="4"/>
      <c r="BK461" s="4"/>
      <c r="BL461" s="7"/>
    </row>
    <row r="462">
      <c r="A462" s="4" t="str">
        <f t="shared" si="1"/>
        <v/>
      </c>
      <c r="C462" s="4"/>
      <c r="G462" s="4"/>
      <c r="H462" s="4"/>
      <c r="I462" s="4"/>
      <c r="J462" s="4"/>
      <c r="K462" s="4"/>
      <c r="L462" s="5"/>
      <c r="BJ462" s="4"/>
      <c r="BK462" s="4"/>
      <c r="BL462" s="7"/>
    </row>
    <row r="463">
      <c r="A463" s="4" t="str">
        <f t="shared" si="1"/>
        <v/>
      </c>
      <c r="C463" s="4"/>
      <c r="G463" s="4"/>
      <c r="H463" s="4"/>
      <c r="I463" s="4"/>
      <c r="J463" s="4"/>
      <c r="K463" s="4"/>
      <c r="L463" s="5"/>
      <c r="BJ463" s="4"/>
      <c r="BK463" s="4"/>
      <c r="BL463" s="7"/>
    </row>
    <row r="464">
      <c r="A464" s="4" t="str">
        <f t="shared" si="1"/>
        <v/>
      </c>
      <c r="C464" s="4"/>
      <c r="G464" s="4"/>
      <c r="H464" s="4"/>
      <c r="I464" s="4"/>
      <c r="J464" s="4"/>
      <c r="K464" s="4"/>
      <c r="L464" s="5"/>
      <c r="BJ464" s="4"/>
      <c r="BK464" s="4"/>
      <c r="BL464" s="7"/>
    </row>
    <row r="465">
      <c r="A465" s="4" t="str">
        <f t="shared" si="1"/>
        <v/>
      </c>
      <c r="C465" s="4"/>
      <c r="G465" s="4"/>
      <c r="H465" s="4"/>
      <c r="I465" s="4"/>
      <c r="J465" s="4"/>
      <c r="K465" s="4"/>
      <c r="L465" s="5"/>
      <c r="BJ465" s="4"/>
      <c r="BK465" s="4"/>
      <c r="BL465" s="7"/>
    </row>
    <row r="466">
      <c r="A466" s="4" t="str">
        <f t="shared" si="1"/>
        <v/>
      </c>
      <c r="C466" s="4"/>
      <c r="G466" s="4"/>
      <c r="H466" s="4"/>
      <c r="I466" s="4"/>
      <c r="J466" s="4"/>
      <c r="K466" s="4"/>
      <c r="L466" s="5"/>
      <c r="BJ466" s="4"/>
      <c r="BK466" s="4"/>
      <c r="BL466" s="7"/>
    </row>
    <row r="467">
      <c r="A467" s="4" t="str">
        <f t="shared" si="1"/>
        <v/>
      </c>
      <c r="C467" s="4"/>
      <c r="G467" s="4"/>
      <c r="H467" s="4"/>
      <c r="I467" s="4"/>
      <c r="J467" s="4"/>
      <c r="K467" s="4"/>
      <c r="L467" s="5"/>
      <c r="BJ467" s="4"/>
      <c r="BK467" s="4"/>
      <c r="BL467" s="7"/>
    </row>
    <row r="468">
      <c r="A468" s="4" t="str">
        <f t="shared" si="1"/>
        <v/>
      </c>
      <c r="C468" s="4"/>
      <c r="G468" s="4"/>
      <c r="H468" s="4"/>
      <c r="I468" s="4"/>
      <c r="J468" s="4"/>
      <c r="K468" s="4"/>
      <c r="L468" s="5"/>
      <c r="BJ468" s="4"/>
      <c r="BK468" s="4"/>
      <c r="BL468" s="7"/>
    </row>
    <row r="469">
      <c r="A469" s="4" t="str">
        <f t="shared" si="1"/>
        <v/>
      </c>
      <c r="C469" s="4"/>
      <c r="G469" s="4"/>
      <c r="H469" s="4"/>
      <c r="I469" s="4"/>
      <c r="J469" s="4"/>
      <c r="K469" s="4"/>
      <c r="L469" s="5"/>
      <c r="BJ469" s="4"/>
      <c r="BK469" s="4"/>
      <c r="BL469" s="7"/>
    </row>
    <row r="470">
      <c r="A470" s="4" t="str">
        <f t="shared" si="1"/>
        <v/>
      </c>
      <c r="C470" s="4"/>
      <c r="G470" s="4"/>
      <c r="H470" s="4"/>
      <c r="I470" s="4"/>
      <c r="J470" s="4"/>
      <c r="K470" s="4"/>
      <c r="L470" s="5"/>
      <c r="BJ470" s="4"/>
      <c r="BK470" s="4"/>
      <c r="BL470" s="7"/>
    </row>
    <row r="471">
      <c r="A471" s="4" t="str">
        <f t="shared" si="1"/>
        <v/>
      </c>
      <c r="C471" s="4"/>
      <c r="G471" s="4"/>
      <c r="H471" s="4"/>
      <c r="I471" s="4"/>
      <c r="J471" s="4"/>
      <c r="K471" s="4"/>
      <c r="L471" s="5"/>
      <c r="BJ471" s="4"/>
      <c r="BK471" s="4"/>
      <c r="BL471" s="7"/>
    </row>
    <row r="472">
      <c r="A472" s="4" t="str">
        <f t="shared" si="1"/>
        <v/>
      </c>
      <c r="C472" s="4"/>
      <c r="G472" s="4"/>
      <c r="H472" s="4"/>
      <c r="I472" s="4"/>
      <c r="J472" s="4"/>
      <c r="K472" s="4"/>
      <c r="L472" s="5"/>
      <c r="BJ472" s="4"/>
      <c r="BK472" s="4"/>
      <c r="BL472" s="7"/>
    </row>
    <row r="473">
      <c r="A473" s="4" t="str">
        <f t="shared" si="1"/>
        <v/>
      </c>
      <c r="C473" s="4"/>
      <c r="G473" s="4"/>
      <c r="H473" s="4"/>
      <c r="I473" s="4"/>
      <c r="J473" s="4"/>
      <c r="K473" s="4"/>
      <c r="L473" s="5"/>
      <c r="BJ473" s="4"/>
      <c r="BK473" s="4"/>
      <c r="BL473" s="7"/>
    </row>
    <row r="474">
      <c r="A474" s="4" t="str">
        <f t="shared" si="1"/>
        <v/>
      </c>
      <c r="C474" s="4"/>
      <c r="G474" s="4"/>
      <c r="H474" s="4"/>
      <c r="I474" s="4"/>
      <c r="J474" s="4"/>
      <c r="K474" s="4"/>
      <c r="L474" s="5"/>
      <c r="BJ474" s="4"/>
      <c r="BK474" s="4"/>
      <c r="BL474" s="7"/>
    </row>
    <row r="475">
      <c r="A475" s="4" t="str">
        <f t="shared" si="1"/>
        <v/>
      </c>
      <c r="C475" s="4"/>
      <c r="G475" s="4"/>
      <c r="H475" s="4"/>
      <c r="I475" s="4"/>
      <c r="J475" s="4"/>
      <c r="K475" s="4"/>
      <c r="L475" s="5"/>
      <c r="BJ475" s="4"/>
      <c r="BK475" s="4"/>
      <c r="BL475" s="7"/>
    </row>
    <row r="476">
      <c r="A476" s="4" t="str">
        <f t="shared" si="1"/>
        <v/>
      </c>
      <c r="C476" s="4"/>
      <c r="G476" s="4"/>
      <c r="H476" s="4"/>
      <c r="I476" s="4"/>
      <c r="J476" s="4"/>
      <c r="K476" s="4"/>
      <c r="L476" s="5"/>
      <c r="BJ476" s="4"/>
      <c r="BK476" s="4"/>
      <c r="BL476" s="7"/>
    </row>
    <row r="477">
      <c r="A477" s="4" t="str">
        <f t="shared" si="1"/>
        <v/>
      </c>
      <c r="C477" s="4"/>
      <c r="G477" s="4"/>
      <c r="H477" s="4"/>
      <c r="I477" s="4"/>
      <c r="J477" s="4"/>
      <c r="K477" s="4"/>
      <c r="L477" s="5"/>
      <c r="BJ477" s="4"/>
      <c r="BK477" s="4"/>
      <c r="BL477" s="7"/>
    </row>
    <row r="478">
      <c r="A478" s="4" t="str">
        <f t="shared" si="1"/>
        <v/>
      </c>
      <c r="C478" s="4"/>
      <c r="G478" s="4"/>
      <c r="H478" s="4"/>
      <c r="I478" s="4"/>
      <c r="J478" s="4"/>
      <c r="K478" s="4"/>
      <c r="L478" s="5"/>
      <c r="BJ478" s="4"/>
      <c r="BK478" s="4"/>
      <c r="BL478" s="7"/>
    </row>
    <row r="479">
      <c r="A479" s="4" t="str">
        <f t="shared" si="1"/>
        <v/>
      </c>
      <c r="C479" s="4"/>
      <c r="G479" s="4"/>
      <c r="H479" s="4"/>
      <c r="I479" s="4"/>
      <c r="J479" s="4"/>
      <c r="K479" s="4"/>
      <c r="L479" s="5"/>
      <c r="BJ479" s="4"/>
      <c r="BK479" s="4"/>
      <c r="BL479" s="7"/>
    </row>
    <row r="480">
      <c r="A480" s="4" t="str">
        <f t="shared" si="1"/>
        <v/>
      </c>
      <c r="C480" s="4"/>
      <c r="G480" s="4"/>
      <c r="H480" s="4"/>
      <c r="I480" s="4"/>
      <c r="J480" s="4"/>
      <c r="K480" s="4"/>
      <c r="L480" s="5"/>
      <c r="BJ480" s="4"/>
      <c r="BK480" s="4"/>
      <c r="BL480" s="7"/>
    </row>
    <row r="481">
      <c r="A481" s="4" t="str">
        <f t="shared" si="1"/>
        <v/>
      </c>
      <c r="C481" s="4"/>
      <c r="G481" s="4"/>
      <c r="H481" s="4"/>
      <c r="I481" s="4"/>
      <c r="J481" s="4"/>
      <c r="K481" s="4"/>
      <c r="L481" s="5"/>
      <c r="BJ481" s="4"/>
      <c r="BK481" s="4"/>
      <c r="BL481" s="7"/>
    </row>
    <row r="482">
      <c r="A482" s="4" t="str">
        <f t="shared" si="1"/>
        <v/>
      </c>
      <c r="C482" s="4"/>
      <c r="G482" s="4"/>
      <c r="H482" s="4"/>
      <c r="I482" s="4"/>
      <c r="J482" s="4"/>
      <c r="K482" s="4"/>
      <c r="L482" s="5"/>
      <c r="BJ482" s="4"/>
      <c r="BK482" s="4"/>
      <c r="BL482" s="7"/>
    </row>
    <row r="483">
      <c r="A483" s="4" t="str">
        <f t="shared" si="1"/>
        <v/>
      </c>
      <c r="C483" s="4"/>
      <c r="G483" s="4"/>
      <c r="H483" s="4"/>
      <c r="I483" s="4"/>
      <c r="J483" s="4"/>
      <c r="K483" s="4"/>
      <c r="L483" s="5"/>
      <c r="BJ483" s="4"/>
      <c r="BK483" s="4"/>
      <c r="BL483" s="7"/>
    </row>
    <row r="484">
      <c r="A484" s="4" t="str">
        <f t="shared" si="1"/>
        <v/>
      </c>
      <c r="C484" s="4"/>
      <c r="G484" s="4"/>
      <c r="H484" s="4"/>
      <c r="I484" s="4"/>
      <c r="J484" s="4"/>
      <c r="K484" s="4"/>
      <c r="L484" s="5"/>
      <c r="BJ484" s="4"/>
      <c r="BK484" s="4"/>
      <c r="BL484" s="7"/>
    </row>
    <row r="485">
      <c r="A485" s="4" t="str">
        <f t="shared" si="1"/>
        <v/>
      </c>
      <c r="C485" s="4"/>
      <c r="G485" s="4"/>
      <c r="H485" s="4"/>
      <c r="I485" s="4"/>
      <c r="J485" s="4"/>
      <c r="K485" s="4"/>
      <c r="L485" s="5"/>
      <c r="BJ485" s="4"/>
      <c r="BK485" s="4"/>
      <c r="BL485" s="7"/>
    </row>
    <row r="486">
      <c r="A486" s="4" t="str">
        <f t="shared" si="1"/>
        <v/>
      </c>
      <c r="C486" s="4"/>
      <c r="G486" s="4"/>
      <c r="H486" s="4"/>
      <c r="I486" s="4"/>
      <c r="J486" s="4"/>
      <c r="K486" s="4"/>
      <c r="L486" s="5"/>
      <c r="BJ486" s="4"/>
      <c r="BK486" s="4"/>
      <c r="BL486" s="7"/>
    </row>
    <row r="487">
      <c r="A487" s="4" t="str">
        <f t="shared" si="1"/>
        <v/>
      </c>
      <c r="C487" s="4"/>
      <c r="G487" s="4"/>
      <c r="H487" s="4"/>
      <c r="I487" s="4"/>
      <c r="J487" s="4"/>
      <c r="K487" s="4"/>
      <c r="L487" s="5"/>
      <c r="BJ487" s="4"/>
      <c r="BK487" s="4"/>
      <c r="BL487" s="7"/>
    </row>
    <row r="488">
      <c r="A488" s="4" t="str">
        <f t="shared" si="1"/>
        <v/>
      </c>
      <c r="C488" s="4"/>
      <c r="G488" s="4"/>
      <c r="H488" s="4"/>
      <c r="I488" s="4"/>
      <c r="J488" s="4"/>
      <c r="K488" s="4"/>
      <c r="L488" s="5"/>
      <c r="BJ488" s="4"/>
      <c r="BK488" s="4"/>
      <c r="BL488" s="7"/>
    </row>
    <row r="489">
      <c r="A489" s="4" t="str">
        <f t="shared" si="1"/>
        <v/>
      </c>
      <c r="C489" s="4"/>
      <c r="G489" s="4"/>
      <c r="H489" s="4"/>
      <c r="I489" s="4"/>
      <c r="J489" s="4"/>
      <c r="K489" s="4"/>
      <c r="L489" s="5"/>
      <c r="BJ489" s="4"/>
      <c r="BK489" s="4"/>
      <c r="BL489" s="7"/>
    </row>
    <row r="490">
      <c r="A490" s="4" t="str">
        <f t="shared" si="1"/>
        <v/>
      </c>
      <c r="C490" s="4"/>
      <c r="G490" s="4"/>
      <c r="H490" s="4"/>
      <c r="I490" s="4"/>
      <c r="J490" s="4"/>
      <c r="K490" s="4"/>
      <c r="L490" s="5"/>
      <c r="BJ490" s="4"/>
      <c r="BK490" s="4"/>
      <c r="BL490" s="7"/>
    </row>
    <row r="491">
      <c r="A491" s="4" t="str">
        <f t="shared" si="1"/>
        <v/>
      </c>
      <c r="C491" s="4"/>
      <c r="G491" s="4"/>
      <c r="H491" s="4"/>
      <c r="I491" s="4"/>
      <c r="J491" s="4"/>
      <c r="K491" s="4"/>
      <c r="L491" s="5"/>
      <c r="BJ491" s="4"/>
      <c r="BK491" s="4"/>
      <c r="BL491" s="7"/>
    </row>
    <row r="492">
      <c r="A492" s="4" t="str">
        <f t="shared" si="1"/>
        <v/>
      </c>
      <c r="C492" s="4"/>
      <c r="G492" s="4"/>
      <c r="H492" s="4"/>
      <c r="I492" s="4"/>
      <c r="J492" s="4"/>
      <c r="K492" s="4"/>
      <c r="L492" s="5"/>
      <c r="BJ492" s="4"/>
      <c r="BK492" s="4"/>
      <c r="BL492" s="7"/>
    </row>
    <row r="493">
      <c r="A493" s="4" t="str">
        <f t="shared" si="1"/>
        <v/>
      </c>
      <c r="C493" s="4"/>
      <c r="G493" s="4"/>
      <c r="H493" s="4"/>
      <c r="I493" s="4"/>
      <c r="J493" s="4"/>
      <c r="K493" s="4"/>
      <c r="L493" s="5"/>
      <c r="BJ493" s="4"/>
      <c r="BK493" s="4"/>
      <c r="BL493" s="7"/>
    </row>
    <row r="494">
      <c r="A494" s="4" t="str">
        <f t="shared" si="1"/>
        <v/>
      </c>
      <c r="C494" s="4"/>
      <c r="G494" s="4"/>
      <c r="H494" s="4"/>
      <c r="I494" s="4"/>
      <c r="J494" s="4"/>
      <c r="K494" s="4"/>
      <c r="L494" s="5"/>
      <c r="BJ494" s="4"/>
      <c r="BK494" s="4"/>
      <c r="BL494" s="7"/>
    </row>
    <row r="495">
      <c r="A495" s="4" t="str">
        <f t="shared" si="1"/>
        <v/>
      </c>
      <c r="C495" s="4"/>
      <c r="G495" s="4"/>
      <c r="H495" s="4"/>
      <c r="I495" s="4"/>
      <c r="J495" s="4"/>
      <c r="K495" s="4"/>
      <c r="L495" s="5"/>
      <c r="BJ495" s="4"/>
      <c r="BK495" s="4"/>
      <c r="BL495" s="7"/>
    </row>
    <row r="496">
      <c r="A496" s="4" t="str">
        <f t="shared" si="1"/>
        <v/>
      </c>
      <c r="C496" s="4"/>
      <c r="G496" s="4"/>
      <c r="H496" s="4"/>
      <c r="I496" s="4"/>
      <c r="J496" s="4"/>
      <c r="K496" s="4"/>
      <c r="L496" s="5"/>
      <c r="BJ496" s="4"/>
      <c r="BK496" s="4"/>
      <c r="BL496" s="7"/>
    </row>
    <row r="497">
      <c r="A497" s="4" t="str">
        <f t="shared" si="1"/>
        <v/>
      </c>
      <c r="C497" s="4"/>
      <c r="G497" s="4"/>
      <c r="H497" s="4"/>
      <c r="I497" s="4"/>
      <c r="J497" s="4"/>
      <c r="K497" s="4"/>
      <c r="L497" s="5"/>
      <c r="BJ497" s="4"/>
      <c r="BK497" s="4"/>
      <c r="BL497" s="7"/>
    </row>
    <row r="498">
      <c r="A498" s="4" t="str">
        <f t="shared" si="1"/>
        <v/>
      </c>
      <c r="C498" s="4"/>
      <c r="G498" s="4"/>
      <c r="H498" s="4"/>
      <c r="I498" s="4"/>
      <c r="J498" s="4"/>
      <c r="K498" s="4"/>
      <c r="L498" s="5"/>
      <c r="BJ498" s="4"/>
      <c r="BK498" s="4"/>
      <c r="BL498" s="7"/>
    </row>
    <row r="499">
      <c r="A499" s="4" t="str">
        <f t="shared" si="1"/>
        <v/>
      </c>
      <c r="C499" s="4"/>
      <c r="G499" s="4"/>
      <c r="H499" s="4"/>
      <c r="I499" s="4"/>
      <c r="J499" s="4"/>
      <c r="K499" s="4"/>
      <c r="L499" s="5"/>
      <c r="BJ499" s="4"/>
      <c r="BK499" s="4"/>
      <c r="BL499" s="7"/>
    </row>
    <row r="500">
      <c r="A500" s="4" t="str">
        <f t="shared" si="1"/>
        <v/>
      </c>
      <c r="C500" s="4"/>
      <c r="G500" s="4"/>
      <c r="H500" s="4"/>
      <c r="I500" s="4"/>
      <c r="J500" s="4"/>
      <c r="K500" s="4"/>
      <c r="L500" s="5"/>
      <c r="BJ500" s="4"/>
      <c r="BK500" s="4"/>
      <c r="BL500" s="7"/>
    </row>
    <row r="501">
      <c r="A501" s="4" t="str">
        <f t="shared" si="1"/>
        <v/>
      </c>
      <c r="C501" s="4"/>
      <c r="G501" s="4"/>
      <c r="H501" s="4"/>
      <c r="I501" s="4"/>
      <c r="J501" s="4"/>
      <c r="K501" s="4"/>
      <c r="L501" s="5"/>
      <c r="BJ501" s="4"/>
      <c r="BK501" s="4"/>
      <c r="BL501" s="7"/>
    </row>
    <row r="502">
      <c r="A502" s="4" t="str">
        <f t="shared" si="1"/>
        <v/>
      </c>
      <c r="C502" s="4"/>
      <c r="G502" s="4"/>
      <c r="H502" s="4"/>
      <c r="I502" s="4"/>
      <c r="J502" s="4"/>
      <c r="K502" s="4"/>
      <c r="L502" s="5"/>
      <c r="BJ502" s="4"/>
      <c r="BK502" s="4"/>
      <c r="BL502" s="7"/>
    </row>
    <row r="503">
      <c r="A503" s="4" t="str">
        <f t="shared" si="1"/>
        <v/>
      </c>
      <c r="C503" s="4"/>
      <c r="G503" s="4"/>
      <c r="H503" s="4"/>
      <c r="I503" s="4"/>
      <c r="J503" s="4"/>
      <c r="K503" s="4"/>
      <c r="L503" s="5"/>
      <c r="BJ503" s="4"/>
      <c r="BK503" s="4"/>
      <c r="BL503" s="7"/>
    </row>
    <row r="504">
      <c r="A504" s="4" t="str">
        <f t="shared" si="1"/>
        <v/>
      </c>
      <c r="C504" s="4"/>
      <c r="G504" s="4"/>
      <c r="H504" s="4"/>
      <c r="I504" s="4"/>
      <c r="J504" s="4"/>
      <c r="K504" s="4"/>
      <c r="L504" s="5"/>
      <c r="BJ504" s="4"/>
      <c r="BK504" s="4"/>
      <c r="BL504" s="7"/>
    </row>
    <row r="505">
      <c r="A505" s="4" t="str">
        <f t="shared" si="1"/>
        <v/>
      </c>
      <c r="C505" s="4"/>
      <c r="G505" s="4"/>
      <c r="H505" s="4"/>
      <c r="I505" s="4"/>
      <c r="J505" s="4"/>
      <c r="K505" s="4"/>
      <c r="L505" s="5"/>
      <c r="BJ505" s="4"/>
      <c r="BK505" s="4"/>
      <c r="BL505" s="7"/>
    </row>
    <row r="506">
      <c r="A506" s="4" t="str">
        <f t="shared" si="1"/>
        <v/>
      </c>
      <c r="C506" s="4"/>
      <c r="G506" s="4"/>
      <c r="H506" s="4"/>
      <c r="I506" s="4"/>
      <c r="J506" s="4"/>
      <c r="K506" s="4"/>
      <c r="L506" s="5"/>
      <c r="BJ506" s="4"/>
      <c r="BK506" s="4"/>
      <c r="BL506" s="7"/>
    </row>
    <row r="507">
      <c r="A507" s="4" t="str">
        <f t="shared" si="1"/>
        <v/>
      </c>
      <c r="C507" s="4"/>
      <c r="G507" s="4"/>
      <c r="H507" s="4"/>
      <c r="I507" s="4"/>
      <c r="J507" s="4"/>
      <c r="K507" s="4"/>
      <c r="L507" s="5"/>
      <c r="BJ507" s="4"/>
      <c r="BK507" s="4"/>
      <c r="BL507" s="7"/>
    </row>
    <row r="508">
      <c r="A508" s="4" t="str">
        <f t="shared" si="1"/>
        <v/>
      </c>
      <c r="C508" s="4"/>
      <c r="G508" s="4"/>
      <c r="H508" s="4"/>
      <c r="I508" s="4"/>
      <c r="J508" s="4"/>
      <c r="K508" s="4"/>
      <c r="L508" s="5"/>
      <c r="BJ508" s="4"/>
      <c r="BK508" s="4"/>
      <c r="BL508" s="7"/>
    </row>
    <row r="509">
      <c r="A509" s="4" t="str">
        <f t="shared" si="1"/>
        <v/>
      </c>
      <c r="C509" s="4"/>
      <c r="G509" s="4"/>
      <c r="H509" s="4"/>
      <c r="I509" s="4"/>
      <c r="J509" s="4"/>
      <c r="K509" s="4"/>
      <c r="L509" s="5"/>
      <c r="BJ509" s="4"/>
      <c r="BK509" s="4"/>
      <c r="BL509" s="7"/>
    </row>
    <row r="510">
      <c r="A510" s="4" t="str">
        <f t="shared" si="1"/>
        <v/>
      </c>
      <c r="C510" s="4"/>
      <c r="G510" s="4"/>
      <c r="H510" s="4"/>
      <c r="I510" s="4"/>
      <c r="J510" s="4"/>
      <c r="K510" s="4"/>
      <c r="L510" s="5"/>
      <c r="BJ510" s="4"/>
      <c r="BK510" s="4"/>
      <c r="BL510" s="7"/>
    </row>
    <row r="511">
      <c r="A511" s="4" t="str">
        <f t="shared" si="1"/>
        <v/>
      </c>
      <c r="C511" s="4"/>
      <c r="G511" s="4"/>
      <c r="H511" s="4"/>
      <c r="I511" s="4"/>
      <c r="J511" s="4"/>
      <c r="K511" s="4"/>
      <c r="L511" s="5"/>
      <c r="BJ511" s="4"/>
      <c r="BK511" s="4"/>
      <c r="BL511" s="7"/>
    </row>
    <row r="512">
      <c r="A512" s="4" t="str">
        <f t="shared" si="1"/>
        <v/>
      </c>
      <c r="C512" s="4"/>
      <c r="G512" s="4"/>
      <c r="H512" s="4"/>
      <c r="I512" s="4"/>
      <c r="J512" s="4"/>
      <c r="K512" s="4"/>
      <c r="L512" s="5"/>
      <c r="BJ512" s="4"/>
      <c r="BK512" s="4"/>
      <c r="BL512" s="7"/>
    </row>
    <row r="513">
      <c r="A513" s="4" t="str">
        <f t="shared" si="1"/>
        <v/>
      </c>
      <c r="C513" s="4"/>
      <c r="G513" s="4"/>
      <c r="H513" s="4"/>
      <c r="I513" s="4"/>
      <c r="J513" s="4"/>
      <c r="K513" s="4"/>
      <c r="L513" s="5"/>
      <c r="BJ513" s="4"/>
      <c r="BK513" s="4"/>
      <c r="BL513" s="7"/>
    </row>
    <row r="514">
      <c r="A514" s="4" t="str">
        <f t="shared" si="1"/>
        <v/>
      </c>
      <c r="C514" s="4"/>
      <c r="G514" s="4"/>
      <c r="H514" s="4"/>
      <c r="I514" s="4"/>
      <c r="J514" s="4"/>
      <c r="K514" s="4"/>
      <c r="L514" s="5"/>
      <c r="BJ514" s="4"/>
      <c r="BK514" s="4"/>
      <c r="BL514" s="7"/>
    </row>
    <row r="515">
      <c r="A515" s="4" t="str">
        <f t="shared" si="1"/>
        <v/>
      </c>
      <c r="C515" s="4"/>
      <c r="G515" s="4"/>
      <c r="H515" s="4"/>
      <c r="I515" s="4"/>
      <c r="J515" s="4"/>
      <c r="K515" s="4"/>
      <c r="L515" s="5"/>
      <c r="BJ515" s="4"/>
      <c r="BK515" s="4"/>
      <c r="BL515" s="7"/>
    </row>
    <row r="516">
      <c r="A516" s="4" t="str">
        <f t="shared" si="1"/>
        <v/>
      </c>
      <c r="C516" s="4"/>
      <c r="G516" s="4"/>
      <c r="H516" s="4"/>
      <c r="I516" s="4"/>
      <c r="J516" s="4"/>
      <c r="K516" s="4"/>
      <c r="L516" s="5"/>
      <c r="BJ516" s="4"/>
      <c r="BK516" s="4"/>
      <c r="BL516" s="7"/>
    </row>
    <row r="517">
      <c r="A517" s="4" t="str">
        <f t="shared" si="1"/>
        <v/>
      </c>
      <c r="C517" s="4"/>
      <c r="G517" s="4"/>
      <c r="H517" s="4"/>
      <c r="I517" s="4"/>
      <c r="J517" s="4"/>
      <c r="K517" s="4"/>
      <c r="L517" s="5"/>
      <c r="BJ517" s="4"/>
      <c r="BK517" s="4"/>
      <c r="BL517" s="7"/>
    </row>
    <row r="518">
      <c r="A518" s="4" t="str">
        <f t="shared" si="1"/>
        <v/>
      </c>
      <c r="C518" s="4"/>
      <c r="G518" s="4"/>
      <c r="H518" s="4"/>
      <c r="I518" s="4"/>
      <c r="J518" s="4"/>
      <c r="K518" s="4"/>
      <c r="L518" s="5"/>
      <c r="BJ518" s="4"/>
      <c r="BK518" s="4"/>
      <c r="BL518" s="7"/>
    </row>
    <row r="519">
      <c r="A519" s="4" t="str">
        <f t="shared" si="1"/>
        <v/>
      </c>
      <c r="C519" s="4"/>
      <c r="G519" s="4"/>
      <c r="H519" s="4"/>
      <c r="I519" s="4"/>
      <c r="J519" s="4"/>
      <c r="K519" s="4"/>
      <c r="L519" s="5"/>
      <c r="BJ519" s="4"/>
      <c r="BK519" s="4"/>
      <c r="BL519" s="7"/>
    </row>
    <row r="520">
      <c r="A520" s="4" t="str">
        <f t="shared" si="1"/>
        <v/>
      </c>
      <c r="C520" s="4"/>
      <c r="G520" s="4"/>
      <c r="H520" s="4"/>
      <c r="I520" s="4"/>
      <c r="J520" s="4"/>
      <c r="K520" s="4"/>
      <c r="L520" s="5"/>
      <c r="BJ520" s="4"/>
      <c r="BK520" s="4"/>
      <c r="BL520" s="7"/>
    </row>
    <row r="521">
      <c r="A521" s="4" t="str">
        <f t="shared" si="1"/>
        <v/>
      </c>
      <c r="C521" s="4"/>
      <c r="G521" s="4"/>
      <c r="H521" s="4"/>
      <c r="I521" s="4"/>
      <c r="J521" s="4"/>
      <c r="K521" s="4"/>
      <c r="L521" s="5"/>
      <c r="BJ521" s="4"/>
      <c r="BK521" s="4"/>
      <c r="BL521" s="7"/>
    </row>
    <row r="522">
      <c r="A522" s="4" t="str">
        <f t="shared" si="1"/>
        <v/>
      </c>
      <c r="C522" s="4"/>
      <c r="G522" s="4"/>
      <c r="H522" s="4"/>
      <c r="I522" s="4"/>
      <c r="J522" s="4"/>
      <c r="K522" s="4"/>
      <c r="L522" s="5"/>
      <c r="BJ522" s="4"/>
      <c r="BK522" s="4"/>
      <c r="BL522" s="7"/>
    </row>
    <row r="523">
      <c r="A523" s="4" t="str">
        <f t="shared" si="1"/>
        <v/>
      </c>
      <c r="C523" s="4"/>
      <c r="G523" s="4"/>
      <c r="H523" s="4"/>
      <c r="I523" s="4"/>
      <c r="J523" s="4"/>
      <c r="K523" s="4"/>
      <c r="L523" s="5"/>
      <c r="BJ523" s="4"/>
      <c r="BK523" s="4"/>
      <c r="BL523" s="7"/>
    </row>
    <row r="524">
      <c r="A524" s="4" t="str">
        <f t="shared" si="1"/>
        <v/>
      </c>
      <c r="C524" s="4"/>
      <c r="G524" s="4"/>
      <c r="H524" s="4"/>
      <c r="I524" s="4"/>
      <c r="J524" s="4"/>
      <c r="K524" s="4"/>
      <c r="L524" s="5"/>
      <c r="BJ524" s="4"/>
      <c r="BK524" s="4"/>
      <c r="BL524" s="7"/>
    </row>
    <row r="525">
      <c r="A525" s="4" t="str">
        <f t="shared" si="1"/>
        <v/>
      </c>
      <c r="C525" s="4"/>
      <c r="G525" s="4"/>
      <c r="H525" s="4"/>
      <c r="I525" s="4"/>
      <c r="J525" s="4"/>
      <c r="K525" s="4"/>
      <c r="L525" s="5"/>
      <c r="BJ525" s="4"/>
      <c r="BK525" s="4"/>
      <c r="BL525" s="7"/>
    </row>
    <row r="526">
      <c r="A526" s="4" t="str">
        <f t="shared" si="1"/>
        <v/>
      </c>
      <c r="C526" s="4"/>
      <c r="G526" s="4"/>
      <c r="H526" s="4"/>
      <c r="I526" s="4"/>
      <c r="J526" s="4"/>
      <c r="K526" s="4"/>
      <c r="L526" s="5"/>
      <c r="BJ526" s="4"/>
      <c r="BK526" s="4"/>
      <c r="BL526" s="7"/>
    </row>
    <row r="527">
      <c r="A527" s="4" t="str">
        <f t="shared" si="1"/>
        <v/>
      </c>
      <c r="C527" s="4"/>
      <c r="G527" s="4"/>
      <c r="H527" s="4"/>
      <c r="I527" s="4"/>
      <c r="J527" s="4"/>
      <c r="K527" s="4"/>
      <c r="L527" s="5"/>
      <c r="BJ527" s="4"/>
      <c r="BK527" s="4"/>
      <c r="BL527" s="7"/>
    </row>
    <row r="528">
      <c r="A528" s="4" t="str">
        <f t="shared" si="1"/>
        <v/>
      </c>
      <c r="C528" s="4"/>
      <c r="G528" s="4"/>
      <c r="H528" s="4"/>
      <c r="I528" s="4"/>
      <c r="J528" s="4"/>
      <c r="K528" s="4"/>
      <c r="L528" s="5"/>
      <c r="BJ528" s="4"/>
      <c r="BK528" s="4"/>
      <c r="BL528" s="7"/>
    </row>
    <row r="529">
      <c r="A529" s="4" t="str">
        <f t="shared" si="1"/>
        <v/>
      </c>
      <c r="C529" s="4"/>
      <c r="G529" s="4"/>
      <c r="H529" s="4"/>
      <c r="I529" s="4"/>
      <c r="J529" s="4"/>
      <c r="K529" s="4"/>
      <c r="L529" s="5"/>
      <c r="BJ529" s="4"/>
      <c r="BK529" s="4"/>
      <c r="BL529" s="7"/>
    </row>
    <row r="530">
      <c r="A530" s="4" t="str">
        <f t="shared" si="1"/>
        <v/>
      </c>
      <c r="C530" s="4"/>
      <c r="G530" s="4"/>
      <c r="H530" s="4"/>
      <c r="I530" s="4"/>
      <c r="J530" s="4"/>
      <c r="K530" s="4"/>
      <c r="L530" s="5"/>
      <c r="BJ530" s="4"/>
      <c r="BK530" s="4"/>
      <c r="BL530" s="7"/>
    </row>
    <row r="531">
      <c r="A531" s="4" t="str">
        <f t="shared" si="1"/>
        <v/>
      </c>
      <c r="C531" s="4"/>
      <c r="G531" s="4"/>
      <c r="H531" s="4"/>
      <c r="I531" s="4"/>
      <c r="J531" s="4"/>
      <c r="K531" s="4"/>
      <c r="L531" s="5"/>
      <c r="BJ531" s="4"/>
      <c r="BK531" s="4"/>
      <c r="BL531" s="7"/>
    </row>
    <row r="532">
      <c r="A532" s="4" t="str">
        <f t="shared" si="1"/>
        <v/>
      </c>
      <c r="C532" s="4"/>
      <c r="G532" s="4"/>
      <c r="H532" s="4"/>
      <c r="I532" s="4"/>
      <c r="J532" s="4"/>
      <c r="K532" s="4"/>
      <c r="L532" s="5"/>
      <c r="BJ532" s="4"/>
      <c r="BK532" s="4"/>
      <c r="BL532" s="7"/>
    </row>
    <row r="533">
      <c r="A533" s="4" t="str">
        <f t="shared" si="1"/>
        <v/>
      </c>
      <c r="C533" s="4"/>
      <c r="G533" s="4"/>
      <c r="H533" s="4"/>
      <c r="I533" s="4"/>
      <c r="J533" s="4"/>
      <c r="K533" s="4"/>
      <c r="L533" s="5"/>
      <c r="BJ533" s="4"/>
      <c r="BK533" s="4"/>
      <c r="BL533" s="7"/>
    </row>
    <row r="534">
      <c r="A534" s="4" t="str">
        <f t="shared" si="1"/>
        <v/>
      </c>
      <c r="C534" s="4"/>
      <c r="G534" s="4"/>
      <c r="H534" s="4"/>
      <c r="I534" s="4"/>
      <c r="J534" s="4"/>
      <c r="K534" s="4"/>
      <c r="L534" s="5"/>
      <c r="BJ534" s="4"/>
      <c r="BK534" s="4"/>
      <c r="BL534" s="7"/>
    </row>
    <row r="535">
      <c r="A535" s="4" t="str">
        <f t="shared" si="1"/>
        <v/>
      </c>
      <c r="C535" s="4"/>
      <c r="G535" s="4"/>
      <c r="H535" s="4"/>
      <c r="I535" s="4"/>
      <c r="J535" s="4"/>
      <c r="K535" s="4"/>
      <c r="L535" s="5"/>
      <c r="BJ535" s="4"/>
      <c r="BK535" s="4"/>
      <c r="BL535" s="7"/>
    </row>
    <row r="536">
      <c r="A536" s="4" t="str">
        <f t="shared" si="1"/>
        <v/>
      </c>
      <c r="C536" s="4"/>
      <c r="G536" s="4"/>
      <c r="H536" s="4"/>
      <c r="I536" s="4"/>
      <c r="J536" s="4"/>
      <c r="K536" s="4"/>
      <c r="L536" s="5"/>
      <c r="BJ536" s="4"/>
      <c r="BK536" s="4"/>
      <c r="BL536" s="7"/>
    </row>
    <row r="537">
      <c r="A537" s="4" t="str">
        <f t="shared" si="1"/>
        <v/>
      </c>
      <c r="C537" s="4"/>
      <c r="G537" s="4"/>
      <c r="H537" s="4"/>
      <c r="I537" s="4"/>
      <c r="J537" s="4"/>
      <c r="K537" s="4"/>
      <c r="L537" s="5"/>
      <c r="BJ537" s="4"/>
      <c r="BK537" s="4"/>
      <c r="BL537" s="7"/>
    </row>
    <row r="538">
      <c r="A538" s="4" t="str">
        <f t="shared" si="1"/>
        <v/>
      </c>
      <c r="C538" s="4"/>
      <c r="G538" s="4"/>
      <c r="H538" s="4"/>
      <c r="I538" s="4"/>
      <c r="J538" s="4"/>
      <c r="K538" s="4"/>
      <c r="L538" s="5"/>
      <c r="BJ538" s="4"/>
      <c r="BK538" s="4"/>
      <c r="BL538" s="7"/>
    </row>
    <row r="539">
      <c r="A539" s="4" t="str">
        <f t="shared" si="1"/>
        <v/>
      </c>
      <c r="C539" s="4"/>
      <c r="G539" s="4"/>
      <c r="H539" s="4"/>
      <c r="I539" s="4"/>
      <c r="J539" s="4"/>
      <c r="K539" s="4"/>
      <c r="L539" s="5"/>
      <c r="BJ539" s="4"/>
      <c r="BK539" s="4"/>
      <c r="BL539" s="7"/>
    </row>
    <row r="540">
      <c r="A540" s="4" t="str">
        <f t="shared" si="1"/>
        <v/>
      </c>
      <c r="C540" s="4"/>
      <c r="G540" s="4"/>
      <c r="H540" s="4"/>
      <c r="I540" s="4"/>
      <c r="J540" s="4"/>
      <c r="K540" s="4"/>
      <c r="L540" s="5"/>
      <c r="BJ540" s="4"/>
      <c r="BK540" s="4"/>
      <c r="BL540" s="7"/>
    </row>
    <row r="541">
      <c r="A541" s="4" t="str">
        <f t="shared" si="1"/>
        <v/>
      </c>
      <c r="C541" s="4"/>
      <c r="G541" s="4"/>
      <c r="H541" s="4"/>
      <c r="I541" s="4"/>
      <c r="J541" s="4"/>
      <c r="K541" s="4"/>
      <c r="L541" s="5"/>
      <c r="BJ541" s="4"/>
      <c r="BK541" s="4"/>
      <c r="BL541" s="7"/>
    </row>
    <row r="542">
      <c r="A542" s="4" t="str">
        <f t="shared" si="1"/>
        <v/>
      </c>
      <c r="C542" s="4"/>
      <c r="G542" s="4"/>
      <c r="H542" s="4"/>
      <c r="I542" s="4"/>
      <c r="J542" s="4"/>
      <c r="K542" s="4"/>
      <c r="L542" s="5"/>
      <c r="BJ542" s="4"/>
      <c r="BK542" s="4"/>
      <c r="BL542" s="7"/>
    </row>
    <row r="543">
      <c r="A543" s="4" t="str">
        <f t="shared" si="1"/>
        <v/>
      </c>
      <c r="C543" s="4"/>
      <c r="G543" s="4"/>
      <c r="H543" s="4"/>
      <c r="I543" s="4"/>
      <c r="J543" s="4"/>
      <c r="K543" s="4"/>
      <c r="L543" s="5"/>
      <c r="BJ543" s="4"/>
      <c r="BK543" s="4"/>
      <c r="BL543" s="7"/>
    </row>
    <row r="544">
      <c r="A544" s="4" t="str">
        <f t="shared" si="1"/>
        <v/>
      </c>
      <c r="C544" s="4"/>
      <c r="G544" s="4"/>
      <c r="H544" s="4"/>
      <c r="I544" s="4"/>
      <c r="J544" s="4"/>
      <c r="K544" s="4"/>
      <c r="L544" s="5"/>
      <c r="BJ544" s="4"/>
      <c r="BK544" s="4"/>
      <c r="BL544" s="7"/>
    </row>
    <row r="545">
      <c r="A545" s="4" t="str">
        <f t="shared" si="1"/>
        <v/>
      </c>
      <c r="C545" s="4"/>
      <c r="G545" s="4"/>
      <c r="H545" s="4"/>
      <c r="I545" s="4"/>
      <c r="J545" s="4"/>
      <c r="K545" s="4"/>
      <c r="L545" s="5"/>
      <c r="BJ545" s="4"/>
      <c r="BK545" s="4"/>
      <c r="BL545" s="7"/>
    </row>
    <row r="546">
      <c r="A546" s="4" t="str">
        <f t="shared" si="1"/>
        <v/>
      </c>
      <c r="C546" s="4"/>
      <c r="G546" s="4"/>
      <c r="H546" s="4"/>
      <c r="I546" s="4"/>
      <c r="J546" s="4"/>
      <c r="K546" s="4"/>
      <c r="L546" s="5"/>
      <c r="BJ546" s="4"/>
      <c r="BK546" s="4"/>
      <c r="BL546" s="7"/>
    </row>
    <row r="547">
      <c r="A547" s="4" t="str">
        <f t="shared" si="1"/>
        <v/>
      </c>
      <c r="C547" s="4"/>
      <c r="G547" s="4"/>
      <c r="H547" s="4"/>
      <c r="I547" s="4"/>
      <c r="J547" s="4"/>
      <c r="K547" s="4"/>
      <c r="L547" s="5"/>
      <c r="BJ547" s="4"/>
      <c r="BK547" s="4"/>
      <c r="BL547" s="7"/>
    </row>
    <row r="548">
      <c r="A548" s="4" t="str">
        <f t="shared" si="1"/>
        <v/>
      </c>
      <c r="C548" s="4"/>
      <c r="G548" s="4"/>
      <c r="H548" s="4"/>
      <c r="I548" s="4"/>
      <c r="J548" s="4"/>
      <c r="K548" s="4"/>
      <c r="L548" s="5"/>
      <c r="BJ548" s="4"/>
      <c r="BK548" s="4"/>
      <c r="BL548" s="7"/>
    </row>
    <row r="549">
      <c r="A549" s="4" t="str">
        <f t="shared" si="1"/>
        <v/>
      </c>
      <c r="C549" s="4"/>
      <c r="G549" s="4"/>
      <c r="H549" s="4"/>
      <c r="I549" s="4"/>
      <c r="J549" s="4"/>
      <c r="K549" s="4"/>
      <c r="L549" s="5"/>
      <c r="BJ549" s="4"/>
      <c r="BK549" s="4"/>
      <c r="BL549" s="7"/>
    </row>
    <row r="550">
      <c r="A550" s="4" t="str">
        <f t="shared" si="1"/>
        <v/>
      </c>
      <c r="C550" s="4"/>
      <c r="G550" s="4"/>
      <c r="H550" s="4"/>
      <c r="I550" s="4"/>
      <c r="J550" s="4"/>
      <c r="K550" s="4"/>
      <c r="L550" s="5"/>
      <c r="BJ550" s="4"/>
      <c r="BK550" s="4"/>
      <c r="BL550" s="7"/>
    </row>
    <row r="551">
      <c r="A551" s="4" t="str">
        <f t="shared" si="1"/>
        <v/>
      </c>
      <c r="C551" s="4"/>
      <c r="G551" s="4"/>
      <c r="H551" s="4"/>
      <c r="I551" s="4"/>
      <c r="J551" s="4"/>
      <c r="K551" s="4"/>
      <c r="L551" s="5"/>
      <c r="BJ551" s="4"/>
      <c r="BK551" s="4"/>
      <c r="BL551" s="7"/>
    </row>
    <row r="552">
      <c r="A552" s="4" t="str">
        <f t="shared" si="1"/>
        <v/>
      </c>
      <c r="C552" s="4"/>
      <c r="G552" s="4"/>
      <c r="H552" s="4"/>
      <c r="I552" s="4"/>
      <c r="J552" s="4"/>
      <c r="K552" s="4"/>
      <c r="L552" s="5"/>
      <c r="BJ552" s="4"/>
      <c r="BK552" s="4"/>
      <c r="BL552" s="7"/>
    </row>
    <row r="553">
      <c r="A553" s="4" t="str">
        <f t="shared" si="1"/>
        <v/>
      </c>
      <c r="C553" s="4"/>
      <c r="G553" s="4"/>
      <c r="H553" s="4"/>
      <c r="I553" s="4"/>
      <c r="J553" s="4"/>
      <c r="K553" s="4"/>
      <c r="L553" s="5"/>
      <c r="BJ553" s="4"/>
      <c r="BK553" s="4"/>
      <c r="BL553" s="7"/>
    </row>
    <row r="554">
      <c r="A554" s="4" t="str">
        <f t="shared" si="1"/>
        <v/>
      </c>
      <c r="C554" s="4"/>
      <c r="G554" s="4"/>
      <c r="H554" s="4"/>
      <c r="I554" s="4"/>
      <c r="J554" s="4"/>
      <c r="K554" s="4"/>
      <c r="L554" s="5"/>
      <c r="BJ554" s="4"/>
      <c r="BK554" s="4"/>
      <c r="BL554" s="7"/>
    </row>
    <row r="555">
      <c r="A555" s="4" t="str">
        <f t="shared" si="1"/>
        <v/>
      </c>
      <c r="C555" s="4"/>
      <c r="G555" s="4"/>
      <c r="H555" s="4"/>
      <c r="I555" s="4"/>
      <c r="J555" s="4"/>
      <c r="K555" s="4"/>
      <c r="L555" s="5"/>
      <c r="BJ555" s="4"/>
      <c r="BK555" s="4"/>
      <c r="BL555" s="7"/>
    </row>
    <row r="556">
      <c r="A556" s="4" t="str">
        <f t="shared" si="1"/>
        <v/>
      </c>
      <c r="C556" s="4"/>
      <c r="G556" s="4"/>
      <c r="H556" s="4"/>
      <c r="I556" s="4"/>
      <c r="J556" s="4"/>
      <c r="K556" s="4"/>
      <c r="L556" s="5"/>
      <c r="BJ556" s="4"/>
      <c r="BK556" s="4"/>
      <c r="BL556" s="7"/>
    </row>
    <row r="557">
      <c r="A557" s="4" t="str">
        <f t="shared" si="1"/>
        <v/>
      </c>
      <c r="C557" s="4"/>
      <c r="G557" s="4"/>
      <c r="H557" s="4"/>
      <c r="I557" s="4"/>
      <c r="J557" s="4"/>
      <c r="K557" s="4"/>
      <c r="L557" s="5"/>
      <c r="BJ557" s="4"/>
      <c r="BK557" s="4"/>
      <c r="BL557" s="7"/>
    </row>
    <row r="558">
      <c r="A558" s="4" t="str">
        <f t="shared" si="1"/>
        <v/>
      </c>
      <c r="C558" s="4"/>
      <c r="G558" s="4"/>
      <c r="H558" s="4"/>
      <c r="I558" s="4"/>
      <c r="J558" s="4"/>
      <c r="K558" s="4"/>
      <c r="L558" s="5"/>
      <c r="BJ558" s="4"/>
      <c r="BK558" s="4"/>
      <c r="BL558" s="7"/>
    </row>
    <row r="559">
      <c r="A559" s="4" t="str">
        <f t="shared" si="1"/>
        <v/>
      </c>
      <c r="C559" s="4"/>
      <c r="G559" s="4"/>
      <c r="H559" s="4"/>
      <c r="I559" s="4"/>
      <c r="J559" s="4"/>
      <c r="K559" s="4"/>
      <c r="L559" s="5"/>
      <c r="BJ559" s="4"/>
      <c r="BK559" s="4"/>
      <c r="BL559" s="7"/>
    </row>
    <row r="560">
      <c r="A560" s="4" t="str">
        <f t="shared" si="1"/>
        <v/>
      </c>
      <c r="C560" s="4"/>
      <c r="G560" s="4"/>
      <c r="H560" s="4"/>
      <c r="I560" s="4"/>
      <c r="J560" s="4"/>
      <c r="K560" s="4"/>
      <c r="L560" s="5"/>
      <c r="BJ560" s="4"/>
      <c r="BK560" s="4"/>
      <c r="BL560" s="7"/>
    </row>
    <row r="561">
      <c r="A561" s="4" t="str">
        <f t="shared" si="1"/>
        <v/>
      </c>
      <c r="C561" s="4"/>
      <c r="G561" s="4"/>
      <c r="H561" s="4"/>
      <c r="I561" s="4"/>
      <c r="J561" s="4"/>
      <c r="K561" s="4"/>
      <c r="L561" s="5"/>
      <c r="BJ561" s="4"/>
      <c r="BK561" s="4"/>
      <c r="BL561" s="7"/>
    </row>
    <row r="562">
      <c r="A562" s="4" t="str">
        <f t="shared" si="1"/>
        <v/>
      </c>
      <c r="C562" s="4"/>
      <c r="G562" s="4"/>
      <c r="H562" s="4"/>
      <c r="I562" s="4"/>
      <c r="J562" s="4"/>
      <c r="K562" s="4"/>
      <c r="L562" s="5"/>
      <c r="BJ562" s="4"/>
      <c r="BK562" s="4"/>
      <c r="BL562" s="7"/>
    </row>
    <row r="563">
      <c r="A563" s="4" t="str">
        <f t="shared" si="1"/>
        <v/>
      </c>
      <c r="C563" s="4"/>
      <c r="G563" s="4"/>
      <c r="H563" s="4"/>
      <c r="I563" s="4"/>
      <c r="J563" s="4"/>
      <c r="K563" s="4"/>
      <c r="L563" s="5"/>
      <c r="BJ563" s="4"/>
      <c r="BK563" s="4"/>
      <c r="BL563" s="7"/>
    </row>
    <row r="564">
      <c r="A564" s="4" t="str">
        <f t="shared" si="1"/>
        <v/>
      </c>
      <c r="C564" s="4"/>
      <c r="G564" s="4"/>
      <c r="H564" s="4"/>
      <c r="I564" s="4"/>
      <c r="J564" s="4"/>
      <c r="K564" s="4"/>
      <c r="L564" s="5"/>
      <c r="BJ564" s="4"/>
      <c r="BK564" s="4"/>
      <c r="BL564" s="7"/>
    </row>
    <row r="565">
      <c r="A565" s="4" t="str">
        <f t="shared" si="1"/>
        <v/>
      </c>
      <c r="C565" s="4"/>
      <c r="G565" s="4"/>
      <c r="H565" s="4"/>
      <c r="I565" s="4"/>
      <c r="J565" s="4"/>
      <c r="K565" s="4"/>
      <c r="L565" s="5"/>
      <c r="BJ565" s="4"/>
      <c r="BK565" s="4"/>
      <c r="BL565" s="7"/>
    </row>
    <row r="566">
      <c r="A566" s="4" t="str">
        <f t="shared" si="1"/>
        <v/>
      </c>
      <c r="C566" s="4"/>
      <c r="G566" s="4"/>
      <c r="H566" s="4"/>
      <c r="I566" s="4"/>
      <c r="J566" s="4"/>
      <c r="K566" s="4"/>
      <c r="L566" s="5"/>
      <c r="BJ566" s="4"/>
      <c r="BK566" s="4"/>
      <c r="BL566" s="7"/>
    </row>
    <row r="567">
      <c r="A567" s="4" t="str">
        <f t="shared" si="1"/>
        <v/>
      </c>
      <c r="C567" s="4"/>
      <c r="G567" s="4"/>
      <c r="H567" s="4"/>
      <c r="I567" s="4"/>
      <c r="J567" s="4"/>
      <c r="K567" s="4"/>
      <c r="L567" s="5"/>
      <c r="BJ567" s="4"/>
      <c r="BK567" s="4"/>
      <c r="BL567" s="7"/>
    </row>
    <row r="568">
      <c r="A568" s="4" t="str">
        <f t="shared" si="1"/>
        <v/>
      </c>
      <c r="C568" s="4"/>
      <c r="G568" s="4"/>
      <c r="H568" s="4"/>
      <c r="I568" s="4"/>
      <c r="J568" s="4"/>
      <c r="K568" s="4"/>
      <c r="L568" s="5"/>
      <c r="BJ568" s="4"/>
      <c r="BK568" s="4"/>
      <c r="BL568" s="7"/>
    </row>
    <row r="569">
      <c r="A569" s="4" t="str">
        <f t="shared" si="1"/>
        <v/>
      </c>
      <c r="C569" s="4"/>
      <c r="G569" s="4"/>
      <c r="H569" s="4"/>
      <c r="I569" s="4"/>
      <c r="J569" s="4"/>
      <c r="K569" s="4"/>
      <c r="L569" s="5"/>
      <c r="BJ569" s="4"/>
      <c r="BK569" s="4"/>
      <c r="BL569" s="7"/>
    </row>
    <row r="570">
      <c r="A570" s="4" t="str">
        <f t="shared" si="1"/>
        <v/>
      </c>
      <c r="C570" s="4"/>
      <c r="G570" s="4"/>
      <c r="H570" s="4"/>
      <c r="I570" s="4"/>
      <c r="J570" s="4"/>
      <c r="K570" s="4"/>
      <c r="L570" s="5"/>
      <c r="BJ570" s="4"/>
      <c r="BK570" s="4"/>
      <c r="BL570" s="7"/>
    </row>
    <row r="571">
      <c r="A571" s="4" t="str">
        <f t="shared" si="1"/>
        <v/>
      </c>
      <c r="C571" s="4"/>
      <c r="G571" s="4"/>
      <c r="H571" s="4"/>
      <c r="I571" s="4"/>
      <c r="J571" s="4"/>
      <c r="K571" s="4"/>
      <c r="L571" s="5"/>
      <c r="BJ571" s="4"/>
      <c r="BK571" s="4"/>
      <c r="BL571" s="7"/>
    </row>
    <row r="572">
      <c r="A572" s="4" t="str">
        <f t="shared" si="1"/>
        <v/>
      </c>
      <c r="C572" s="4"/>
      <c r="G572" s="4"/>
      <c r="H572" s="4"/>
      <c r="I572" s="4"/>
      <c r="J572" s="4"/>
      <c r="K572" s="4"/>
      <c r="L572" s="5"/>
      <c r="BJ572" s="4"/>
      <c r="BK572" s="4"/>
      <c r="BL572" s="7"/>
    </row>
    <row r="573">
      <c r="A573" s="4" t="str">
        <f t="shared" si="1"/>
        <v/>
      </c>
      <c r="C573" s="4"/>
      <c r="G573" s="4"/>
      <c r="H573" s="4"/>
      <c r="I573" s="4"/>
      <c r="J573" s="4"/>
      <c r="K573" s="4"/>
      <c r="L573" s="5"/>
      <c r="BJ573" s="4"/>
      <c r="BK573" s="4"/>
      <c r="BL573" s="7"/>
    </row>
    <row r="574">
      <c r="A574" s="4" t="str">
        <f t="shared" si="1"/>
        <v/>
      </c>
      <c r="C574" s="4"/>
      <c r="G574" s="4"/>
      <c r="H574" s="4"/>
      <c r="I574" s="4"/>
      <c r="J574" s="4"/>
      <c r="K574" s="4"/>
      <c r="L574" s="5"/>
      <c r="BJ574" s="4"/>
      <c r="BK574" s="4"/>
      <c r="BL574" s="7"/>
    </row>
    <row r="575">
      <c r="A575" s="4" t="str">
        <f t="shared" si="1"/>
        <v/>
      </c>
      <c r="C575" s="4"/>
      <c r="G575" s="4"/>
      <c r="H575" s="4"/>
      <c r="I575" s="4"/>
      <c r="J575" s="4"/>
      <c r="K575" s="4"/>
      <c r="L575" s="5"/>
      <c r="BJ575" s="4"/>
      <c r="BK575" s="4"/>
      <c r="BL575" s="7"/>
    </row>
    <row r="576">
      <c r="A576" s="4" t="str">
        <f t="shared" si="1"/>
        <v/>
      </c>
      <c r="C576" s="4"/>
      <c r="G576" s="4"/>
      <c r="H576" s="4"/>
      <c r="I576" s="4"/>
      <c r="J576" s="4"/>
      <c r="K576" s="4"/>
      <c r="L576" s="5"/>
      <c r="BJ576" s="4"/>
      <c r="BK576" s="4"/>
      <c r="BL576" s="7"/>
    </row>
    <row r="577">
      <c r="A577" s="4" t="str">
        <f t="shared" si="1"/>
        <v/>
      </c>
      <c r="C577" s="4"/>
      <c r="G577" s="4"/>
      <c r="H577" s="4"/>
      <c r="I577" s="4"/>
      <c r="J577" s="4"/>
      <c r="K577" s="4"/>
      <c r="L577" s="5"/>
      <c r="BJ577" s="4"/>
      <c r="BK577" s="4"/>
      <c r="BL577" s="7"/>
    </row>
    <row r="578">
      <c r="A578" s="4" t="str">
        <f t="shared" si="1"/>
        <v/>
      </c>
      <c r="C578" s="4"/>
      <c r="G578" s="4"/>
      <c r="H578" s="4"/>
      <c r="I578" s="4"/>
      <c r="J578" s="4"/>
      <c r="K578" s="4"/>
      <c r="L578" s="5"/>
      <c r="BJ578" s="4"/>
      <c r="BK578" s="4"/>
      <c r="BL578" s="7"/>
    </row>
    <row r="579">
      <c r="A579" s="4" t="str">
        <f t="shared" si="1"/>
        <v/>
      </c>
      <c r="C579" s="4"/>
      <c r="G579" s="4"/>
      <c r="H579" s="4"/>
      <c r="I579" s="4"/>
      <c r="J579" s="4"/>
      <c r="K579" s="4"/>
      <c r="L579" s="5"/>
      <c r="BJ579" s="4"/>
      <c r="BK579" s="4"/>
      <c r="BL579" s="7"/>
    </row>
    <row r="580">
      <c r="A580" s="4" t="str">
        <f t="shared" si="1"/>
        <v/>
      </c>
      <c r="C580" s="4"/>
      <c r="G580" s="4"/>
      <c r="H580" s="4"/>
      <c r="I580" s="4"/>
      <c r="J580" s="4"/>
      <c r="K580" s="4"/>
      <c r="L580" s="5"/>
      <c r="BJ580" s="4"/>
      <c r="BK580" s="4"/>
      <c r="BL580" s="7"/>
    </row>
    <row r="581">
      <c r="A581" s="4" t="str">
        <f t="shared" si="1"/>
        <v/>
      </c>
      <c r="C581" s="4"/>
      <c r="G581" s="4"/>
      <c r="H581" s="4"/>
      <c r="I581" s="4"/>
      <c r="J581" s="4"/>
      <c r="K581" s="4"/>
      <c r="L581" s="5"/>
      <c r="BJ581" s="4"/>
      <c r="BK581" s="4"/>
      <c r="BL581" s="7"/>
    </row>
    <row r="582">
      <c r="A582" s="4" t="str">
        <f t="shared" si="1"/>
        <v/>
      </c>
      <c r="C582" s="4"/>
      <c r="G582" s="4"/>
      <c r="H582" s="4"/>
      <c r="I582" s="4"/>
      <c r="J582" s="4"/>
      <c r="K582" s="4"/>
      <c r="L582" s="5"/>
      <c r="BJ582" s="4"/>
      <c r="BK582" s="4"/>
      <c r="BL582" s="7"/>
    </row>
    <row r="583">
      <c r="A583" s="4" t="str">
        <f t="shared" si="1"/>
        <v/>
      </c>
      <c r="C583" s="4"/>
      <c r="G583" s="4"/>
      <c r="H583" s="4"/>
      <c r="I583" s="4"/>
      <c r="J583" s="4"/>
      <c r="K583" s="4"/>
      <c r="L583" s="5"/>
      <c r="BJ583" s="4"/>
      <c r="BK583" s="4"/>
      <c r="BL583" s="7"/>
    </row>
    <row r="584">
      <c r="A584" s="4" t="str">
        <f t="shared" si="1"/>
        <v/>
      </c>
      <c r="C584" s="4"/>
      <c r="G584" s="4"/>
      <c r="H584" s="4"/>
      <c r="I584" s="4"/>
      <c r="J584" s="4"/>
      <c r="K584" s="4"/>
      <c r="L584" s="5"/>
      <c r="BJ584" s="4"/>
      <c r="BK584" s="4"/>
      <c r="BL584" s="7"/>
    </row>
    <row r="585">
      <c r="A585" s="4" t="str">
        <f t="shared" si="1"/>
        <v/>
      </c>
      <c r="C585" s="4"/>
      <c r="G585" s="4"/>
      <c r="H585" s="4"/>
      <c r="I585" s="4"/>
      <c r="J585" s="4"/>
      <c r="K585" s="4"/>
      <c r="L585" s="5"/>
      <c r="BJ585" s="4"/>
      <c r="BK585" s="4"/>
      <c r="BL585" s="7"/>
    </row>
    <row r="586">
      <c r="A586" s="4" t="str">
        <f t="shared" si="1"/>
        <v/>
      </c>
      <c r="C586" s="4"/>
      <c r="G586" s="4"/>
      <c r="H586" s="4"/>
      <c r="I586" s="4"/>
      <c r="J586" s="4"/>
      <c r="K586" s="4"/>
      <c r="L586" s="5"/>
      <c r="BJ586" s="4"/>
      <c r="BK586" s="4"/>
      <c r="BL586" s="7"/>
    </row>
    <row r="587">
      <c r="A587" s="4" t="str">
        <f t="shared" si="1"/>
        <v/>
      </c>
      <c r="C587" s="4"/>
      <c r="G587" s="4"/>
      <c r="H587" s="4"/>
      <c r="I587" s="4"/>
      <c r="J587" s="4"/>
      <c r="K587" s="4"/>
      <c r="L587" s="5"/>
      <c r="BJ587" s="4"/>
      <c r="BK587" s="4"/>
      <c r="BL587" s="7"/>
    </row>
    <row r="588">
      <c r="A588" s="4" t="str">
        <f t="shared" si="1"/>
        <v/>
      </c>
      <c r="C588" s="4"/>
      <c r="G588" s="4"/>
      <c r="H588" s="4"/>
      <c r="I588" s="4"/>
      <c r="J588" s="4"/>
      <c r="K588" s="4"/>
      <c r="L588" s="5"/>
      <c r="BJ588" s="4"/>
      <c r="BK588" s="4"/>
      <c r="BL588" s="7"/>
    </row>
    <row r="589">
      <c r="A589" s="4" t="str">
        <f t="shared" si="1"/>
        <v/>
      </c>
      <c r="C589" s="4"/>
      <c r="G589" s="4"/>
      <c r="H589" s="4"/>
      <c r="I589" s="4"/>
      <c r="J589" s="4"/>
      <c r="K589" s="4"/>
      <c r="L589" s="5"/>
      <c r="BJ589" s="4"/>
      <c r="BK589" s="4"/>
      <c r="BL589" s="7"/>
    </row>
    <row r="590">
      <c r="A590" s="4" t="str">
        <f t="shared" si="1"/>
        <v/>
      </c>
      <c r="C590" s="4"/>
      <c r="G590" s="4"/>
      <c r="H590" s="4"/>
      <c r="I590" s="4"/>
      <c r="J590" s="4"/>
      <c r="K590" s="4"/>
      <c r="L590" s="5"/>
      <c r="BJ590" s="4"/>
      <c r="BK590" s="4"/>
      <c r="BL590" s="7"/>
    </row>
    <row r="591">
      <c r="A591" s="4" t="str">
        <f t="shared" si="1"/>
        <v/>
      </c>
      <c r="C591" s="4"/>
      <c r="G591" s="4"/>
      <c r="H591" s="4"/>
      <c r="I591" s="4"/>
      <c r="J591" s="4"/>
      <c r="K591" s="4"/>
      <c r="L591" s="5"/>
      <c r="BJ591" s="4"/>
      <c r="BK591" s="4"/>
      <c r="BL591" s="7"/>
    </row>
    <row r="592">
      <c r="A592" s="4" t="str">
        <f t="shared" si="1"/>
        <v/>
      </c>
      <c r="C592" s="4"/>
      <c r="G592" s="4"/>
      <c r="H592" s="4"/>
      <c r="I592" s="4"/>
      <c r="J592" s="4"/>
      <c r="K592" s="4"/>
      <c r="L592" s="5"/>
      <c r="BJ592" s="4"/>
      <c r="BK592" s="4"/>
      <c r="BL592" s="7"/>
    </row>
    <row r="593">
      <c r="A593" s="4" t="str">
        <f t="shared" si="1"/>
        <v/>
      </c>
      <c r="C593" s="4"/>
      <c r="G593" s="4"/>
      <c r="H593" s="4"/>
      <c r="I593" s="4"/>
      <c r="J593" s="4"/>
      <c r="K593" s="4"/>
      <c r="L593" s="5"/>
      <c r="BJ593" s="4"/>
      <c r="BK593" s="4"/>
      <c r="BL593" s="7"/>
    </row>
    <row r="594">
      <c r="A594" s="4" t="str">
        <f t="shared" si="1"/>
        <v/>
      </c>
      <c r="C594" s="4"/>
      <c r="G594" s="4"/>
      <c r="H594" s="4"/>
      <c r="I594" s="4"/>
      <c r="J594" s="4"/>
      <c r="K594" s="4"/>
      <c r="L594" s="5"/>
      <c r="BJ594" s="4"/>
      <c r="BK594" s="4"/>
      <c r="BL594" s="7"/>
    </row>
    <row r="595">
      <c r="A595" s="4" t="str">
        <f t="shared" si="1"/>
        <v/>
      </c>
      <c r="C595" s="4"/>
      <c r="G595" s="4"/>
      <c r="H595" s="4"/>
      <c r="I595" s="4"/>
      <c r="J595" s="4"/>
      <c r="K595" s="4"/>
      <c r="L595" s="5"/>
      <c r="BJ595" s="4"/>
      <c r="BK595" s="4"/>
      <c r="BL595" s="7"/>
    </row>
    <row r="596">
      <c r="A596" s="4" t="str">
        <f t="shared" si="1"/>
        <v/>
      </c>
      <c r="C596" s="4"/>
      <c r="G596" s="4"/>
      <c r="H596" s="4"/>
      <c r="I596" s="4"/>
      <c r="J596" s="4"/>
      <c r="K596" s="4"/>
      <c r="L596" s="5"/>
      <c r="BJ596" s="4"/>
      <c r="BK596" s="4"/>
      <c r="BL596" s="7"/>
    </row>
    <row r="597">
      <c r="A597" s="4" t="str">
        <f t="shared" si="1"/>
        <v/>
      </c>
      <c r="C597" s="4"/>
      <c r="G597" s="4"/>
      <c r="H597" s="4"/>
      <c r="I597" s="4"/>
      <c r="J597" s="4"/>
      <c r="K597" s="4"/>
      <c r="L597" s="5"/>
      <c r="BJ597" s="4"/>
      <c r="BK597" s="4"/>
      <c r="BL597" s="7"/>
    </row>
    <row r="598">
      <c r="A598" s="4" t="str">
        <f t="shared" si="1"/>
        <v/>
      </c>
      <c r="C598" s="4"/>
      <c r="G598" s="4"/>
      <c r="H598" s="4"/>
      <c r="I598" s="4"/>
      <c r="J598" s="4"/>
      <c r="K598" s="4"/>
      <c r="L598" s="5"/>
      <c r="BJ598" s="4"/>
      <c r="BK598" s="4"/>
      <c r="BL598" s="7"/>
    </row>
    <row r="599">
      <c r="A599" s="4" t="str">
        <f t="shared" si="1"/>
        <v/>
      </c>
      <c r="C599" s="4"/>
      <c r="G599" s="4"/>
      <c r="H599" s="4"/>
      <c r="I599" s="4"/>
      <c r="J599" s="4"/>
      <c r="K599" s="4"/>
      <c r="L599" s="5"/>
      <c r="BJ599" s="4"/>
      <c r="BK599" s="4"/>
      <c r="BL599" s="7"/>
    </row>
    <row r="600">
      <c r="A600" s="4" t="str">
        <f t="shared" si="1"/>
        <v/>
      </c>
      <c r="C600" s="4"/>
      <c r="G600" s="4"/>
      <c r="H600" s="4"/>
      <c r="I600" s="4"/>
      <c r="J600" s="4"/>
      <c r="K600" s="4"/>
      <c r="L600" s="5"/>
      <c r="BJ600" s="4"/>
      <c r="BK600" s="4"/>
      <c r="BL600" s="7"/>
    </row>
    <row r="601">
      <c r="A601" s="4" t="str">
        <f t="shared" si="1"/>
        <v/>
      </c>
      <c r="C601" s="4"/>
      <c r="G601" s="4"/>
      <c r="H601" s="4"/>
      <c r="I601" s="4"/>
      <c r="J601" s="4"/>
      <c r="K601" s="4"/>
      <c r="L601" s="5"/>
      <c r="BJ601" s="4"/>
      <c r="BK601" s="4"/>
      <c r="BL601" s="7"/>
    </row>
    <row r="602">
      <c r="A602" s="4" t="str">
        <f t="shared" si="1"/>
        <v/>
      </c>
      <c r="C602" s="4"/>
      <c r="G602" s="4"/>
      <c r="H602" s="4"/>
      <c r="I602" s="4"/>
      <c r="J602" s="4"/>
      <c r="K602" s="4"/>
      <c r="L602" s="5"/>
      <c r="BJ602" s="4"/>
      <c r="BK602" s="4"/>
      <c r="BL602" s="7"/>
    </row>
    <row r="603">
      <c r="A603" s="4" t="str">
        <f t="shared" si="1"/>
        <v/>
      </c>
      <c r="C603" s="4"/>
      <c r="G603" s="4"/>
      <c r="H603" s="4"/>
      <c r="I603" s="4"/>
      <c r="J603" s="4"/>
      <c r="K603" s="4"/>
      <c r="L603" s="5"/>
      <c r="BJ603" s="4"/>
      <c r="BK603" s="4"/>
      <c r="BL603" s="7"/>
    </row>
    <row r="604">
      <c r="A604" s="4" t="str">
        <f t="shared" si="1"/>
        <v/>
      </c>
      <c r="C604" s="4"/>
      <c r="G604" s="4"/>
      <c r="H604" s="4"/>
      <c r="I604" s="4"/>
      <c r="J604" s="4"/>
      <c r="K604" s="4"/>
      <c r="L604" s="5"/>
      <c r="BJ604" s="4"/>
      <c r="BK604" s="4"/>
      <c r="BL604" s="7"/>
    </row>
    <row r="605">
      <c r="A605" s="4" t="str">
        <f t="shared" si="1"/>
        <v/>
      </c>
      <c r="C605" s="4"/>
      <c r="G605" s="4"/>
      <c r="H605" s="4"/>
      <c r="I605" s="4"/>
      <c r="J605" s="4"/>
      <c r="K605" s="4"/>
      <c r="L605" s="5"/>
      <c r="BJ605" s="4"/>
      <c r="BK605" s="4"/>
      <c r="BL605" s="7"/>
    </row>
    <row r="606">
      <c r="A606" s="4" t="str">
        <f t="shared" si="1"/>
        <v/>
      </c>
      <c r="C606" s="4"/>
      <c r="G606" s="4"/>
      <c r="H606" s="4"/>
      <c r="I606" s="4"/>
      <c r="J606" s="4"/>
      <c r="K606" s="4"/>
      <c r="L606" s="5"/>
      <c r="BJ606" s="4"/>
      <c r="BK606" s="4"/>
      <c r="BL606" s="7"/>
    </row>
    <row r="607">
      <c r="A607" s="4" t="str">
        <f t="shared" si="1"/>
        <v/>
      </c>
      <c r="C607" s="4"/>
      <c r="G607" s="4"/>
      <c r="H607" s="4"/>
      <c r="I607" s="4"/>
      <c r="J607" s="4"/>
      <c r="K607" s="4"/>
      <c r="L607" s="5"/>
      <c r="BJ607" s="4"/>
      <c r="BK607" s="4"/>
      <c r="BL607" s="7"/>
    </row>
    <row r="608">
      <c r="A608" s="4" t="str">
        <f t="shared" si="1"/>
        <v/>
      </c>
      <c r="C608" s="4"/>
      <c r="G608" s="4"/>
      <c r="H608" s="4"/>
      <c r="I608" s="4"/>
      <c r="J608" s="4"/>
      <c r="K608" s="4"/>
      <c r="L608" s="5"/>
      <c r="BJ608" s="4"/>
      <c r="BK608" s="4"/>
      <c r="BL608" s="7"/>
    </row>
    <row r="609">
      <c r="A609" s="4" t="str">
        <f t="shared" si="1"/>
        <v/>
      </c>
      <c r="C609" s="4"/>
      <c r="G609" s="4"/>
      <c r="H609" s="4"/>
      <c r="I609" s="4"/>
      <c r="J609" s="4"/>
      <c r="K609" s="4"/>
      <c r="L609" s="5"/>
      <c r="BJ609" s="4"/>
      <c r="BK609" s="4"/>
      <c r="BL609" s="7"/>
    </row>
    <row r="610">
      <c r="A610" s="4" t="str">
        <f t="shared" si="1"/>
        <v/>
      </c>
      <c r="C610" s="4"/>
      <c r="G610" s="4"/>
      <c r="H610" s="4"/>
      <c r="I610" s="4"/>
      <c r="J610" s="4"/>
      <c r="K610" s="4"/>
      <c r="L610" s="5"/>
      <c r="BJ610" s="4"/>
      <c r="BK610" s="4"/>
      <c r="BL610" s="7"/>
    </row>
    <row r="611">
      <c r="A611" s="4" t="str">
        <f t="shared" si="1"/>
        <v/>
      </c>
      <c r="C611" s="4"/>
      <c r="G611" s="4"/>
      <c r="H611" s="4"/>
      <c r="I611" s="4"/>
      <c r="J611" s="4"/>
      <c r="K611" s="4"/>
      <c r="L611" s="5"/>
      <c r="BJ611" s="4"/>
      <c r="BK611" s="4"/>
      <c r="BL611" s="7"/>
    </row>
    <row r="612">
      <c r="A612" s="4" t="str">
        <f t="shared" si="1"/>
        <v/>
      </c>
      <c r="C612" s="4"/>
      <c r="G612" s="4"/>
      <c r="H612" s="4"/>
      <c r="I612" s="4"/>
      <c r="J612" s="4"/>
      <c r="K612" s="4"/>
      <c r="L612" s="5"/>
      <c r="BJ612" s="4"/>
      <c r="BK612" s="4"/>
      <c r="BL612" s="7"/>
    </row>
    <row r="613">
      <c r="A613" s="4" t="str">
        <f t="shared" si="1"/>
        <v/>
      </c>
      <c r="C613" s="4"/>
      <c r="G613" s="4"/>
      <c r="H613" s="4"/>
      <c r="I613" s="4"/>
      <c r="J613" s="4"/>
      <c r="K613" s="4"/>
      <c r="L613" s="5"/>
      <c r="BJ613" s="4"/>
      <c r="BK613" s="4"/>
      <c r="BL613" s="7"/>
    </row>
    <row r="614">
      <c r="A614" s="4" t="str">
        <f t="shared" si="1"/>
        <v/>
      </c>
      <c r="C614" s="4"/>
      <c r="G614" s="4"/>
      <c r="H614" s="4"/>
      <c r="I614" s="4"/>
      <c r="J614" s="4"/>
      <c r="K614" s="4"/>
      <c r="L614" s="5"/>
      <c r="BJ614" s="4"/>
      <c r="BK614" s="4"/>
      <c r="BL614" s="7"/>
    </row>
    <row r="615">
      <c r="A615" s="4" t="str">
        <f t="shared" si="1"/>
        <v/>
      </c>
      <c r="C615" s="4"/>
      <c r="G615" s="4"/>
      <c r="H615" s="4"/>
      <c r="I615" s="4"/>
      <c r="J615" s="4"/>
      <c r="K615" s="4"/>
      <c r="L615" s="5"/>
      <c r="BJ615" s="4"/>
      <c r="BK615" s="4"/>
      <c r="BL615" s="7"/>
    </row>
    <row r="616">
      <c r="A616" s="4" t="str">
        <f t="shared" si="1"/>
        <v/>
      </c>
      <c r="C616" s="4"/>
      <c r="G616" s="4"/>
      <c r="H616" s="4"/>
      <c r="I616" s="4"/>
      <c r="J616" s="4"/>
      <c r="K616" s="4"/>
      <c r="L616" s="5"/>
      <c r="BJ616" s="4"/>
      <c r="BK616" s="4"/>
      <c r="BL616" s="7"/>
    </row>
    <row r="617">
      <c r="A617" s="4" t="str">
        <f t="shared" si="1"/>
        <v/>
      </c>
      <c r="C617" s="4"/>
      <c r="G617" s="4"/>
      <c r="H617" s="4"/>
      <c r="I617" s="4"/>
      <c r="J617" s="4"/>
      <c r="K617" s="4"/>
      <c r="L617" s="5"/>
      <c r="BJ617" s="4"/>
      <c r="BK617" s="4"/>
      <c r="BL617" s="7"/>
    </row>
    <row r="618">
      <c r="A618" s="4" t="str">
        <f t="shared" si="1"/>
        <v/>
      </c>
      <c r="C618" s="4"/>
      <c r="G618" s="4"/>
      <c r="H618" s="4"/>
      <c r="I618" s="4"/>
      <c r="J618" s="4"/>
      <c r="K618" s="4"/>
      <c r="L618" s="5"/>
      <c r="BJ618" s="4"/>
      <c r="BK618" s="4"/>
      <c r="BL618" s="7"/>
    </row>
    <row r="619">
      <c r="A619" s="4" t="str">
        <f t="shared" si="1"/>
        <v/>
      </c>
      <c r="C619" s="4"/>
      <c r="G619" s="4"/>
      <c r="H619" s="4"/>
      <c r="I619" s="4"/>
      <c r="J619" s="4"/>
      <c r="K619" s="4"/>
      <c r="L619" s="5"/>
      <c r="BJ619" s="4"/>
      <c r="BK619" s="4"/>
      <c r="BL619" s="7"/>
    </row>
    <row r="620">
      <c r="A620" s="4" t="str">
        <f t="shared" si="1"/>
        <v/>
      </c>
      <c r="C620" s="4"/>
      <c r="G620" s="4"/>
      <c r="H620" s="4"/>
      <c r="I620" s="4"/>
      <c r="J620" s="4"/>
      <c r="K620" s="4"/>
      <c r="L620" s="5"/>
      <c r="BJ620" s="4"/>
      <c r="BK620" s="4"/>
      <c r="BL620" s="7"/>
    </row>
    <row r="621">
      <c r="A621" s="4" t="str">
        <f t="shared" si="1"/>
        <v/>
      </c>
      <c r="C621" s="4"/>
      <c r="G621" s="4"/>
      <c r="H621" s="4"/>
      <c r="I621" s="4"/>
      <c r="J621" s="4"/>
      <c r="K621" s="4"/>
      <c r="L621" s="5"/>
      <c r="BJ621" s="4"/>
      <c r="BK621" s="4"/>
      <c r="BL621" s="7"/>
    </row>
    <row r="622">
      <c r="A622" s="4" t="str">
        <f t="shared" si="1"/>
        <v/>
      </c>
      <c r="C622" s="4"/>
      <c r="G622" s="4"/>
      <c r="H622" s="4"/>
      <c r="I622" s="4"/>
      <c r="J622" s="4"/>
      <c r="K622" s="4"/>
      <c r="L622" s="5"/>
      <c r="BJ622" s="4"/>
      <c r="BK622" s="4"/>
      <c r="BL622" s="7"/>
    </row>
    <row r="623">
      <c r="A623" s="4" t="str">
        <f t="shared" si="1"/>
        <v/>
      </c>
      <c r="C623" s="4"/>
      <c r="G623" s="4"/>
      <c r="H623" s="4"/>
      <c r="I623" s="4"/>
      <c r="J623" s="4"/>
      <c r="K623" s="4"/>
      <c r="L623" s="5"/>
      <c r="BJ623" s="4"/>
      <c r="BK623" s="4"/>
      <c r="BL623" s="7"/>
    </row>
    <row r="624">
      <c r="A624" s="4" t="str">
        <f t="shared" si="1"/>
        <v/>
      </c>
      <c r="C624" s="4"/>
      <c r="G624" s="4"/>
      <c r="H624" s="4"/>
      <c r="I624" s="4"/>
      <c r="J624" s="4"/>
      <c r="K624" s="4"/>
      <c r="L624" s="5"/>
      <c r="BJ624" s="4"/>
      <c r="BK624" s="4"/>
      <c r="BL624" s="7"/>
    </row>
    <row r="625">
      <c r="A625" s="4" t="str">
        <f t="shared" si="1"/>
        <v/>
      </c>
      <c r="C625" s="4"/>
      <c r="G625" s="4"/>
      <c r="H625" s="4"/>
      <c r="I625" s="4"/>
      <c r="J625" s="4"/>
      <c r="K625" s="4"/>
      <c r="L625" s="5"/>
      <c r="BJ625" s="4"/>
      <c r="BK625" s="4"/>
      <c r="BL625" s="7"/>
    </row>
    <row r="626">
      <c r="A626" s="4" t="str">
        <f t="shared" si="1"/>
        <v/>
      </c>
      <c r="C626" s="4"/>
      <c r="G626" s="4"/>
      <c r="H626" s="4"/>
      <c r="I626" s="4"/>
      <c r="J626" s="4"/>
      <c r="K626" s="4"/>
      <c r="L626" s="5"/>
      <c r="BJ626" s="4"/>
      <c r="BK626" s="4"/>
      <c r="BL626" s="7"/>
    </row>
    <row r="627">
      <c r="A627" s="4" t="str">
        <f t="shared" si="1"/>
        <v/>
      </c>
      <c r="C627" s="4"/>
      <c r="G627" s="4"/>
      <c r="H627" s="4"/>
      <c r="I627" s="4"/>
      <c r="J627" s="4"/>
      <c r="K627" s="4"/>
      <c r="L627" s="5"/>
      <c r="BJ627" s="4"/>
      <c r="BK627" s="4"/>
      <c r="BL627" s="7"/>
    </row>
    <row r="628">
      <c r="A628" s="4" t="str">
        <f t="shared" si="1"/>
        <v/>
      </c>
      <c r="C628" s="4"/>
      <c r="G628" s="4"/>
      <c r="H628" s="4"/>
      <c r="I628" s="4"/>
      <c r="J628" s="4"/>
      <c r="K628" s="4"/>
      <c r="L628" s="5"/>
      <c r="BJ628" s="4"/>
      <c r="BK628" s="4"/>
      <c r="BL628" s="7"/>
    </row>
    <row r="629">
      <c r="A629" s="4" t="str">
        <f t="shared" si="1"/>
        <v/>
      </c>
      <c r="C629" s="4"/>
      <c r="G629" s="4"/>
      <c r="H629" s="4"/>
      <c r="I629" s="4"/>
      <c r="J629" s="4"/>
      <c r="K629" s="4"/>
      <c r="L629" s="5"/>
      <c r="BJ629" s="4"/>
      <c r="BK629" s="4"/>
      <c r="BL629" s="7"/>
    </row>
    <row r="630">
      <c r="A630" s="4" t="str">
        <f t="shared" si="1"/>
        <v/>
      </c>
      <c r="C630" s="4"/>
      <c r="G630" s="4"/>
      <c r="H630" s="4"/>
      <c r="I630" s="4"/>
      <c r="J630" s="4"/>
      <c r="K630" s="4"/>
      <c r="L630" s="5"/>
      <c r="BJ630" s="4"/>
      <c r="BK630" s="4"/>
      <c r="BL630" s="7"/>
    </row>
    <row r="631">
      <c r="A631" s="4" t="str">
        <f t="shared" si="1"/>
        <v/>
      </c>
      <c r="C631" s="4"/>
      <c r="G631" s="4"/>
      <c r="H631" s="4"/>
      <c r="I631" s="4"/>
      <c r="J631" s="4"/>
      <c r="K631" s="4"/>
      <c r="L631" s="5"/>
      <c r="BJ631" s="4"/>
      <c r="BK631" s="4"/>
      <c r="BL631" s="7"/>
    </row>
    <row r="632">
      <c r="A632" s="4" t="str">
        <f t="shared" si="1"/>
        <v/>
      </c>
      <c r="C632" s="4"/>
      <c r="G632" s="4"/>
      <c r="H632" s="4"/>
      <c r="I632" s="4"/>
      <c r="J632" s="4"/>
      <c r="K632" s="4"/>
      <c r="L632" s="5"/>
      <c r="BJ632" s="4"/>
      <c r="BK632" s="4"/>
      <c r="BL632" s="7"/>
    </row>
    <row r="633">
      <c r="A633" s="4" t="str">
        <f t="shared" si="1"/>
        <v/>
      </c>
      <c r="C633" s="4"/>
      <c r="G633" s="4"/>
      <c r="H633" s="4"/>
      <c r="I633" s="4"/>
      <c r="J633" s="4"/>
      <c r="K633" s="4"/>
      <c r="L633" s="5"/>
      <c r="BJ633" s="4"/>
      <c r="BK633" s="4"/>
      <c r="BL633" s="7"/>
    </row>
    <row r="634">
      <c r="A634" s="4" t="str">
        <f t="shared" si="1"/>
        <v/>
      </c>
      <c r="C634" s="4"/>
      <c r="G634" s="4"/>
      <c r="H634" s="4"/>
      <c r="I634" s="4"/>
      <c r="J634" s="4"/>
      <c r="K634" s="4"/>
      <c r="L634" s="5"/>
      <c r="BJ634" s="4"/>
      <c r="BK634" s="4"/>
      <c r="BL634" s="7"/>
    </row>
    <row r="635">
      <c r="A635" s="4" t="str">
        <f t="shared" si="1"/>
        <v/>
      </c>
      <c r="C635" s="4"/>
      <c r="G635" s="4"/>
      <c r="H635" s="4"/>
      <c r="I635" s="4"/>
      <c r="J635" s="4"/>
      <c r="K635" s="4"/>
      <c r="L635" s="5"/>
      <c r="BJ635" s="4"/>
      <c r="BK635" s="4"/>
      <c r="BL635" s="7"/>
    </row>
    <row r="636">
      <c r="A636" s="4" t="str">
        <f t="shared" si="1"/>
        <v/>
      </c>
      <c r="C636" s="4"/>
      <c r="G636" s="4"/>
      <c r="H636" s="4"/>
      <c r="I636" s="4"/>
      <c r="J636" s="4"/>
      <c r="K636" s="4"/>
      <c r="L636" s="5"/>
      <c r="BJ636" s="4"/>
      <c r="BK636" s="4"/>
      <c r="BL636" s="7"/>
    </row>
    <row r="637">
      <c r="A637" s="4" t="str">
        <f t="shared" si="1"/>
        <v/>
      </c>
      <c r="C637" s="4"/>
      <c r="G637" s="4"/>
      <c r="H637" s="4"/>
      <c r="I637" s="4"/>
      <c r="J637" s="4"/>
      <c r="K637" s="4"/>
      <c r="L637" s="5"/>
      <c r="BJ637" s="4"/>
      <c r="BK637" s="4"/>
      <c r="BL637" s="7"/>
    </row>
    <row r="638">
      <c r="A638" s="4" t="str">
        <f t="shared" si="1"/>
        <v/>
      </c>
      <c r="C638" s="4"/>
      <c r="G638" s="4"/>
      <c r="H638" s="4"/>
      <c r="I638" s="4"/>
      <c r="J638" s="4"/>
      <c r="K638" s="4"/>
      <c r="L638" s="5"/>
      <c r="BJ638" s="4"/>
      <c r="BK638" s="4"/>
      <c r="BL638" s="7"/>
    </row>
    <row r="639">
      <c r="A639" s="4" t="str">
        <f t="shared" si="1"/>
        <v/>
      </c>
      <c r="C639" s="4"/>
      <c r="G639" s="4"/>
      <c r="H639" s="4"/>
      <c r="I639" s="4"/>
      <c r="J639" s="4"/>
      <c r="K639" s="4"/>
      <c r="L639" s="5"/>
      <c r="BJ639" s="4"/>
      <c r="BK639" s="4"/>
      <c r="BL639" s="7"/>
    </row>
    <row r="640">
      <c r="A640" s="4" t="str">
        <f t="shared" si="1"/>
        <v/>
      </c>
      <c r="C640" s="4"/>
      <c r="G640" s="4"/>
      <c r="H640" s="4"/>
      <c r="I640" s="4"/>
      <c r="J640" s="4"/>
      <c r="K640" s="4"/>
      <c r="L640" s="5"/>
      <c r="BJ640" s="4"/>
      <c r="BK640" s="4"/>
      <c r="BL640" s="7"/>
    </row>
    <row r="641">
      <c r="A641" s="4" t="str">
        <f t="shared" si="1"/>
        <v/>
      </c>
      <c r="C641" s="4"/>
      <c r="G641" s="4"/>
      <c r="H641" s="4"/>
      <c r="I641" s="4"/>
      <c r="J641" s="4"/>
      <c r="K641" s="4"/>
      <c r="L641" s="5"/>
      <c r="BJ641" s="4"/>
      <c r="BK641" s="4"/>
      <c r="BL641" s="7"/>
    </row>
    <row r="642">
      <c r="A642" s="4" t="str">
        <f t="shared" si="1"/>
        <v/>
      </c>
      <c r="C642" s="4"/>
      <c r="G642" s="4"/>
      <c r="H642" s="4"/>
      <c r="I642" s="4"/>
      <c r="J642" s="4"/>
      <c r="K642" s="4"/>
      <c r="L642" s="5"/>
      <c r="BJ642" s="4"/>
      <c r="BK642" s="4"/>
      <c r="BL642" s="7"/>
    </row>
    <row r="643">
      <c r="A643" s="4" t="str">
        <f t="shared" si="1"/>
        <v/>
      </c>
      <c r="C643" s="4"/>
      <c r="G643" s="4"/>
      <c r="H643" s="4"/>
      <c r="I643" s="4"/>
      <c r="J643" s="4"/>
      <c r="K643" s="4"/>
      <c r="L643" s="5"/>
      <c r="BJ643" s="4"/>
      <c r="BK643" s="4"/>
      <c r="BL643" s="7"/>
    </row>
    <row r="644">
      <c r="A644" s="4" t="str">
        <f t="shared" si="1"/>
        <v/>
      </c>
      <c r="C644" s="4"/>
      <c r="G644" s="4"/>
      <c r="H644" s="4"/>
      <c r="I644" s="4"/>
      <c r="J644" s="4"/>
      <c r="K644" s="4"/>
      <c r="L644" s="5"/>
      <c r="BJ644" s="4"/>
      <c r="BK644" s="4"/>
      <c r="BL644" s="7"/>
    </row>
    <row r="645">
      <c r="A645" s="4" t="str">
        <f t="shared" si="1"/>
        <v/>
      </c>
      <c r="C645" s="4"/>
      <c r="G645" s="4"/>
      <c r="H645" s="4"/>
      <c r="I645" s="4"/>
      <c r="J645" s="4"/>
      <c r="K645" s="4"/>
      <c r="L645" s="5"/>
      <c r="BJ645" s="4"/>
      <c r="BK645" s="4"/>
      <c r="BL645" s="7"/>
    </row>
    <row r="646">
      <c r="A646" s="4" t="str">
        <f t="shared" si="1"/>
        <v/>
      </c>
      <c r="C646" s="4"/>
      <c r="G646" s="4"/>
      <c r="H646" s="4"/>
      <c r="I646" s="4"/>
      <c r="J646" s="4"/>
      <c r="K646" s="4"/>
      <c r="L646" s="5"/>
      <c r="BJ646" s="4"/>
      <c r="BK646" s="4"/>
      <c r="BL646" s="7"/>
    </row>
    <row r="647">
      <c r="A647" s="4" t="str">
        <f t="shared" si="1"/>
        <v/>
      </c>
      <c r="C647" s="4"/>
      <c r="G647" s="4"/>
      <c r="H647" s="4"/>
      <c r="I647" s="4"/>
      <c r="J647" s="4"/>
      <c r="K647" s="4"/>
      <c r="L647" s="5"/>
      <c r="BJ647" s="4"/>
      <c r="BK647" s="4"/>
      <c r="BL647" s="7"/>
    </row>
    <row r="648">
      <c r="A648" s="4" t="str">
        <f t="shared" si="1"/>
        <v/>
      </c>
      <c r="C648" s="4"/>
      <c r="G648" s="4"/>
      <c r="H648" s="4"/>
      <c r="I648" s="4"/>
      <c r="J648" s="4"/>
      <c r="K648" s="4"/>
      <c r="L648" s="5"/>
      <c r="BJ648" s="4"/>
      <c r="BK648" s="4"/>
      <c r="BL648" s="7"/>
    </row>
    <row r="649">
      <c r="A649" s="4" t="str">
        <f t="shared" si="1"/>
        <v/>
      </c>
      <c r="C649" s="4"/>
      <c r="G649" s="4"/>
      <c r="H649" s="4"/>
      <c r="I649" s="4"/>
      <c r="J649" s="4"/>
      <c r="K649" s="4"/>
      <c r="L649" s="5"/>
      <c r="BJ649" s="4"/>
      <c r="BK649" s="4"/>
      <c r="BL649" s="7"/>
    </row>
    <row r="650">
      <c r="A650" s="4" t="str">
        <f t="shared" si="1"/>
        <v/>
      </c>
      <c r="C650" s="4"/>
      <c r="G650" s="4"/>
      <c r="H650" s="4"/>
      <c r="I650" s="4"/>
      <c r="J650" s="4"/>
      <c r="K650" s="4"/>
      <c r="L650" s="5"/>
      <c r="BJ650" s="4"/>
      <c r="BK650" s="4"/>
      <c r="BL650" s="7"/>
    </row>
    <row r="651">
      <c r="A651" s="4" t="str">
        <f t="shared" si="1"/>
        <v/>
      </c>
      <c r="C651" s="4"/>
      <c r="G651" s="4"/>
      <c r="H651" s="4"/>
      <c r="I651" s="4"/>
      <c r="J651" s="4"/>
      <c r="K651" s="4"/>
      <c r="L651" s="5"/>
      <c r="BJ651" s="4"/>
      <c r="BK651" s="4"/>
      <c r="BL651" s="7"/>
    </row>
    <row r="652">
      <c r="A652" s="4" t="str">
        <f t="shared" si="1"/>
        <v/>
      </c>
      <c r="C652" s="4"/>
      <c r="G652" s="4"/>
      <c r="H652" s="4"/>
      <c r="I652" s="4"/>
      <c r="J652" s="4"/>
      <c r="K652" s="4"/>
      <c r="L652" s="5"/>
      <c r="BJ652" s="4"/>
      <c r="BK652" s="4"/>
      <c r="BL652" s="7"/>
    </row>
    <row r="653">
      <c r="A653" s="4" t="str">
        <f t="shared" si="1"/>
        <v/>
      </c>
      <c r="C653" s="4"/>
      <c r="G653" s="4"/>
      <c r="H653" s="4"/>
      <c r="I653" s="4"/>
      <c r="J653" s="4"/>
      <c r="K653" s="4"/>
      <c r="L653" s="5"/>
      <c r="BJ653" s="4"/>
      <c r="BK653" s="4"/>
      <c r="BL653" s="7"/>
    </row>
    <row r="654">
      <c r="A654" s="4" t="str">
        <f t="shared" si="1"/>
        <v/>
      </c>
      <c r="C654" s="4"/>
      <c r="G654" s="4"/>
      <c r="H654" s="4"/>
      <c r="I654" s="4"/>
      <c r="J654" s="4"/>
      <c r="K654" s="4"/>
      <c r="L654" s="5"/>
      <c r="BJ654" s="4"/>
      <c r="BK654" s="4"/>
      <c r="BL654" s="7"/>
    </row>
    <row r="655">
      <c r="A655" s="4" t="str">
        <f t="shared" si="1"/>
        <v/>
      </c>
      <c r="C655" s="4"/>
      <c r="G655" s="4"/>
      <c r="H655" s="4"/>
      <c r="I655" s="4"/>
      <c r="J655" s="4"/>
      <c r="K655" s="4"/>
      <c r="L655" s="5"/>
      <c r="BJ655" s="4"/>
      <c r="BK655" s="4"/>
      <c r="BL655" s="7"/>
    </row>
    <row r="656">
      <c r="A656" s="4" t="str">
        <f t="shared" si="1"/>
        <v/>
      </c>
      <c r="C656" s="4"/>
      <c r="G656" s="4"/>
      <c r="H656" s="4"/>
      <c r="I656" s="4"/>
      <c r="J656" s="4"/>
      <c r="K656" s="4"/>
      <c r="L656" s="5"/>
      <c r="BJ656" s="4"/>
      <c r="BK656" s="4"/>
      <c r="BL656" s="7"/>
    </row>
    <row r="657">
      <c r="A657" s="4" t="str">
        <f t="shared" si="1"/>
        <v/>
      </c>
      <c r="C657" s="4"/>
      <c r="G657" s="4"/>
      <c r="H657" s="4"/>
      <c r="I657" s="4"/>
      <c r="J657" s="4"/>
      <c r="K657" s="4"/>
      <c r="L657" s="5"/>
      <c r="BJ657" s="4"/>
      <c r="BK657" s="4"/>
      <c r="BL657" s="7"/>
    </row>
    <row r="658">
      <c r="A658" s="4" t="str">
        <f t="shared" si="1"/>
        <v/>
      </c>
      <c r="C658" s="4"/>
      <c r="G658" s="4"/>
      <c r="H658" s="4"/>
      <c r="I658" s="4"/>
      <c r="J658" s="4"/>
      <c r="K658" s="4"/>
      <c r="L658" s="5"/>
      <c r="BJ658" s="4"/>
      <c r="BK658" s="4"/>
      <c r="BL658" s="7"/>
    </row>
    <row r="659">
      <c r="A659" s="4" t="str">
        <f t="shared" si="1"/>
        <v/>
      </c>
      <c r="C659" s="4"/>
      <c r="G659" s="4"/>
      <c r="H659" s="4"/>
      <c r="I659" s="4"/>
      <c r="J659" s="4"/>
      <c r="K659" s="4"/>
      <c r="L659" s="5"/>
      <c r="BJ659" s="4"/>
      <c r="BK659" s="4"/>
      <c r="BL659" s="7"/>
    </row>
    <row r="660">
      <c r="A660" s="4" t="str">
        <f t="shared" si="1"/>
        <v/>
      </c>
      <c r="C660" s="4"/>
      <c r="G660" s="4"/>
      <c r="H660" s="4"/>
      <c r="I660" s="4"/>
      <c r="J660" s="4"/>
      <c r="K660" s="4"/>
      <c r="L660" s="5"/>
      <c r="BJ660" s="4"/>
      <c r="BK660" s="4"/>
      <c r="BL660" s="7"/>
    </row>
    <row r="661">
      <c r="A661" s="4" t="str">
        <f t="shared" si="1"/>
        <v/>
      </c>
      <c r="C661" s="4"/>
      <c r="G661" s="4"/>
      <c r="H661" s="4"/>
      <c r="I661" s="4"/>
      <c r="J661" s="4"/>
      <c r="K661" s="4"/>
      <c r="L661" s="5"/>
      <c r="BJ661" s="4"/>
      <c r="BK661" s="4"/>
      <c r="BL661" s="7"/>
    </row>
    <row r="662">
      <c r="A662" s="4" t="str">
        <f t="shared" si="1"/>
        <v/>
      </c>
      <c r="C662" s="4"/>
      <c r="G662" s="4"/>
      <c r="H662" s="4"/>
      <c r="I662" s="4"/>
      <c r="J662" s="4"/>
      <c r="K662" s="4"/>
      <c r="L662" s="5"/>
      <c r="BJ662" s="4"/>
      <c r="BK662" s="4"/>
      <c r="BL662" s="7"/>
    </row>
    <row r="663">
      <c r="A663" s="4" t="str">
        <f t="shared" si="1"/>
        <v/>
      </c>
      <c r="C663" s="4"/>
      <c r="G663" s="4"/>
      <c r="H663" s="4"/>
      <c r="I663" s="4"/>
      <c r="J663" s="4"/>
      <c r="K663" s="4"/>
      <c r="L663" s="5"/>
      <c r="BJ663" s="4"/>
      <c r="BK663" s="4"/>
      <c r="BL663" s="7"/>
    </row>
    <row r="664">
      <c r="A664" s="4" t="str">
        <f t="shared" si="1"/>
        <v/>
      </c>
      <c r="C664" s="4"/>
      <c r="G664" s="4"/>
      <c r="H664" s="4"/>
      <c r="I664" s="4"/>
      <c r="J664" s="4"/>
      <c r="K664" s="4"/>
      <c r="L664" s="5"/>
      <c r="BJ664" s="4"/>
      <c r="BK664" s="4"/>
      <c r="BL664" s="7"/>
    </row>
    <row r="665">
      <c r="A665" s="4" t="str">
        <f t="shared" si="1"/>
        <v/>
      </c>
      <c r="C665" s="4"/>
      <c r="G665" s="4"/>
      <c r="H665" s="4"/>
      <c r="I665" s="4"/>
      <c r="J665" s="4"/>
      <c r="K665" s="4"/>
      <c r="L665" s="5"/>
      <c r="BJ665" s="4"/>
      <c r="BK665" s="4"/>
      <c r="BL665" s="7"/>
    </row>
    <row r="666">
      <c r="A666" s="4" t="str">
        <f t="shared" si="1"/>
        <v/>
      </c>
      <c r="C666" s="4"/>
      <c r="G666" s="4"/>
      <c r="H666" s="4"/>
      <c r="I666" s="4"/>
      <c r="J666" s="4"/>
      <c r="K666" s="4"/>
      <c r="L666" s="5"/>
      <c r="BJ666" s="4"/>
      <c r="BK666" s="4"/>
      <c r="BL666" s="7"/>
    </row>
    <row r="667">
      <c r="A667" s="4" t="str">
        <f t="shared" si="1"/>
        <v/>
      </c>
      <c r="C667" s="4"/>
      <c r="G667" s="4"/>
      <c r="H667" s="4"/>
      <c r="I667" s="4"/>
      <c r="J667" s="4"/>
      <c r="K667" s="4"/>
      <c r="L667" s="5"/>
      <c r="BJ667" s="4"/>
      <c r="BK667" s="4"/>
      <c r="BL667" s="7"/>
    </row>
    <row r="668">
      <c r="A668" s="4" t="str">
        <f t="shared" si="1"/>
        <v/>
      </c>
      <c r="C668" s="4"/>
      <c r="G668" s="4"/>
      <c r="H668" s="4"/>
      <c r="I668" s="4"/>
      <c r="J668" s="4"/>
      <c r="K668" s="4"/>
      <c r="L668" s="5"/>
      <c r="BJ668" s="4"/>
      <c r="BK668" s="4"/>
      <c r="BL668" s="7"/>
    </row>
    <row r="669">
      <c r="A669" s="4" t="str">
        <f t="shared" si="1"/>
        <v/>
      </c>
      <c r="C669" s="4"/>
      <c r="G669" s="4"/>
      <c r="H669" s="4"/>
      <c r="I669" s="4"/>
      <c r="J669" s="4"/>
      <c r="K669" s="4"/>
      <c r="L669" s="5"/>
      <c r="BJ669" s="4"/>
      <c r="BK669" s="4"/>
      <c r="BL669" s="7"/>
    </row>
    <row r="670">
      <c r="A670" s="4" t="str">
        <f t="shared" si="1"/>
        <v/>
      </c>
      <c r="C670" s="4"/>
      <c r="G670" s="4"/>
      <c r="H670" s="4"/>
      <c r="I670" s="4"/>
      <c r="J670" s="4"/>
      <c r="K670" s="4"/>
      <c r="L670" s="5"/>
      <c r="BJ670" s="4"/>
      <c r="BK670" s="4"/>
      <c r="BL670" s="7"/>
    </row>
    <row r="671">
      <c r="A671" s="4" t="str">
        <f t="shared" si="1"/>
        <v/>
      </c>
      <c r="C671" s="4"/>
      <c r="G671" s="4"/>
      <c r="H671" s="4"/>
      <c r="I671" s="4"/>
      <c r="J671" s="4"/>
      <c r="K671" s="4"/>
      <c r="L671" s="5"/>
      <c r="BJ671" s="4"/>
      <c r="BK671" s="4"/>
      <c r="BL671" s="7"/>
    </row>
    <row r="672">
      <c r="A672" s="4" t="str">
        <f t="shared" si="1"/>
        <v/>
      </c>
      <c r="C672" s="4"/>
      <c r="G672" s="4"/>
      <c r="H672" s="4"/>
      <c r="I672" s="4"/>
      <c r="J672" s="4"/>
      <c r="K672" s="4"/>
      <c r="L672" s="5"/>
      <c r="BJ672" s="4"/>
      <c r="BK672" s="4"/>
      <c r="BL672" s="7"/>
    </row>
    <row r="673">
      <c r="A673" s="4" t="str">
        <f t="shared" si="1"/>
        <v/>
      </c>
      <c r="C673" s="4"/>
      <c r="G673" s="4"/>
      <c r="H673" s="4"/>
      <c r="I673" s="4"/>
      <c r="J673" s="4"/>
      <c r="K673" s="4"/>
      <c r="L673" s="5"/>
      <c r="BJ673" s="4"/>
      <c r="BK673" s="4"/>
      <c r="BL673" s="7"/>
    </row>
    <row r="674">
      <c r="A674" s="4" t="str">
        <f t="shared" si="1"/>
        <v/>
      </c>
      <c r="C674" s="4"/>
      <c r="G674" s="4"/>
      <c r="H674" s="4"/>
      <c r="I674" s="4"/>
      <c r="J674" s="4"/>
      <c r="K674" s="4"/>
      <c r="L674" s="5"/>
      <c r="BJ674" s="4"/>
      <c r="BK674" s="4"/>
      <c r="BL674" s="7"/>
    </row>
    <row r="675">
      <c r="A675" s="4" t="str">
        <f t="shared" si="1"/>
        <v/>
      </c>
      <c r="C675" s="4"/>
      <c r="G675" s="4"/>
      <c r="H675" s="4"/>
      <c r="I675" s="4"/>
      <c r="J675" s="4"/>
      <c r="K675" s="4"/>
      <c r="L675" s="5"/>
      <c r="BJ675" s="4"/>
      <c r="BK675" s="4"/>
      <c r="BL675" s="7"/>
    </row>
    <row r="676">
      <c r="A676" s="4" t="str">
        <f t="shared" si="1"/>
        <v/>
      </c>
      <c r="C676" s="4"/>
      <c r="G676" s="4"/>
      <c r="H676" s="4"/>
      <c r="I676" s="4"/>
      <c r="J676" s="4"/>
      <c r="K676" s="4"/>
      <c r="L676" s="5"/>
      <c r="BJ676" s="4"/>
      <c r="BK676" s="4"/>
      <c r="BL676" s="7"/>
    </row>
    <row r="677">
      <c r="A677" s="4" t="str">
        <f t="shared" si="1"/>
        <v/>
      </c>
      <c r="C677" s="4"/>
      <c r="G677" s="4"/>
      <c r="H677" s="4"/>
      <c r="I677" s="4"/>
      <c r="J677" s="4"/>
      <c r="K677" s="4"/>
      <c r="L677" s="5"/>
      <c r="BJ677" s="4"/>
      <c r="BK677" s="4"/>
      <c r="BL677" s="7"/>
    </row>
    <row r="678">
      <c r="A678" s="4" t="str">
        <f t="shared" si="1"/>
        <v/>
      </c>
      <c r="C678" s="4"/>
      <c r="G678" s="4"/>
      <c r="H678" s="4"/>
      <c r="I678" s="4"/>
      <c r="J678" s="4"/>
      <c r="K678" s="4"/>
      <c r="L678" s="5"/>
      <c r="BJ678" s="4"/>
      <c r="BK678" s="4"/>
      <c r="BL678" s="7"/>
    </row>
    <row r="679">
      <c r="A679" s="4" t="str">
        <f t="shared" si="1"/>
        <v/>
      </c>
      <c r="C679" s="4"/>
      <c r="G679" s="4"/>
      <c r="H679" s="4"/>
      <c r="I679" s="4"/>
      <c r="J679" s="4"/>
      <c r="K679" s="4"/>
      <c r="L679" s="5"/>
      <c r="BJ679" s="4"/>
      <c r="BK679" s="4"/>
      <c r="BL679" s="7"/>
    </row>
    <row r="680">
      <c r="A680" s="4" t="str">
        <f t="shared" si="1"/>
        <v/>
      </c>
      <c r="C680" s="4"/>
      <c r="G680" s="4"/>
      <c r="H680" s="4"/>
      <c r="I680" s="4"/>
      <c r="J680" s="4"/>
      <c r="K680" s="4"/>
      <c r="L680" s="5"/>
      <c r="BJ680" s="4"/>
      <c r="BK680" s="4"/>
      <c r="BL680" s="7"/>
    </row>
    <row r="681">
      <c r="A681" s="4" t="str">
        <f t="shared" si="1"/>
        <v/>
      </c>
      <c r="C681" s="4"/>
      <c r="G681" s="4"/>
      <c r="H681" s="4"/>
      <c r="I681" s="4"/>
      <c r="J681" s="4"/>
      <c r="K681" s="4"/>
      <c r="L681" s="5"/>
      <c r="BJ681" s="4"/>
      <c r="BK681" s="4"/>
      <c r="BL681" s="7"/>
    </row>
    <row r="682">
      <c r="A682" s="4" t="str">
        <f t="shared" si="1"/>
        <v/>
      </c>
      <c r="C682" s="4"/>
      <c r="G682" s="4"/>
      <c r="H682" s="4"/>
      <c r="I682" s="4"/>
      <c r="J682" s="4"/>
      <c r="K682" s="4"/>
      <c r="L682" s="5"/>
      <c r="BJ682" s="4"/>
      <c r="BK682" s="4"/>
      <c r="BL682" s="7"/>
    </row>
    <row r="683">
      <c r="A683" s="4" t="str">
        <f t="shared" si="1"/>
        <v/>
      </c>
      <c r="C683" s="4"/>
      <c r="G683" s="4"/>
      <c r="H683" s="4"/>
      <c r="I683" s="4"/>
      <c r="J683" s="4"/>
      <c r="K683" s="4"/>
      <c r="L683" s="5"/>
      <c r="BJ683" s="4"/>
      <c r="BK683" s="4"/>
      <c r="BL683" s="7"/>
    </row>
    <row r="684">
      <c r="A684" s="4" t="str">
        <f t="shared" si="1"/>
        <v/>
      </c>
      <c r="C684" s="4"/>
      <c r="G684" s="4"/>
      <c r="H684" s="4"/>
      <c r="I684" s="4"/>
      <c r="J684" s="4"/>
      <c r="K684" s="4"/>
      <c r="L684" s="5"/>
      <c r="BJ684" s="4"/>
      <c r="BK684" s="4"/>
      <c r="BL684" s="7"/>
    </row>
    <row r="685">
      <c r="A685" s="4" t="str">
        <f t="shared" si="1"/>
        <v/>
      </c>
      <c r="C685" s="4"/>
      <c r="G685" s="4"/>
      <c r="H685" s="4"/>
      <c r="I685" s="4"/>
      <c r="J685" s="4"/>
      <c r="K685" s="4"/>
      <c r="L685" s="5"/>
      <c r="BJ685" s="4"/>
      <c r="BK685" s="4"/>
      <c r="BL685" s="7"/>
    </row>
    <row r="686">
      <c r="A686" s="4" t="str">
        <f t="shared" si="1"/>
        <v/>
      </c>
      <c r="C686" s="4"/>
      <c r="G686" s="4"/>
      <c r="H686" s="4"/>
      <c r="I686" s="4"/>
      <c r="J686" s="4"/>
      <c r="K686" s="4"/>
      <c r="L686" s="5"/>
      <c r="BJ686" s="4"/>
      <c r="BK686" s="4"/>
      <c r="BL686" s="7"/>
    </row>
    <row r="687">
      <c r="A687" s="4" t="str">
        <f t="shared" si="1"/>
        <v/>
      </c>
      <c r="C687" s="4"/>
      <c r="G687" s="4"/>
      <c r="H687" s="4"/>
      <c r="I687" s="4"/>
      <c r="J687" s="4"/>
      <c r="K687" s="4"/>
      <c r="L687" s="5"/>
      <c r="BJ687" s="4"/>
      <c r="BK687" s="4"/>
      <c r="BL687" s="7"/>
    </row>
    <row r="688">
      <c r="A688" s="4" t="str">
        <f t="shared" si="1"/>
        <v/>
      </c>
      <c r="C688" s="4"/>
      <c r="G688" s="4"/>
      <c r="H688" s="4"/>
      <c r="I688" s="4"/>
      <c r="J688" s="4"/>
      <c r="K688" s="4"/>
      <c r="L688" s="5"/>
      <c r="BJ688" s="4"/>
      <c r="BK688" s="4"/>
      <c r="BL688" s="7"/>
    </row>
    <row r="689">
      <c r="A689" s="4" t="str">
        <f t="shared" si="1"/>
        <v/>
      </c>
      <c r="C689" s="4"/>
      <c r="G689" s="4"/>
      <c r="H689" s="4"/>
      <c r="I689" s="4"/>
      <c r="J689" s="4"/>
      <c r="K689" s="4"/>
      <c r="L689" s="5"/>
      <c r="BJ689" s="4"/>
      <c r="BK689" s="4"/>
      <c r="BL689" s="7"/>
    </row>
    <row r="690">
      <c r="A690" s="4" t="str">
        <f t="shared" si="1"/>
        <v/>
      </c>
      <c r="C690" s="4"/>
      <c r="G690" s="4"/>
      <c r="H690" s="4"/>
      <c r="I690" s="4"/>
      <c r="J690" s="4"/>
      <c r="K690" s="4"/>
      <c r="L690" s="5"/>
      <c r="BJ690" s="4"/>
      <c r="BK690" s="4"/>
      <c r="BL690" s="7"/>
    </row>
    <row r="691">
      <c r="A691" s="4" t="str">
        <f t="shared" si="1"/>
        <v/>
      </c>
      <c r="C691" s="4"/>
      <c r="G691" s="4"/>
      <c r="H691" s="4"/>
      <c r="I691" s="4"/>
      <c r="J691" s="4"/>
      <c r="K691" s="4"/>
      <c r="L691" s="5"/>
      <c r="BJ691" s="4"/>
      <c r="BK691" s="4"/>
      <c r="BL691" s="7"/>
    </row>
    <row r="692">
      <c r="A692" s="4" t="str">
        <f t="shared" si="1"/>
        <v/>
      </c>
      <c r="C692" s="4"/>
      <c r="G692" s="4"/>
      <c r="H692" s="4"/>
      <c r="I692" s="4"/>
      <c r="J692" s="4"/>
      <c r="K692" s="4"/>
      <c r="L692" s="5"/>
      <c r="BJ692" s="4"/>
      <c r="BK692" s="4"/>
      <c r="BL692" s="7"/>
    </row>
    <row r="693">
      <c r="A693" s="4" t="str">
        <f t="shared" si="1"/>
        <v/>
      </c>
      <c r="C693" s="4"/>
      <c r="G693" s="4"/>
      <c r="H693" s="4"/>
      <c r="I693" s="4"/>
      <c r="J693" s="4"/>
      <c r="K693" s="4"/>
      <c r="L693" s="5"/>
      <c r="BJ693" s="4"/>
      <c r="BK693" s="4"/>
      <c r="BL693" s="7"/>
    </row>
    <row r="694">
      <c r="A694" s="4" t="str">
        <f t="shared" si="1"/>
        <v/>
      </c>
      <c r="C694" s="4"/>
      <c r="G694" s="4"/>
      <c r="H694" s="4"/>
      <c r="I694" s="4"/>
      <c r="J694" s="4"/>
      <c r="K694" s="4"/>
      <c r="L694" s="5"/>
      <c r="BJ694" s="4"/>
      <c r="BK694" s="4"/>
      <c r="BL694" s="7"/>
    </row>
    <row r="695">
      <c r="A695" s="4" t="str">
        <f t="shared" si="1"/>
        <v/>
      </c>
      <c r="C695" s="4"/>
      <c r="G695" s="4"/>
      <c r="H695" s="4"/>
      <c r="I695" s="4"/>
      <c r="J695" s="4"/>
      <c r="K695" s="4"/>
      <c r="L695" s="5"/>
      <c r="BJ695" s="4"/>
      <c r="BK695" s="4"/>
      <c r="BL695" s="7"/>
    </row>
    <row r="696">
      <c r="A696" s="4" t="str">
        <f t="shared" si="1"/>
        <v/>
      </c>
      <c r="C696" s="4"/>
      <c r="G696" s="4"/>
      <c r="H696" s="4"/>
      <c r="I696" s="4"/>
      <c r="J696" s="4"/>
      <c r="K696" s="4"/>
      <c r="L696" s="5"/>
      <c r="BJ696" s="4"/>
      <c r="BK696" s="4"/>
      <c r="BL696" s="7"/>
    </row>
    <row r="697">
      <c r="A697" s="4" t="str">
        <f t="shared" si="1"/>
        <v/>
      </c>
      <c r="C697" s="4"/>
      <c r="G697" s="4"/>
      <c r="H697" s="4"/>
      <c r="I697" s="4"/>
      <c r="J697" s="4"/>
      <c r="K697" s="4"/>
      <c r="L697" s="5"/>
      <c r="BJ697" s="4"/>
      <c r="BK697" s="4"/>
      <c r="BL697" s="7"/>
    </row>
    <row r="698">
      <c r="A698" s="4" t="str">
        <f t="shared" si="1"/>
        <v/>
      </c>
      <c r="C698" s="4"/>
      <c r="G698" s="4"/>
      <c r="H698" s="4"/>
      <c r="I698" s="4"/>
      <c r="J698" s="4"/>
      <c r="K698" s="4"/>
      <c r="L698" s="5"/>
      <c r="BJ698" s="4"/>
      <c r="BK698" s="4"/>
      <c r="BL698" s="7"/>
    </row>
    <row r="699">
      <c r="A699" s="4" t="str">
        <f t="shared" si="1"/>
        <v/>
      </c>
      <c r="C699" s="4"/>
      <c r="G699" s="4"/>
      <c r="H699" s="4"/>
      <c r="I699" s="4"/>
      <c r="J699" s="4"/>
      <c r="K699" s="4"/>
      <c r="L699" s="5"/>
      <c r="BJ699" s="4"/>
      <c r="BK699" s="4"/>
      <c r="BL699" s="7"/>
    </row>
    <row r="700">
      <c r="A700" s="4" t="str">
        <f t="shared" si="1"/>
        <v/>
      </c>
      <c r="C700" s="4"/>
      <c r="G700" s="4"/>
      <c r="H700" s="4"/>
      <c r="I700" s="4"/>
      <c r="J700" s="4"/>
      <c r="K700" s="4"/>
      <c r="L700" s="5"/>
      <c r="BJ700" s="4"/>
      <c r="BK700" s="4"/>
      <c r="BL700" s="7"/>
    </row>
    <row r="701">
      <c r="A701" s="4" t="str">
        <f t="shared" si="1"/>
        <v/>
      </c>
      <c r="C701" s="4"/>
      <c r="G701" s="4"/>
      <c r="H701" s="4"/>
      <c r="I701" s="4"/>
      <c r="J701" s="4"/>
      <c r="K701" s="4"/>
      <c r="L701" s="5"/>
      <c r="BJ701" s="4"/>
      <c r="BK701" s="4"/>
      <c r="BL701" s="7"/>
    </row>
    <row r="702">
      <c r="A702" s="4" t="str">
        <f t="shared" si="1"/>
        <v/>
      </c>
      <c r="C702" s="4"/>
      <c r="G702" s="4"/>
      <c r="H702" s="4"/>
      <c r="I702" s="4"/>
      <c r="J702" s="4"/>
      <c r="K702" s="4"/>
      <c r="L702" s="5"/>
      <c r="BJ702" s="4"/>
      <c r="BK702" s="4"/>
      <c r="BL702" s="7"/>
    </row>
    <row r="703">
      <c r="A703" s="4" t="str">
        <f t="shared" si="1"/>
        <v/>
      </c>
      <c r="C703" s="4"/>
      <c r="G703" s="4"/>
      <c r="H703" s="4"/>
      <c r="I703" s="4"/>
      <c r="J703" s="4"/>
      <c r="K703" s="4"/>
      <c r="L703" s="5"/>
      <c r="BJ703" s="4"/>
      <c r="BK703" s="4"/>
      <c r="BL703" s="7"/>
    </row>
    <row r="704">
      <c r="A704" s="4" t="str">
        <f t="shared" si="1"/>
        <v/>
      </c>
      <c r="C704" s="4"/>
      <c r="G704" s="4"/>
      <c r="H704" s="4"/>
      <c r="I704" s="4"/>
      <c r="J704" s="4"/>
      <c r="K704" s="4"/>
      <c r="L704" s="5"/>
      <c r="BJ704" s="4"/>
      <c r="BK704" s="4"/>
      <c r="BL704" s="7"/>
    </row>
    <row r="705">
      <c r="A705" s="4" t="str">
        <f t="shared" si="1"/>
        <v/>
      </c>
      <c r="C705" s="4"/>
      <c r="G705" s="4"/>
      <c r="H705" s="4"/>
      <c r="I705" s="4"/>
      <c r="J705" s="4"/>
      <c r="K705" s="4"/>
      <c r="L705" s="5"/>
      <c r="BJ705" s="4"/>
      <c r="BK705" s="4"/>
      <c r="BL705" s="7"/>
    </row>
    <row r="706">
      <c r="A706" s="4" t="str">
        <f t="shared" si="1"/>
        <v/>
      </c>
      <c r="C706" s="4"/>
      <c r="G706" s="4"/>
      <c r="H706" s="4"/>
      <c r="I706" s="4"/>
      <c r="J706" s="4"/>
      <c r="K706" s="4"/>
      <c r="L706" s="5"/>
      <c r="BJ706" s="4"/>
      <c r="BK706" s="4"/>
      <c r="BL706" s="7"/>
    </row>
    <row r="707">
      <c r="A707" s="4" t="str">
        <f t="shared" si="1"/>
        <v/>
      </c>
      <c r="C707" s="4"/>
      <c r="G707" s="4"/>
      <c r="H707" s="4"/>
      <c r="I707" s="4"/>
      <c r="J707" s="4"/>
      <c r="K707" s="4"/>
      <c r="L707" s="5"/>
      <c r="BJ707" s="4"/>
      <c r="BK707" s="4"/>
      <c r="BL707" s="7"/>
    </row>
    <row r="708">
      <c r="A708" s="4" t="str">
        <f t="shared" si="1"/>
        <v/>
      </c>
      <c r="C708" s="4"/>
      <c r="G708" s="4"/>
      <c r="H708" s="4"/>
      <c r="I708" s="4"/>
      <c r="J708" s="4"/>
      <c r="K708" s="4"/>
      <c r="L708" s="5"/>
      <c r="BJ708" s="4"/>
      <c r="BK708" s="4"/>
      <c r="BL708" s="7"/>
    </row>
    <row r="709">
      <c r="A709" s="4"/>
      <c r="C709" s="4"/>
      <c r="G709" s="4"/>
      <c r="H709" s="4"/>
      <c r="I709" s="4"/>
      <c r="J709" s="4"/>
      <c r="K709" s="4"/>
      <c r="L709" s="5"/>
      <c r="BJ709" s="4"/>
      <c r="BK709" s="4"/>
      <c r="BL709" s="7"/>
    </row>
    <row r="710">
      <c r="A710" s="4"/>
      <c r="C710" s="4"/>
      <c r="G710" s="4"/>
      <c r="H710" s="4"/>
      <c r="I710" s="4"/>
      <c r="J710" s="4"/>
      <c r="K710" s="4"/>
      <c r="L710" s="5"/>
      <c r="BJ710" s="4"/>
      <c r="BK710" s="4"/>
      <c r="BL710" s="7"/>
    </row>
    <row r="711">
      <c r="A711" s="4"/>
      <c r="C711" s="4"/>
      <c r="G711" s="4"/>
      <c r="H711" s="4"/>
      <c r="I711" s="4"/>
      <c r="J711" s="4"/>
      <c r="K711" s="4"/>
      <c r="L711" s="5"/>
      <c r="BJ711" s="4"/>
      <c r="BK711" s="4"/>
      <c r="BL711" s="7"/>
    </row>
    <row r="712">
      <c r="A712" s="4"/>
      <c r="C712" s="4"/>
      <c r="G712" s="4"/>
      <c r="H712" s="4"/>
      <c r="I712" s="4"/>
      <c r="J712" s="4"/>
      <c r="K712" s="4"/>
      <c r="L712" s="5"/>
      <c r="BJ712" s="4"/>
      <c r="BK712" s="4"/>
      <c r="BL712" s="7"/>
    </row>
    <row r="713">
      <c r="A713" s="4"/>
      <c r="C713" s="4"/>
      <c r="G713" s="4"/>
      <c r="H713" s="4"/>
      <c r="I713" s="4"/>
      <c r="J713" s="4"/>
      <c r="K713" s="4"/>
      <c r="L713" s="5"/>
      <c r="BJ713" s="4"/>
      <c r="BK713" s="4"/>
      <c r="BL713" s="7"/>
    </row>
    <row r="714">
      <c r="A714" s="4"/>
      <c r="C714" s="4"/>
      <c r="G714" s="4"/>
      <c r="H714" s="4"/>
      <c r="I714" s="4"/>
      <c r="J714" s="4"/>
      <c r="K714" s="4"/>
      <c r="L714" s="5"/>
      <c r="BJ714" s="4"/>
      <c r="BK714" s="4"/>
      <c r="BL714" s="7"/>
    </row>
    <row r="715">
      <c r="A715" s="4"/>
      <c r="C715" s="4"/>
      <c r="G715" s="4"/>
      <c r="H715" s="4"/>
      <c r="I715" s="4"/>
      <c r="J715" s="4"/>
      <c r="K715" s="4"/>
      <c r="L715" s="5"/>
      <c r="BJ715" s="4"/>
      <c r="BK715" s="4"/>
      <c r="BL715" s="7"/>
    </row>
    <row r="716">
      <c r="A716" s="4"/>
      <c r="C716" s="4"/>
      <c r="G716" s="4"/>
      <c r="H716" s="4"/>
      <c r="I716" s="4"/>
      <c r="J716" s="4"/>
      <c r="K716" s="4"/>
      <c r="L716" s="5"/>
      <c r="BJ716" s="4"/>
      <c r="BK716" s="4"/>
      <c r="BL716" s="7"/>
    </row>
    <row r="717">
      <c r="A717" s="4"/>
      <c r="C717" s="4"/>
      <c r="G717" s="4"/>
      <c r="H717" s="4"/>
      <c r="I717" s="4"/>
      <c r="J717" s="4"/>
      <c r="K717" s="4"/>
      <c r="L717" s="5"/>
      <c r="BJ717" s="4"/>
      <c r="BK717" s="4"/>
      <c r="BL717" s="7"/>
    </row>
    <row r="718">
      <c r="A718" s="4"/>
      <c r="C718" s="4"/>
      <c r="G718" s="4"/>
      <c r="H718" s="4"/>
      <c r="I718" s="4"/>
      <c r="J718" s="4"/>
      <c r="K718" s="4"/>
      <c r="L718" s="5"/>
      <c r="BJ718" s="4"/>
      <c r="BK718" s="4"/>
      <c r="BL718" s="7"/>
    </row>
    <row r="719">
      <c r="A719" s="4"/>
      <c r="C719" s="4"/>
      <c r="G719" s="4"/>
      <c r="H719" s="4"/>
      <c r="I719" s="4"/>
      <c r="J719" s="4"/>
      <c r="K719" s="4"/>
      <c r="L719" s="5"/>
      <c r="BJ719" s="4"/>
      <c r="BK719" s="4"/>
      <c r="BL719" s="7"/>
    </row>
    <row r="720">
      <c r="A720" s="4"/>
      <c r="C720" s="4"/>
      <c r="G720" s="4"/>
      <c r="H720" s="4"/>
      <c r="I720" s="4"/>
      <c r="J720" s="4"/>
      <c r="K720" s="4"/>
      <c r="L720" s="5"/>
      <c r="BJ720" s="4"/>
      <c r="BK720" s="4"/>
      <c r="BL720" s="7"/>
    </row>
    <row r="721">
      <c r="A721" s="4"/>
      <c r="C721" s="4"/>
      <c r="G721" s="4"/>
      <c r="H721" s="4"/>
      <c r="I721" s="4"/>
      <c r="J721" s="4"/>
      <c r="K721" s="4"/>
      <c r="L721" s="5"/>
      <c r="BJ721" s="4"/>
      <c r="BK721" s="4"/>
      <c r="BL721" s="7"/>
    </row>
    <row r="722">
      <c r="A722" s="4"/>
      <c r="C722" s="4"/>
      <c r="G722" s="4"/>
      <c r="H722" s="4"/>
      <c r="I722" s="4"/>
      <c r="J722" s="4"/>
      <c r="K722" s="4"/>
      <c r="L722" s="5"/>
      <c r="BJ722" s="4"/>
      <c r="BK722" s="4"/>
      <c r="BL722" s="7"/>
    </row>
    <row r="723">
      <c r="A723" s="4"/>
      <c r="C723" s="4"/>
      <c r="G723" s="4"/>
      <c r="H723" s="4"/>
      <c r="I723" s="4"/>
      <c r="J723" s="4"/>
      <c r="K723" s="4"/>
      <c r="L723" s="5"/>
      <c r="BJ723" s="4"/>
      <c r="BK723" s="4"/>
      <c r="BL723" s="7"/>
    </row>
    <row r="724">
      <c r="A724" s="4"/>
      <c r="C724" s="4"/>
      <c r="G724" s="4"/>
      <c r="H724" s="4"/>
      <c r="I724" s="4"/>
      <c r="J724" s="4"/>
      <c r="K724" s="4"/>
      <c r="L724" s="5"/>
      <c r="BJ724" s="4"/>
      <c r="BK724" s="4"/>
      <c r="BL724" s="7"/>
    </row>
    <row r="725">
      <c r="A725" s="4"/>
      <c r="C725" s="4"/>
      <c r="G725" s="4"/>
      <c r="H725" s="4"/>
      <c r="I725" s="4"/>
      <c r="J725" s="4"/>
      <c r="K725" s="4"/>
      <c r="L725" s="5"/>
      <c r="BJ725" s="4"/>
      <c r="BK725" s="4"/>
      <c r="BL725" s="7"/>
    </row>
    <row r="726">
      <c r="A726" s="4"/>
      <c r="C726" s="4"/>
      <c r="G726" s="4"/>
      <c r="H726" s="4"/>
      <c r="I726" s="4"/>
      <c r="J726" s="4"/>
      <c r="K726" s="4"/>
      <c r="L726" s="5"/>
      <c r="BJ726" s="4"/>
      <c r="BK726" s="4"/>
      <c r="BL726" s="7"/>
    </row>
    <row r="727">
      <c r="A727" s="4"/>
      <c r="C727" s="4"/>
      <c r="G727" s="4"/>
      <c r="H727" s="4"/>
      <c r="I727" s="4"/>
      <c r="J727" s="4"/>
      <c r="K727" s="4"/>
      <c r="L727" s="5"/>
      <c r="BJ727" s="4"/>
      <c r="BK727" s="4"/>
      <c r="BL727" s="7"/>
    </row>
    <row r="728">
      <c r="A728" s="4"/>
      <c r="C728" s="4"/>
      <c r="G728" s="4"/>
      <c r="H728" s="4"/>
      <c r="I728" s="4"/>
      <c r="J728" s="4"/>
      <c r="K728" s="4"/>
      <c r="L728" s="5"/>
      <c r="BJ728" s="4"/>
      <c r="BK728" s="4"/>
      <c r="BL728" s="7"/>
    </row>
    <row r="729">
      <c r="A729" s="4"/>
      <c r="C729" s="4"/>
      <c r="G729" s="4"/>
      <c r="H729" s="4"/>
      <c r="I729" s="4"/>
      <c r="J729" s="4"/>
      <c r="K729" s="4"/>
      <c r="L729" s="5"/>
      <c r="BJ729" s="4"/>
      <c r="BK729" s="4"/>
      <c r="BL729" s="7"/>
    </row>
    <row r="730">
      <c r="A730" s="4"/>
      <c r="C730" s="4"/>
      <c r="G730" s="4"/>
      <c r="H730" s="4"/>
      <c r="I730" s="4"/>
      <c r="J730" s="4"/>
      <c r="K730" s="4"/>
      <c r="L730" s="5"/>
      <c r="BJ730" s="4"/>
      <c r="BK730" s="4"/>
      <c r="BL730" s="7"/>
    </row>
    <row r="731">
      <c r="A731" s="4"/>
      <c r="C731" s="4"/>
      <c r="G731" s="4"/>
      <c r="H731" s="4"/>
      <c r="I731" s="4"/>
      <c r="J731" s="4"/>
      <c r="K731" s="4"/>
      <c r="L731" s="5"/>
      <c r="BJ731" s="4"/>
      <c r="BK731" s="4"/>
      <c r="BL731" s="7"/>
    </row>
    <row r="732">
      <c r="A732" s="4"/>
      <c r="C732" s="4"/>
      <c r="G732" s="4"/>
      <c r="H732" s="4"/>
      <c r="I732" s="4"/>
      <c r="J732" s="4"/>
      <c r="K732" s="4"/>
      <c r="L732" s="5"/>
      <c r="BJ732" s="4"/>
      <c r="BK732" s="4"/>
      <c r="BL732" s="7"/>
    </row>
    <row r="733">
      <c r="A733" s="4"/>
      <c r="C733" s="4"/>
      <c r="G733" s="4"/>
      <c r="H733" s="4"/>
      <c r="I733" s="4"/>
      <c r="J733" s="4"/>
      <c r="K733" s="4"/>
      <c r="L733" s="5"/>
      <c r="BJ733" s="4"/>
      <c r="BK733" s="4"/>
      <c r="BL733" s="7"/>
    </row>
    <row r="734">
      <c r="A734" s="4"/>
      <c r="C734" s="4"/>
      <c r="G734" s="4"/>
      <c r="H734" s="4"/>
      <c r="I734" s="4"/>
      <c r="J734" s="4"/>
      <c r="K734" s="4"/>
      <c r="L734" s="5"/>
      <c r="BJ734" s="4"/>
      <c r="BK734" s="4"/>
      <c r="BL734" s="7"/>
    </row>
    <row r="735">
      <c r="A735" s="4"/>
      <c r="C735" s="4"/>
      <c r="G735" s="4"/>
      <c r="H735" s="4"/>
      <c r="I735" s="4"/>
      <c r="J735" s="4"/>
      <c r="K735" s="4"/>
      <c r="L735" s="5"/>
      <c r="BJ735" s="4"/>
      <c r="BK735" s="4"/>
      <c r="BL735" s="7"/>
    </row>
    <row r="736">
      <c r="A736" s="4"/>
      <c r="C736" s="4"/>
      <c r="G736" s="4"/>
      <c r="H736" s="4"/>
      <c r="I736" s="4"/>
      <c r="J736" s="4"/>
      <c r="K736" s="4"/>
      <c r="L736" s="5"/>
      <c r="BJ736" s="4"/>
      <c r="BK736" s="4"/>
      <c r="BL736" s="7"/>
    </row>
    <row r="737">
      <c r="A737" s="4"/>
      <c r="C737" s="4"/>
      <c r="G737" s="4"/>
      <c r="H737" s="4"/>
      <c r="I737" s="4"/>
      <c r="J737" s="4"/>
      <c r="K737" s="4"/>
      <c r="L737" s="5"/>
      <c r="BJ737" s="4"/>
      <c r="BK737" s="4"/>
      <c r="BL737" s="7"/>
    </row>
    <row r="738">
      <c r="A738" s="4"/>
      <c r="C738" s="4"/>
      <c r="G738" s="4"/>
      <c r="H738" s="4"/>
      <c r="I738" s="4"/>
      <c r="J738" s="4"/>
      <c r="K738" s="4"/>
      <c r="L738" s="5"/>
      <c r="BJ738" s="4"/>
      <c r="BK738" s="4"/>
      <c r="BL738" s="7"/>
    </row>
    <row r="739">
      <c r="A739" s="4"/>
      <c r="C739" s="4"/>
      <c r="G739" s="4"/>
      <c r="H739" s="4"/>
      <c r="I739" s="4"/>
      <c r="J739" s="4"/>
      <c r="K739" s="4"/>
      <c r="L739" s="5"/>
      <c r="BJ739" s="4"/>
      <c r="BK739" s="4"/>
      <c r="BL739" s="7"/>
    </row>
    <row r="740">
      <c r="A740" s="4"/>
      <c r="C740" s="4"/>
      <c r="G740" s="4"/>
      <c r="H740" s="4"/>
      <c r="I740" s="4"/>
      <c r="J740" s="4"/>
      <c r="K740" s="4"/>
      <c r="L740" s="5"/>
      <c r="BJ740" s="4"/>
      <c r="BK740" s="4"/>
      <c r="BL740" s="7"/>
    </row>
    <row r="741">
      <c r="A741" s="4"/>
      <c r="C741" s="4"/>
      <c r="G741" s="4"/>
      <c r="H741" s="4"/>
      <c r="I741" s="4"/>
      <c r="J741" s="4"/>
      <c r="K741" s="4"/>
      <c r="L741" s="5"/>
      <c r="BJ741" s="4"/>
      <c r="BK741" s="4"/>
      <c r="BL741" s="7"/>
    </row>
    <row r="742">
      <c r="A742" s="4"/>
      <c r="C742" s="4"/>
      <c r="G742" s="4"/>
      <c r="H742" s="4"/>
      <c r="I742" s="4"/>
      <c r="J742" s="4"/>
      <c r="K742" s="4"/>
      <c r="L742" s="5"/>
      <c r="BJ742" s="4"/>
      <c r="BK742" s="4"/>
      <c r="BL742" s="7"/>
    </row>
    <row r="743">
      <c r="A743" s="4"/>
      <c r="C743" s="4"/>
      <c r="G743" s="4"/>
      <c r="H743" s="4"/>
      <c r="I743" s="4"/>
      <c r="J743" s="4"/>
      <c r="K743" s="4"/>
      <c r="L743" s="5"/>
      <c r="BJ743" s="4"/>
      <c r="BK743" s="4"/>
      <c r="BL743" s="7"/>
    </row>
    <row r="744">
      <c r="A744" s="4"/>
      <c r="C744" s="4"/>
      <c r="G744" s="4"/>
      <c r="H744" s="4"/>
      <c r="I744" s="4"/>
      <c r="J744" s="4"/>
      <c r="K744" s="4"/>
      <c r="L744" s="5"/>
      <c r="BJ744" s="4"/>
      <c r="BK744" s="4"/>
      <c r="BL744" s="7"/>
    </row>
    <row r="745">
      <c r="A745" s="4"/>
      <c r="C745" s="4"/>
      <c r="G745" s="4"/>
      <c r="H745" s="4"/>
      <c r="I745" s="4"/>
      <c r="J745" s="4"/>
      <c r="K745" s="4"/>
      <c r="L745" s="5"/>
      <c r="BJ745" s="4"/>
      <c r="BK745" s="4"/>
      <c r="BL745" s="7"/>
    </row>
    <row r="746">
      <c r="A746" s="4"/>
      <c r="C746" s="4"/>
      <c r="G746" s="4"/>
      <c r="H746" s="4"/>
      <c r="I746" s="4"/>
      <c r="J746" s="4"/>
      <c r="K746" s="4"/>
      <c r="L746" s="5"/>
      <c r="BJ746" s="4"/>
      <c r="BK746" s="4"/>
      <c r="BL746" s="7"/>
    </row>
    <row r="747">
      <c r="A747" s="4"/>
      <c r="C747" s="4"/>
      <c r="G747" s="4"/>
      <c r="H747" s="4"/>
      <c r="I747" s="4"/>
      <c r="J747" s="4"/>
      <c r="K747" s="4"/>
      <c r="L747" s="5"/>
      <c r="BJ747" s="4"/>
      <c r="BK747" s="4"/>
      <c r="BL747" s="7"/>
    </row>
    <row r="748">
      <c r="A748" s="4"/>
      <c r="C748" s="4"/>
      <c r="G748" s="4"/>
      <c r="H748" s="4"/>
      <c r="I748" s="4"/>
      <c r="J748" s="4"/>
      <c r="K748" s="4"/>
      <c r="L748" s="5"/>
      <c r="BJ748" s="4"/>
      <c r="BK748" s="4"/>
      <c r="BL748" s="7"/>
    </row>
    <row r="749">
      <c r="A749" s="4"/>
      <c r="C749" s="4"/>
      <c r="G749" s="4"/>
      <c r="H749" s="4"/>
      <c r="I749" s="4"/>
      <c r="J749" s="4"/>
      <c r="K749" s="4"/>
      <c r="L749" s="5"/>
      <c r="BJ749" s="4"/>
      <c r="BK749" s="4"/>
      <c r="BL749" s="7"/>
    </row>
    <row r="750">
      <c r="A750" s="4"/>
      <c r="C750" s="4"/>
      <c r="G750" s="4"/>
      <c r="H750" s="4"/>
      <c r="I750" s="4"/>
      <c r="J750" s="4"/>
      <c r="K750" s="4"/>
      <c r="L750" s="5"/>
      <c r="BJ750" s="4"/>
      <c r="BK750" s="4"/>
      <c r="BL750" s="7"/>
    </row>
    <row r="751">
      <c r="A751" s="4"/>
      <c r="C751" s="4"/>
      <c r="G751" s="4"/>
      <c r="H751" s="4"/>
      <c r="I751" s="4"/>
      <c r="J751" s="4"/>
      <c r="K751" s="4"/>
      <c r="L751" s="5"/>
      <c r="BJ751" s="4"/>
      <c r="BK751" s="4"/>
      <c r="BL751" s="7"/>
    </row>
    <row r="752">
      <c r="A752" s="4"/>
      <c r="C752" s="4"/>
      <c r="G752" s="4"/>
      <c r="H752" s="4"/>
      <c r="I752" s="4"/>
      <c r="J752" s="4"/>
      <c r="K752" s="4"/>
      <c r="L752" s="5"/>
      <c r="BJ752" s="4"/>
      <c r="BK752" s="4"/>
      <c r="BL752" s="7"/>
    </row>
    <row r="753">
      <c r="A753" s="4"/>
      <c r="C753" s="4"/>
      <c r="G753" s="4"/>
      <c r="H753" s="4"/>
      <c r="I753" s="4"/>
      <c r="J753" s="4"/>
      <c r="K753" s="4"/>
      <c r="L753" s="5"/>
      <c r="BJ753" s="4"/>
      <c r="BK753" s="4"/>
      <c r="BL753" s="7"/>
    </row>
    <row r="754">
      <c r="A754" s="4"/>
      <c r="C754" s="4"/>
      <c r="G754" s="4"/>
      <c r="H754" s="4"/>
      <c r="I754" s="4"/>
      <c r="J754" s="4"/>
      <c r="K754" s="4"/>
      <c r="L754" s="5"/>
      <c r="BJ754" s="4"/>
      <c r="BK754" s="4"/>
      <c r="BL754" s="7"/>
    </row>
    <row r="755">
      <c r="A755" s="4"/>
      <c r="C755" s="4"/>
      <c r="G755" s="4"/>
      <c r="H755" s="4"/>
      <c r="I755" s="4"/>
      <c r="J755" s="4"/>
      <c r="K755" s="4"/>
      <c r="L755" s="5"/>
      <c r="BJ755" s="4"/>
      <c r="BK755" s="4"/>
      <c r="BL755" s="7"/>
    </row>
    <row r="756">
      <c r="A756" s="4"/>
      <c r="C756" s="4"/>
      <c r="G756" s="4"/>
      <c r="H756" s="4"/>
      <c r="I756" s="4"/>
      <c r="J756" s="4"/>
      <c r="K756" s="4"/>
      <c r="L756" s="5"/>
      <c r="BJ756" s="4"/>
      <c r="BK756" s="4"/>
      <c r="BL756" s="7"/>
    </row>
    <row r="757">
      <c r="A757" s="4"/>
      <c r="C757" s="4"/>
      <c r="G757" s="4"/>
      <c r="H757" s="4"/>
      <c r="I757" s="4"/>
      <c r="J757" s="4"/>
      <c r="K757" s="4"/>
      <c r="L757" s="5"/>
      <c r="BJ757" s="4"/>
      <c r="BK757" s="4"/>
      <c r="BL757" s="7"/>
    </row>
    <row r="758">
      <c r="A758" s="4"/>
      <c r="C758" s="4"/>
      <c r="G758" s="4"/>
      <c r="H758" s="4"/>
      <c r="I758" s="4"/>
      <c r="J758" s="4"/>
      <c r="K758" s="4"/>
      <c r="L758" s="5"/>
      <c r="BJ758" s="4"/>
      <c r="BK758" s="4"/>
      <c r="BL758" s="7"/>
    </row>
    <row r="759">
      <c r="A759" s="4"/>
      <c r="C759" s="4"/>
      <c r="G759" s="4"/>
      <c r="H759" s="4"/>
      <c r="I759" s="4"/>
      <c r="J759" s="4"/>
      <c r="K759" s="4"/>
      <c r="L759" s="5"/>
      <c r="BJ759" s="4"/>
      <c r="BK759" s="4"/>
      <c r="BL759" s="7"/>
    </row>
    <row r="760">
      <c r="A760" s="4"/>
      <c r="C760" s="4"/>
      <c r="G760" s="4"/>
      <c r="H760" s="4"/>
      <c r="I760" s="4"/>
      <c r="J760" s="4"/>
      <c r="K760" s="4"/>
      <c r="L760" s="5"/>
      <c r="BJ760" s="4"/>
      <c r="BK760" s="4"/>
      <c r="BL760" s="7"/>
    </row>
    <row r="761">
      <c r="A761" s="4"/>
      <c r="C761" s="4"/>
      <c r="G761" s="4"/>
      <c r="H761" s="4"/>
      <c r="I761" s="4"/>
      <c r="J761" s="4"/>
      <c r="K761" s="4"/>
      <c r="L761" s="5"/>
      <c r="BJ761" s="4"/>
      <c r="BK761" s="4"/>
      <c r="BL761" s="7"/>
    </row>
    <row r="762">
      <c r="A762" s="4"/>
      <c r="C762" s="4"/>
      <c r="G762" s="4"/>
      <c r="H762" s="4"/>
      <c r="I762" s="4"/>
      <c r="J762" s="4"/>
      <c r="K762" s="4"/>
      <c r="L762" s="5"/>
      <c r="BJ762" s="4"/>
      <c r="BK762" s="4"/>
      <c r="BL762" s="7"/>
    </row>
    <row r="763">
      <c r="A763" s="4"/>
      <c r="C763" s="4"/>
      <c r="G763" s="4"/>
      <c r="H763" s="4"/>
      <c r="I763" s="4"/>
      <c r="J763" s="4"/>
      <c r="K763" s="4"/>
      <c r="L763" s="5"/>
      <c r="BJ763" s="4"/>
      <c r="BK763" s="4"/>
      <c r="BL763" s="7"/>
    </row>
    <row r="764">
      <c r="A764" s="4"/>
      <c r="C764" s="4"/>
      <c r="G764" s="4"/>
      <c r="H764" s="4"/>
      <c r="I764" s="4"/>
      <c r="J764" s="4"/>
      <c r="K764" s="4"/>
      <c r="L764" s="5"/>
      <c r="BJ764" s="4"/>
      <c r="BK764" s="4"/>
      <c r="BL764" s="7"/>
    </row>
    <row r="765">
      <c r="A765" s="4"/>
      <c r="C765" s="4"/>
      <c r="G765" s="4"/>
      <c r="H765" s="4"/>
      <c r="I765" s="4"/>
      <c r="J765" s="4"/>
      <c r="K765" s="4"/>
      <c r="L765" s="5"/>
      <c r="BJ765" s="4"/>
      <c r="BK765" s="4"/>
      <c r="BL765" s="7"/>
    </row>
    <row r="766">
      <c r="A766" s="4"/>
      <c r="C766" s="4"/>
      <c r="G766" s="4"/>
      <c r="H766" s="4"/>
      <c r="I766" s="4"/>
      <c r="J766" s="4"/>
      <c r="K766" s="4"/>
      <c r="L766" s="5"/>
      <c r="BJ766" s="4"/>
      <c r="BK766" s="4"/>
      <c r="BL766" s="7"/>
    </row>
    <row r="767">
      <c r="A767" s="4"/>
      <c r="C767" s="4"/>
      <c r="G767" s="4"/>
      <c r="H767" s="4"/>
      <c r="I767" s="4"/>
      <c r="J767" s="4"/>
      <c r="K767" s="4"/>
      <c r="L767" s="5"/>
      <c r="BJ767" s="4"/>
      <c r="BK767" s="4"/>
      <c r="BL767" s="7"/>
    </row>
    <row r="768">
      <c r="A768" s="4"/>
      <c r="C768" s="4"/>
      <c r="G768" s="4"/>
      <c r="H768" s="4"/>
      <c r="I768" s="4"/>
      <c r="J768" s="4"/>
      <c r="K768" s="4"/>
      <c r="L768" s="5"/>
      <c r="BJ768" s="4"/>
      <c r="BK768" s="4"/>
      <c r="BL768" s="7"/>
    </row>
    <row r="769">
      <c r="A769" s="4"/>
      <c r="C769" s="4"/>
      <c r="G769" s="4"/>
      <c r="H769" s="4"/>
      <c r="I769" s="4"/>
      <c r="J769" s="4"/>
      <c r="K769" s="4"/>
      <c r="L769" s="5"/>
      <c r="BJ769" s="4"/>
      <c r="BK769" s="4"/>
      <c r="BL769" s="7"/>
    </row>
    <row r="770">
      <c r="A770" s="4"/>
      <c r="C770" s="4"/>
      <c r="G770" s="4"/>
      <c r="H770" s="4"/>
      <c r="I770" s="4"/>
      <c r="J770" s="4"/>
      <c r="K770" s="4"/>
      <c r="L770" s="5"/>
      <c r="BJ770" s="4"/>
      <c r="BK770" s="4"/>
      <c r="BL770" s="7"/>
    </row>
    <row r="771">
      <c r="A771" s="4"/>
      <c r="C771" s="4"/>
      <c r="G771" s="4"/>
      <c r="H771" s="4"/>
      <c r="I771" s="4"/>
      <c r="J771" s="4"/>
      <c r="K771" s="4"/>
      <c r="L771" s="5"/>
      <c r="BJ771" s="4"/>
      <c r="BK771" s="4"/>
      <c r="BL771" s="7"/>
    </row>
    <row r="772">
      <c r="A772" s="4"/>
      <c r="C772" s="4"/>
      <c r="G772" s="4"/>
      <c r="H772" s="4"/>
      <c r="I772" s="4"/>
      <c r="J772" s="4"/>
      <c r="K772" s="4"/>
      <c r="L772" s="5"/>
      <c r="BJ772" s="4"/>
      <c r="BK772" s="4"/>
      <c r="BL772" s="7"/>
    </row>
    <row r="773">
      <c r="A773" s="4"/>
      <c r="C773" s="4"/>
      <c r="G773" s="4"/>
      <c r="H773" s="4"/>
      <c r="I773" s="4"/>
      <c r="J773" s="4"/>
      <c r="K773" s="4"/>
      <c r="L773" s="5"/>
      <c r="BJ773" s="4"/>
      <c r="BK773" s="4"/>
      <c r="BL773" s="7"/>
    </row>
    <row r="774">
      <c r="A774" s="4"/>
      <c r="C774" s="4"/>
      <c r="G774" s="4"/>
      <c r="H774" s="4"/>
      <c r="I774" s="4"/>
      <c r="J774" s="4"/>
      <c r="K774" s="4"/>
      <c r="L774" s="5"/>
      <c r="BJ774" s="4"/>
      <c r="BK774" s="4"/>
      <c r="BL774" s="7"/>
    </row>
    <row r="775">
      <c r="A775" s="4"/>
      <c r="C775" s="4"/>
      <c r="G775" s="4"/>
      <c r="H775" s="4"/>
      <c r="I775" s="4"/>
      <c r="J775" s="4"/>
      <c r="K775" s="4"/>
      <c r="L775" s="5"/>
      <c r="BJ775" s="4"/>
      <c r="BK775" s="4"/>
      <c r="BL775" s="7"/>
    </row>
    <row r="776">
      <c r="A776" s="4"/>
      <c r="C776" s="4"/>
      <c r="G776" s="4"/>
      <c r="H776" s="4"/>
      <c r="I776" s="4"/>
      <c r="J776" s="4"/>
      <c r="K776" s="4"/>
      <c r="L776" s="5"/>
      <c r="BJ776" s="4"/>
      <c r="BK776" s="4"/>
      <c r="BL776" s="7"/>
    </row>
    <row r="777">
      <c r="A777" s="4"/>
      <c r="C777" s="4"/>
      <c r="G777" s="4"/>
      <c r="H777" s="4"/>
      <c r="I777" s="4"/>
      <c r="J777" s="4"/>
      <c r="K777" s="4"/>
      <c r="L777" s="5"/>
      <c r="BJ777" s="4"/>
      <c r="BK777" s="4"/>
      <c r="BL777" s="7"/>
    </row>
    <row r="778">
      <c r="A778" s="4"/>
      <c r="C778" s="4"/>
      <c r="G778" s="4"/>
      <c r="H778" s="4"/>
      <c r="I778" s="4"/>
      <c r="J778" s="4"/>
      <c r="K778" s="4"/>
      <c r="L778" s="5"/>
      <c r="BJ778" s="4"/>
      <c r="BK778" s="4"/>
      <c r="BL778" s="7"/>
    </row>
    <row r="779">
      <c r="A779" s="4"/>
      <c r="C779" s="4"/>
      <c r="G779" s="4"/>
      <c r="H779" s="4"/>
      <c r="I779" s="4"/>
      <c r="J779" s="4"/>
      <c r="K779" s="4"/>
      <c r="L779" s="5"/>
      <c r="BJ779" s="4"/>
      <c r="BK779" s="4"/>
      <c r="BL779" s="7"/>
    </row>
    <row r="780">
      <c r="A780" s="4"/>
      <c r="C780" s="4"/>
      <c r="G780" s="4"/>
      <c r="H780" s="4"/>
      <c r="I780" s="4"/>
      <c r="J780" s="4"/>
      <c r="K780" s="4"/>
      <c r="L780" s="5"/>
      <c r="BJ780" s="4"/>
      <c r="BK780" s="4"/>
      <c r="BL780" s="7"/>
    </row>
    <row r="781">
      <c r="A781" s="4"/>
      <c r="C781" s="4"/>
      <c r="G781" s="4"/>
      <c r="H781" s="4"/>
      <c r="I781" s="4"/>
      <c r="J781" s="4"/>
      <c r="K781" s="4"/>
      <c r="L781" s="5"/>
      <c r="BJ781" s="4"/>
      <c r="BK781" s="4"/>
      <c r="BL781" s="7"/>
    </row>
    <row r="782">
      <c r="A782" s="4"/>
      <c r="C782" s="4"/>
      <c r="G782" s="4"/>
      <c r="H782" s="4"/>
      <c r="I782" s="4"/>
      <c r="J782" s="4"/>
      <c r="K782" s="4"/>
      <c r="L782" s="5"/>
      <c r="BJ782" s="4"/>
      <c r="BK782" s="4"/>
      <c r="BL782" s="7"/>
    </row>
    <row r="783">
      <c r="A783" s="4"/>
      <c r="C783" s="4"/>
      <c r="G783" s="4"/>
      <c r="H783" s="4"/>
      <c r="I783" s="4"/>
      <c r="J783" s="4"/>
      <c r="K783" s="4"/>
      <c r="L783" s="5"/>
      <c r="BJ783" s="4"/>
      <c r="BK783" s="4"/>
      <c r="BL783" s="7"/>
    </row>
    <row r="784">
      <c r="A784" s="4"/>
      <c r="C784" s="4"/>
      <c r="G784" s="4"/>
      <c r="H784" s="4"/>
      <c r="I784" s="4"/>
      <c r="J784" s="4"/>
      <c r="K784" s="4"/>
      <c r="L784" s="5"/>
      <c r="BJ784" s="4"/>
      <c r="BK784" s="4"/>
      <c r="BL784" s="7"/>
    </row>
    <row r="785">
      <c r="A785" s="4"/>
      <c r="C785" s="4"/>
      <c r="G785" s="4"/>
      <c r="H785" s="4"/>
      <c r="I785" s="4"/>
      <c r="J785" s="4"/>
      <c r="K785" s="4"/>
      <c r="L785" s="5"/>
      <c r="BJ785" s="4"/>
      <c r="BK785" s="4"/>
      <c r="BL785" s="7"/>
    </row>
    <row r="786">
      <c r="A786" s="4"/>
      <c r="C786" s="4"/>
      <c r="G786" s="4"/>
      <c r="H786" s="4"/>
      <c r="I786" s="4"/>
      <c r="J786" s="4"/>
      <c r="K786" s="4"/>
      <c r="L786" s="5"/>
      <c r="BJ786" s="4"/>
      <c r="BK786" s="4"/>
      <c r="BL786" s="7"/>
    </row>
    <row r="787">
      <c r="A787" s="4"/>
      <c r="C787" s="4"/>
      <c r="G787" s="4"/>
      <c r="H787" s="4"/>
      <c r="I787" s="4"/>
      <c r="J787" s="4"/>
      <c r="K787" s="4"/>
      <c r="L787" s="5"/>
      <c r="BJ787" s="4"/>
      <c r="BK787" s="4"/>
      <c r="BL787" s="7"/>
    </row>
    <row r="788">
      <c r="A788" s="4"/>
      <c r="C788" s="4"/>
      <c r="G788" s="4"/>
      <c r="H788" s="4"/>
      <c r="I788" s="4"/>
      <c r="J788" s="4"/>
      <c r="K788" s="4"/>
      <c r="L788" s="5"/>
      <c r="BJ788" s="4"/>
      <c r="BK788" s="4"/>
      <c r="BL788" s="7"/>
    </row>
    <row r="789">
      <c r="A789" s="4"/>
      <c r="C789" s="4"/>
      <c r="G789" s="4"/>
      <c r="H789" s="4"/>
      <c r="I789" s="4"/>
      <c r="J789" s="4"/>
      <c r="K789" s="4"/>
      <c r="L789" s="5"/>
      <c r="BJ789" s="4"/>
      <c r="BK789" s="4"/>
      <c r="BL789" s="7"/>
    </row>
    <row r="790">
      <c r="A790" s="4"/>
      <c r="C790" s="4"/>
      <c r="G790" s="4"/>
      <c r="H790" s="4"/>
      <c r="I790" s="4"/>
      <c r="J790" s="4"/>
      <c r="K790" s="4"/>
      <c r="L790" s="5"/>
      <c r="BJ790" s="4"/>
      <c r="BK790" s="4"/>
      <c r="BL790" s="7"/>
    </row>
    <row r="791">
      <c r="A791" s="4"/>
      <c r="C791" s="4"/>
      <c r="G791" s="4"/>
      <c r="H791" s="4"/>
      <c r="I791" s="4"/>
      <c r="J791" s="4"/>
      <c r="K791" s="4"/>
      <c r="L791" s="5"/>
      <c r="BJ791" s="4"/>
      <c r="BK791" s="4"/>
      <c r="BL791" s="7"/>
    </row>
    <row r="792">
      <c r="A792" s="4"/>
      <c r="C792" s="4"/>
      <c r="G792" s="4"/>
      <c r="H792" s="4"/>
      <c r="I792" s="4"/>
      <c r="J792" s="4"/>
      <c r="K792" s="4"/>
      <c r="L792" s="5"/>
      <c r="BJ792" s="4"/>
      <c r="BK792" s="4"/>
      <c r="BL792" s="7"/>
    </row>
    <row r="793">
      <c r="A793" s="4"/>
      <c r="C793" s="4"/>
      <c r="G793" s="4"/>
      <c r="H793" s="4"/>
      <c r="I793" s="4"/>
      <c r="J793" s="4"/>
      <c r="K793" s="4"/>
      <c r="L793" s="5"/>
      <c r="BJ793" s="4"/>
      <c r="BK793" s="4"/>
      <c r="BL793" s="7"/>
    </row>
    <row r="794">
      <c r="A794" s="4"/>
      <c r="C794" s="4"/>
      <c r="G794" s="4"/>
      <c r="H794" s="4"/>
      <c r="I794" s="4"/>
      <c r="J794" s="4"/>
      <c r="K794" s="4"/>
      <c r="L794" s="5"/>
      <c r="BJ794" s="4"/>
      <c r="BK794" s="4"/>
      <c r="BL794" s="7"/>
    </row>
    <row r="795">
      <c r="A795" s="4"/>
      <c r="C795" s="4"/>
      <c r="G795" s="4"/>
      <c r="H795" s="4"/>
      <c r="I795" s="4"/>
      <c r="J795" s="4"/>
      <c r="K795" s="4"/>
      <c r="L795" s="5"/>
      <c r="BJ795" s="4"/>
      <c r="BK795" s="4"/>
      <c r="BL795" s="7"/>
    </row>
    <row r="796">
      <c r="A796" s="4"/>
      <c r="C796" s="4"/>
      <c r="G796" s="4"/>
      <c r="H796" s="4"/>
      <c r="I796" s="4"/>
      <c r="J796" s="4"/>
      <c r="K796" s="4"/>
      <c r="L796" s="5"/>
      <c r="BJ796" s="4"/>
      <c r="BK796" s="4"/>
      <c r="BL796" s="7"/>
    </row>
    <row r="797">
      <c r="A797" s="4"/>
      <c r="C797" s="4"/>
      <c r="G797" s="4"/>
      <c r="H797" s="4"/>
      <c r="I797" s="4"/>
      <c r="J797" s="4"/>
      <c r="K797" s="4"/>
      <c r="L797" s="5"/>
      <c r="BJ797" s="4"/>
      <c r="BK797" s="4"/>
      <c r="BL797" s="7"/>
    </row>
    <row r="798">
      <c r="A798" s="4"/>
      <c r="C798" s="4"/>
      <c r="G798" s="4"/>
      <c r="H798" s="4"/>
      <c r="I798" s="4"/>
      <c r="J798" s="4"/>
      <c r="K798" s="4"/>
      <c r="L798" s="5"/>
      <c r="BJ798" s="4"/>
      <c r="BK798" s="4"/>
      <c r="BL798" s="7"/>
    </row>
    <row r="799">
      <c r="A799" s="4"/>
      <c r="C799" s="4"/>
      <c r="G799" s="4"/>
      <c r="H799" s="4"/>
      <c r="I799" s="4"/>
      <c r="J799" s="4"/>
      <c r="K799" s="4"/>
      <c r="L799" s="5"/>
      <c r="BJ799" s="4"/>
      <c r="BK799" s="4"/>
      <c r="BL799" s="7"/>
    </row>
    <row r="800">
      <c r="A800" s="4"/>
      <c r="C800" s="4"/>
      <c r="G800" s="4"/>
      <c r="H800" s="4"/>
      <c r="I800" s="4"/>
      <c r="J800" s="4"/>
      <c r="K800" s="4"/>
      <c r="L800" s="5"/>
      <c r="BJ800" s="4"/>
      <c r="BK800" s="4"/>
      <c r="BL800" s="7"/>
    </row>
    <row r="801">
      <c r="A801" s="4"/>
      <c r="C801" s="4"/>
      <c r="G801" s="4"/>
      <c r="H801" s="4"/>
      <c r="I801" s="4"/>
      <c r="J801" s="4"/>
      <c r="K801" s="4"/>
      <c r="L801" s="5"/>
      <c r="BJ801" s="4"/>
      <c r="BK801" s="4"/>
      <c r="BL801" s="7"/>
    </row>
    <row r="802">
      <c r="A802" s="4"/>
      <c r="C802" s="4"/>
      <c r="G802" s="4"/>
      <c r="H802" s="4"/>
      <c r="I802" s="4"/>
      <c r="J802" s="4"/>
      <c r="K802" s="4"/>
      <c r="L802" s="5"/>
      <c r="BJ802" s="4"/>
      <c r="BK802" s="4"/>
      <c r="BL802" s="7"/>
    </row>
    <row r="803">
      <c r="A803" s="4"/>
      <c r="C803" s="4"/>
      <c r="G803" s="4"/>
      <c r="H803" s="4"/>
      <c r="I803" s="4"/>
      <c r="J803" s="4"/>
      <c r="K803" s="4"/>
      <c r="L803" s="5"/>
      <c r="BJ803" s="4"/>
      <c r="BK803" s="4"/>
      <c r="BL803" s="7"/>
    </row>
    <row r="804">
      <c r="A804" s="4"/>
      <c r="C804" s="4"/>
      <c r="G804" s="4"/>
      <c r="H804" s="4"/>
      <c r="I804" s="4"/>
      <c r="J804" s="4"/>
      <c r="K804" s="4"/>
      <c r="L804" s="5"/>
      <c r="BJ804" s="4"/>
      <c r="BK804" s="4"/>
      <c r="BL804" s="7"/>
    </row>
    <row r="805">
      <c r="A805" s="4"/>
      <c r="C805" s="4"/>
      <c r="G805" s="4"/>
      <c r="H805" s="4"/>
      <c r="I805" s="4"/>
      <c r="J805" s="4"/>
      <c r="K805" s="4"/>
      <c r="L805" s="5"/>
      <c r="BJ805" s="4"/>
      <c r="BK805" s="4"/>
      <c r="BL805" s="7"/>
    </row>
    <row r="806">
      <c r="A806" s="4"/>
      <c r="C806" s="4"/>
      <c r="G806" s="4"/>
      <c r="H806" s="4"/>
      <c r="I806" s="4"/>
      <c r="J806" s="4"/>
      <c r="K806" s="4"/>
      <c r="L806" s="5"/>
      <c r="BJ806" s="4"/>
      <c r="BK806" s="4"/>
      <c r="BL806" s="7"/>
    </row>
    <row r="807">
      <c r="A807" s="4"/>
      <c r="C807" s="4"/>
      <c r="G807" s="4"/>
      <c r="H807" s="4"/>
      <c r="I807" s="4"/>
      <c r="J807" s="4"/>
      <c r="K807" s="4"/>
      <c r="L807" s="5"/>
      <c r="BJ807" s="4"/>
      <c r="BK807" s="4"/>
      <c r="BL807" s="7"/>
    </row>
    <row r="808">
      <c r="A808" s="4"/>
      <c r="C808" s="4"/>
      <c r="G808" s="4"/>
      <c r="H808" s="4"/>
      <c r="I808" s="4"/>
      <c r="J808" s="4"/>
      <c r="K808" s="4"/>
      <c r="L808" s="5"/>
      <c r="BJ808" s="4"/>
      <c r="BK808" s="4"/>
      <c r="BL808" s="7"/>
    </row>
    <row r="809">
      <c r="A809" s="4"/>
      <c r="C809" s="4"/>
      <c r="G809" s="4"/>
      <c r="H809" s="4"/>
      <c r="I809" s="4"/>
      <c r="J809" s="4"/>
      <c r="K809" s="4"/>
      <c r="L809" s="5"/>
      <c r="BJ809" s="4"/>
      <c r="BK809" s="4"/>
      <c r="BL809" s="7"/>
    </row>
    <row r="810">
      <c r="A810" s="4"/>
      <c r="C810" s="4"/>
      <c r="G810" s="4"/>
      <c r="H810" s="4"/>
      <c r="I810" s="4"/>
      <c r="J810" s="4"/>
      <c r="K810" s="4"/>
      <c r="L810" s="5"/>
      <c r="BJ810" s="4"/>
      <c r="BK810" s="4"/>
      <c r="BL810" s="7"/>
    </row>
    <row r="811">
      <c r="A811" s="4"/>
      <c r="C811" s="4"/>
      <c r="G811" s="4"/>
      <c r="H811" s="4"/>
      <c r="I811" s="4"/>
      <c r="J811" s="4"/>
      <c r="K811" s="4"/>
      <c r="L811" s="5"/>
      <c r="BJ811" s="4"/>
      <c r="BK811" s="4"/>
      <c r="BL811" s="7"/>
    </row>
    <row r="812">
      <c r="A812" s="4"/>
      <c r="C812" s="4"/>
      <c r="G812" s="4"/>
      <c r="H812" s="4"/>
      <c r="I812" s="4"/>
      <c r="J812" s="4"/>
      <c r="K812" s="4"/>
      <c r="L812" s="5"/>
      <c r="BJ812" s="4"/>
      <c r="BK812" s="4"/>
      <c r="BL812" s="7"/>
    </row>
    <row r="813">
      <c r="A813" s="4"/>
      <c r="C813" s="4"/>
      <c r="G813" s="4"/>
      <c r="H813" s="4"/>
      <c r="I813" s="4"/>
      <c r="J813" s="4"/>
      <c r="K813" s="4"/>
      <c r="L813" s="5"/>
      <c r="BJ813" s="4"/>
      <c r="BK813" s="4"/>
      <c r="BL813" s="7"/>
    </row>
    <row r="814">
      <c r="A814" s="4"/>
      <c r="C814" s="4"/>
      <c r="G814" s="4"/>
      <c r="H814" s="4"/>
      <c r="I814" s="4"/>
      <c r="J814" s="4"/>
      <c r="K814" s="4"/>
      <c r="L814" s="5"/>
      <c r="BJ814" s="4"/>
      <c r="BK814" s="4"/>
      <c r="BL814" s="7"/>
    </row>
    <row r="815">
      <c r="A815" s="4"/>
      <c r="C815" s="4"/>
      <c r="G815" s="4"/>
      <c r="H815" s="4"/>
      <c r="I815" s="4"/>
      <c r="J815" s="4"/>
      <c r="K815" s="4"/>
      <c r="L815" s="5"/>
      <c r="BJ815" s="4"/>
      <c r="BK815" s="4"/>
      <c r="BL815" s="7"/>
    </row>
    <row r="816">
      <c r="A816" s="4"/>
      <c r="C816" s="4"/>
      <c r="G816" s="4"/>
      <c r="H816" s="4"/>
      <c r="I816" s="4"/>
      <c r="J816" s="4"/>
      <c r="K816" s="4"/>
      <c r="L816" s="5"/>
      <c r="BJ816" s="4"/>
      <c r="BK816" s="4"/>
      <c r="BL816" s="7"/>
    </row>
    <row r="817">
      <c r="A817" s="4"/>
      <c r="C817" s="4"/>
      <c r="G817" s="4"/>
      <c r="H817" s="4"/>
      <c r="I817" s="4"/>
      <c r="J817" s="4"/>
      <c r="K817" s="4"/>
      <c r="L817" s="5"/>
      <c r="BJ817" s="4"/>
      <c r="BK817" s="4"/>
      <c r="BL817" s="7"/>
    </row>
    <row r="818">
      <c r="A818" s="4"/>
      <c r="C818" s="4"/>
      <c r="G818" s="4"/>
      <c r="H818" s="4"/>
      <c r="I818" s="4"/>
      <c r="J818" s="4"/>
      <c r="K818" s="4"/>
      <c r="L818" s="5"/>
      <c r="BJ818" s="4"/>
      <c r="BK818" s="4"/>
      <c r="BL818" s="7"/>
    </row>
    <row r="819">
      <c r="A819" s="4"/>
      <c r="C819" s="4"/>
      <c r="G819" s="4"/>
      <c r="H819" s="4"/>
      <c r="I819" s="4"/>
      <c r="J819" s="4"/>
      <c r="K819" s="4"/>
      <c r="L819" s="5"/>
      <c r="BJ819" s="4"/>
      <c r="BK819" s="4"/>
      <c r="BL819" s="7"/>
    </row>
    <row r="820">
      <c r="A820" s="4"/>
      <c r="C820" s="4"/>
      <c r="G820" s="4"/>
      <c r="H820" s="4"/>
      <c r="I820" s="4"/>
      <c r="J820" s="4"/>
      <c r="K820" s="4"/>
      <c r="L820" s="5"/>
      <c r="BJ820" s="4"/>
      <c r="BK820" s="4"/>
      <c r="BL820" s="7"/>
    </row>
    <row r="821">
      <c r="A821" s="4"/>
      <c r="C821" s="4"/>
      <c r="G821" s="4"/>
      <c r="H821" s="4"/>
      <c r="I821" s="4"/>
      <c r="J821" s="4"/>
      <c r="K821" s="4"/>
      <c r="L821" s="5"/>
      <c r="BJ821" s="4"/>
      <c r="BK821" s="4"/>
      <c r="BL821" s="7"/>
    </row>
    <row r="822">
      <c r="A822" s="4"/>
      <c r="C822" s="4"/>
      <c r="G822" s="4"/>
      <c r="H822" s="4"/>
      <c r="I822" s="4"/>
      <c r="J822" s="4"/>
      <c r="K822" s="4"/>
      <c r="L822" s="5"/>
      <c r="BJ822" s="4"/>
      <c r="BK822" s="4"/>
      <c r="BL822" s="7"/>
    </row>
    <row r="823">
      <c r="A823" s="4"/>
      <c r="C823" s="4"/>
      <c r="G823" s="4"/>
      <c r="H823" s="4"/>
      <c r="I823" s="4"/>
      <c r="J823" s="4"/>
      <c r="K823" s="4"/>
      <c r="L823" s="5"/>
      <c r="BJ823" s="4"/>
      <c r="BK823" s="4"/>
      <c r="BL823" s="7"/>
    </row>
    <row r="824">
      <c r="A824" s="4"/>
      <c r="C824" s="4"/>
      <c r="G824" s="4"/>
      <c r="H824" s="4"/>
      <c r="I824" s="4"/>
      <c r="J824" s="4"/>
      <c r="K824" s="4"/>
      <c r="L824" s="5"/>
      <c r="BJ824" s="4"/>
      <c r="BK824" s="4"/>
      <c r="BL824" s="7"/>
    </row>
    <row r="825">
      <c r="A825" s="4"/>
      <c r="C825" s="4"/>
      <c r="G825" s="4"/>
      <c r="H825" s="4"/>
      <c r="I825" s="4"/>
      <c r="J825" s="4"/>
      <c r="K825" s="4"/>
      <c r="L825" s="5"/>
      <c r="BJ825" s="4"/>
      <c r="BK825" s="4"/>
      <c r="BL825" s="7"/>
    </row>
    <row r="826">
      <c r="A826" s="4"/>
      <c r="C826" s="4"/>
      <c r="G826" s="4"/>
      <c r="H826" s="4"/>
      <c r="I826" s="4"/>
      <c r="J826" s="4"/>
      <c r="K826" s="4"/>
      <c r="L826" s="5"/>
      <c r="BJ826" s="4"/>
      <c r="BK826" s="4"/>
      <c r="BL826" s="7"/>
    </row>
    <row r="827">
      <c r="A827" s="4"/>
      <c r="C827" s="4"/>
      <c r="G827" s="4"/>
      <c r="H827" s="4"/>
      <c r="I827" s="4"/>
      <c r="J827" s="4"/>
      <c r="K827" s="4"/>
      <c r="L827" s="5"/>
      <c r="BJ827" s="4"/>
      <c r="BK827" s="4"/>
      <c r="BL827" s="7"/>
    </row>
    <row r="828">
      <c r="A828" s="4"/>
      <c r="C828" s="4"/>
      <c r="G828" s="4"/>
      <c r="H828" s="4"/>
      <c r="I828" s="4"/>
      <c r="J828" s="4"/>
      <c r="K828" s="4"/>
      <c r="L828" s="5"/>
      <c r="BJ828" s="4"/>
      <c r="BK828" s="4"/>
      <c r="BL828" s="7"/>
    </row>
    <row r="829">
      <c r="A829" s="4"/>
      <c r="C829" s="4"/>
      <c r="G829" s="4"/>
      <c r="H829" s="4"/>
      <c r="I829" s="4"/>
      <c r="J829" s="4"/>
      <c r="K829" s="4"/>
      <c r="L829" s="5"/>
      <c r="BJ829" s="4"/>
      <c r="BK829" s="4"/>
      <c r="BL829" s="7"/>
    </row>
    <row r="830">
      <c r="A830" s="4"/>
      <c r="C830" s="4"/>
      <c r="G830" s="4"/>
      <c r="H830" s="4"/>
      <c r="I830" s="4"/>
      <c r="J830" s="4"/>
      <c r="K830" s="4"/>
      <c r="L830" s="5"/>
      <c r="BJ830" s="4"/>
      <c r="BK830" s="4"/>
      <c r="BL830" s="7"/>
    </row>
    <row r="831">
      <c r="A831" s="4"/>
      <c r="C831" s="4"/>
      <c r="G831" s="4"/>
      <c r="H831" s="4"/>
      <c r="I831" s="4"/>
      <c r="J831" s="4"/>
      <c r="K831" s="4"/>
      <c r="L831" s="5"/>
      <c r="BJ831" s="4"/>
      <c r="BK831" s="4"/>
      <c r="BL831" s="7"/>
    </row>
    <row r="832">
      <c r="A832" s="4"/>
      <c r="C832" s="4"/>
      <c r="G832" s="4"/>
      <c r="H832" s="4"/>
      <c r="I832" s="4"/>
      <c r="J832" s="4"/>
      <c r="K832" s="4"/>
      <c r="L832" s="5"/>
      <c r="BJ832" s="4"/>
      <c r="BK832" s="4"/>
      <c r="BL832" s="7"/>
    </row>
    <row r="833">
      <c r="A833" s="4"/>
      <c r="C833" s="4"/>
      <c r="G833" s="4"/>
      <c r="H833" s="4"/>
      <c r="I833" s="4"/>
      <c r="J833" s="4"/>
      <c r="K833" s="4"/>
      <c r="L833" s="5"/>
      <c r="BJ833" s="4"/>
      <c r="BK833" s="4"/>
      <c r="BL833" s="7"/>
    </row>
    <row r="834">
      <c r="A834" s="4"/>
      <c r="C834" s="4"/>
      <c r="G834" s="4"/>
      <c r="H834" s="4"/>
      <c r="I834" s="4"/>
      <c r="J834" s="4"/>
      <c r="K834" s="4"/>
      <c r="L834" s="5"/>
      <c r="BJ834" s="4"/>
      <c r="BK834" s="4"/>
      <c r="BL834" s="7"/>
    </row>
    <row r="835">
      <c r="A835" s="4"/>
      <c r="C835" s="4"/>
      <c r="G835" s="4"/>
      <c r="H835" s="4"/>
      <c r="I835" s="4"/>
      <c r="J835" s="4"/>
      <c r="K835" s="4"/>
      <c r="L835" s="5"/>
      <c r="BJ835" s="4"/>
      <c r="BK835" s="4"/>
      <c r="BL835" s="7"/>
    </row>
    <row r="836">
      <c r="A836" s="4"/>
      <c r="C836" s="4"/>
      <c r="G836" s="4"/>
      <c r="H836" s="4"/>
      <c r="I836" s="4"/>
      <c r="J836" s="4"/>
      <c r="K836" s="4"/>
      <c r="L836" s="5"/>
      <c r="BJ836" s="4"/>
      <c r="BK836" s="4"/>
      <c r="BL836" s="7"/>
    </row>
    <row r="837">
      <c r="A837" s="4"/>
      <c r="C837" s="4"/>
      <c r="G837" s="4"/>
      <c r="H837" s="4"/>
      <c r="I837" s="4"/>
      <c r="J837" s="4"/>
      <c r="K837" s="4"/>
      <c r="L837" s="5"/>
      <c r="BJ837" s="4"/>
      <c r="BK837" s="4"/>
      <c r="BL837" s="7"/>
    </row>
    <row r="838">
      <c r="A838" s="4"/>
      <c r="C838" s="4"/>
      <c r="G838" s="4"/>
      <c r="H838" s="4"/>
      <c r="I838" s="4"/>
      <c r="J838" s="4"/>
      <c r="K838" s="4"/>
      <c r="L838" s="5"/>
      <c r="BJ838" s="4"/>
      <c r="BK838" s="4"/>
      <c r="BL838" s="7"/>
    </row>
    <row r="839">
      <c r="A839" s="4"/>
      <c r="C839" s="4"/>
      <c r="G839" s="4"/>
      <c r="H839" s="4"/>
      <c r="I839" s="4"/>
      <c r="J839" s="4"/>
      <c r="K839" s="4"/>
      <c r="L839" s="5"/>
      <c r="BJ839" s="4"/>
      <c r="BK839" s="4"/>
      <c r="BL839" s="7"/>
    </row>
    <row r="840">
      <c r="A840" s="4"/>
      <c r="C840" s="4"/>
      <c r="G840" s="4"/>
      <c r="H840" s="4"/>
      <c r="I840" s="4"/>
      <c r="J840" s="4"/>
      <c r="K840" s="4"/>
      <c r="L840" s="5"/>
      <c r="BJ840" s="4"/>
      <c r="BK840" s="4"/>
      <c r="BL840" s="7"/>
    </row>
    <row r="841">
      <c r="A841" s="4"/>
      <c r="C841" s="4"/>
      <c r="G841" s="4"/>
      <c r="H841" s="4"/>
      <c r="I841" s="4"/>
      <c r="J841" s="4"/>
      <c r="K841" s="4"/>
      <c r="L841" s="5"/>
      <c r="BJ841" s="4"/>
      <c r="BK841" s="4"/>
      <c r="BL841" s="7"/>
    </row>
    <row r="842">
      <c r="A842" s="4"/>
      <c r="C842" s="4"/>
      <c r="G842" s="4"/>
      <c r="H842" s="4"/>
      <c r="I842" s="4"/>
      <c r="J842" s="4"/>
      <c r="K842" s="4"/>
      <c r="L842" s="5"/>
      <c r="BJ842" s="4"/>
      <c r="BK842" s="4"/>
      <c r="BL842" s="7"/>
    </row>
    <row r="843">
      <c r="A843" s="4"/>
      <c r="C843" s="4"/>
      <c r="G843" s="4"/>
      <c r="H843" s="4"/>
      <c r="I843" s="4"/>
      <c r="J843" s="4"/>
      <c r="K843" s="4"/>
      <c r="L843" s="5"/>
      <c r="BJ843" s="4"/>
      <c r="BK843" s="4"/>
      <c r="BL843" s="7"/>
    </row>
    <row r="844">
      <c r="A844" s="4"/>
      <c r="C844" s="4"/>
      <c r="G844" s="4"/>
      <c r="H844" s="4"/>
      <c r="I844" s="4"/>
      <c r="J844" s="4"/>
      <c r="K844" s="4"/>
      <c r="L844" s="5"/>
      <c r="BJ844" s="4"/>
      <c r="BK844" s="4"/>
      <c r="BL844" s="7"/>
    </row>
    <row r="845">
      <c r="A845" s="4"/>
      <c r="C845" s="4"/>
      <c r="G845" s="4"/>
      <c r="H845" s="4"/>
      <c r="I845" s="4"/>
      <c r="J845" s="4"/>
      <c r="K845" s="4"/>
      <c r="L845" s="5"/>
      <c r="BJ845" s="4"/>
      <c r="BK845" s="4"/>
      <c r="BL845" s="7"/>
    </row>
    <row r="846">
      <c r="A846" s="4"/>
      <c r="C846" s="4"/>
      <c r="G846" s="4"/>
      <c r="H846" s="4"/>
      <c r="I846" s="4"/>
      <c r="J846" s="4"/>
      <c r="K846" s="4"/>
      <c r="L846" s="5"/>
      <c r="BJ846" s="4"/>
      <c r="BK846" s="4"/>
      <c r="BL846" s="7"/>
    </row>
    <row r="847">
      <c r="A847" s="4"/>
      <c r="C847" s="4"/>
      <c r="G847" s="4"/>
      <c r="H847" s="4"/>
      <c r="I847" s="4"/>
      <c r="J847" s="4"/>
      <c r="K847" s="4"/>
      <c r="L847" s="5"/>
      <c r="BJ847" s="4"/>
      <c r="BK847" s="4"/>
      <c r="BL847" s="7"/>
    </row>
    <row r="848">
      <c r="A848" s="4"/>
      <c r="C848" s="4"/>
      <c r="G848" s="4"/>
      <c r="H848" s="4"/>
      <c r="I848" s="4"/>
      <c r="J848" s="4"/>
      <c r="K848" s="4"/>
      <c r="L848" s="5"/>
      <c r="BJ848" s="4"/>
      <c r="BK848" s="4"/>
      <c r="BL848" s="7"/>
    </row>
    <row r="849">
      <c r="A849" s="4"/>
      <c r="C849" s="4"/>
      <c r="G849" s="4"/>
      <c r="H849" s="4"/>
      <c r="I849" s="4"/>
      <c r="J849" s="4"/>
      <c r="K849" s="4"/>
      <c r="L849" s="5"/>
      <c r="BJ849" s="4"/>
      <c r="BK849" s="4"/>
      <c r="BL849" s="7"/>
    </row>
    <row r="850">
      <c r="A850" s="4"/>
      <c r="C850" s="4"/>
      <c r="G850" s="4"/>
      <c r="H850" s="4"/>
      <c r="I850" s="4"/>
      <c r="J850" s="4"/>
      <c r="K850" s="4"/>
      <c r="L850" s="5"/>
      <c r="BJ850" s="4"/>
      <c r="BK850" s="4"/>
      <c r="BL850" s="7"/>
    </row>
    <row r="851">
      <c r="A851" s="4"/>
      <c r="C851" s="4"/>
      <c r="G851" s="4"/>
      <c r="H851" s="4"/>
      <c r="I851" s="4"/>
      <c r="J851" s="4"/>
      <c r="K851" s="4"/>
      <c r="L851" s="5"/>
      <c r="BJ851" s="4"/>
      <c r="BK851" s="4"/>
      <c r="BL851" s="7"/>
    </row>
    <row r="852">
      <c r="A852" s="4"/>
      <c r="C852" s="4"/>
      <c r="G852" s="4"/>
      <c r="H852" s="4"/>
      <c r="I852" s="4"/>
      <c r="J852" s="4"/>
      <c r="K852" s="4"/>
      <c r="L852" s="5"/>
      <c r="BJ852" s="4"/>
      <c r="BK852" s="4"/>
      <c r="BL852" s="7"/>
    </row>
    <row r="853">
      <c r="A853" s="4"/>
      <c r="C853" s="4"/>
      <c r="G853" s="4"/>
      <c r="H853" s="4"/>
      <c r="I853" s="4"/>
      <c r="J853" s="4"/>
      <c r="K853" s="4"/>
      <c r="L853" s="5"/>
      <c r="BJ853" s="4"/>
      <c r="BK853" s="4"/>
      <c r="BL853" s="7"/>
    </row>
    <row r="854">
      <c r="A854" s="4"/>
      <c r="C854" s="4"/>
      <c r="G854" s="4"/>
      <c r="H854" s="4"/>
      <c r="I854" s="4"/>
      <c r="J854" s="4"/>
      <c r="K854" s="4"/>
      <c r="L854" s="5"/>
      <c r="BJ854" s="4"/>
      <c r="BK854" s="4"/>
      <c r="BL854" s="7"/>
    </row>
    <row r="855">
      <c r="A855" s="4"/>
      <c r="C855" s="4"/>
      <c r="G855" s="4"/>
      <c r="H855" s="4"/>
      <c r="I855" s="4"/>
      <c r="J855" s="4"/>
      <c r="K855" s="4"/>
      <c r="L855" s="5"/>
      <c r="BJ855" s="4"/>
      <c r="BK855" s="4"/>
      <c r="BL855" s="7"/>
    </row>
    <row r="856">
      <c r="A856" s="4"/>
      <c r="C856" s="4"/>
      <c r="G856" s="4"/>
      <c r="H856" s="4"/>
      <c r="I856" s="4"/>
      <c r="J856" s="4"/>
      <c r="K856" s="4"/>
      <c r="L856" s="5"/>
      <c r="BJ856" s="4"/>
      <c r="BK856" s="4"/>
      <c r="BL856" s="7"/>
    </row>
    <row r="857">
      <c r="A857" s="4"/>
      <c r="C857" s="4"/>
      <c r="G857" s="4"/>
      <c r="H857" s="4"/>
      <c r="I857" s="4"/>
      <c r="J857" s="4"/>
      <c r="K857" s="4"/>
      <c r="L857" s="5"/>
      <c r="BJ857" s="4"/>
      <c r="BK857" s="4"/>
      <c r="BL857" s="7"/>
    </row>
    <row r="858">
      <c r="A858" s="4"/>
      <c r="C858" s="4"/>
      <c r="G858" s="4"/>
      <c r="H858" s="4"/>
      <c r="I858" s="4"/>
      <c r="J858" s="4"/>
      <c r="K858" s="4"/>
      <c r="L858" s="5"/>
      <c r="BJ858" s="4"/>
      <c r="BK858" s="4"/>
      <c r="BL858" s="7"/>
    </row>
    <row r="859">
      <c r="A859" s="4"/>
      <c r="C859" s="4"/>
      <c r="G859" s="4"/>
      <c r="H859" s="4"/>
      <c r="I859" s="4"/>
      <c r="J859" s="4"/>
      <c r="K859" s="4"/>
      <c r="L859" s="5"/>
      <c r="BJ859" s="4"/>
      <c r="BK859" s="4"/>
      <c r="BL859" s="7"/>
    </row>
    <row r="860">
      <c r="A860" s="4"/>
      <c r="C860" s="4"/>
      <c r="G860" s="4"/>
      <c r="H860" s="4"/>
      <c r="I860" s="4"/>
      <c r="J860" s="4"/>
      <c r="K860" s="4"/>
      <c r="L860" s="5"/>
      <c r="BJ860" s="4"/>
      <c r="BK860" s="4"/>
      <c r="BL860" s="7"/>
    </row>
    <row r="861">
      <c r="A861" s="4"/>
      <c r="C861" s="4"/>
      <c r="G861" s="4"/>
      <c r="H861" s="4"/>
      <c r="I861" s="4"/>
      <c r="J861" s="4"/>
      <c r="K861" s="4"/>
      <c r="L861" s="5"/>
      <c r="BJ861" s="4"/>
      <c r="BK861" s="4"/>
      <c r="BL861" s="7"/>
    </row>
    <row r="862">
      <c r="A862" s="4"/>
      <c r="C862" s="4"/>
      <c r="G862" s="4"/>
      <c r="H862" s="4"/>
      <c r="I862" s="4"/>
      <c r="J862" s="4"/>
      <c r="K862" s="4"/>
      <c r="L862" s="5"/>
      <c r="BJ862" s="4"/>
      <c r="BK862" s="4"/>
      <c r="BL862" s="7"/>
    </row>
    <row r="863">
      <c r="A863" s="4"/>
      <c r="C863" s="4"/>
      <c r="G863" s="4"/>
      <c r="H863" s="4"/>
      <c r="I863" s="4"/>
      <c r="J863" s="4"/>
      <c r="K863" s="4"/>
      <c r="L863" s="5"/>
      <c r="BJ863" s="4"/>
      <c r="BK863" s="4"/>
      <c r="BL863" s="7"/>
    </row>
    <row r="864">
      <c r="A864" s="4"/>
      <c r="C864" s="4"/>
      <c r="G864" s="4"/>
      <c r="H864" s="4"/>
      <c r="I864" s="4"/>
      <c r="J864" s="4"/>
      <c r="K864" s="4"/>
      <c r="L864" s="5"/>
      <c r="BJ864" s="4"/>
      <c r="BK864" s="4"/>
      <c r="BL864" s="7"/>
    </row>
    <row r="865">
      <c r="A865" s="4"/>
      <c r="C865" s="4"/>
      <c r="G865" s="4"/>
      <c r="H865" s="4"/>
      <c r="I865" s="4"/>
      <c r="J865" s="4"/>
      <c r="K865" s="4"/>
      <c r="L865" s="5"/>
      <c r="BJ865" s="4"/>
      <c r="BK865" s="4"/>
      <c r="BL865" s="7"/>
    </row>
    <row r="866">
      <c r="A866" s="4"/>
      <c r="C866" s="4"/>
      <c r="G866" s="4"/>
      <c r="H866" s="4"/>
      <c r="I866" s="4"/>
      <c r="J866" s="4"/>
      <c r="K866" s="4"/>
      <c r="L866" s="5"/>
      <c r="BJ866" s="4"/>
      <c r="BK866" s="4"/>
      <c r="BL866" s="7"/>
    </row>
    <row r="867">
      <c r="A867" s="4"/>
      <c r="C867" s="4"/>
      <c r="G867" s="4"/>
      <c r="H867" s="4"/>
      <c r="I867" s="4"/>
      <c r="J867" s="4"/>
      <c r="K867" s="4"/>
      <c r="L867" s="5"/>
      <c r="BJ867" s="4"/>
      <c r="BK867" s="4"/>
      <c r="BL867" s="7"/>
    </row>
    <row r="868">
      <c r="A868" s="4"/>
      <c r="C868" s="4"/>
      <c r="G868" s="4"/>
      <c r="H868" s="4"/>
      <c r="I868" s="4"/>
      <c r="J868" s="4"/>
      <c r="K868" s="4"/>
      <c r="L868" s="5"/>
      <c r="BJ868" s="4"/>
      <c r="BK868" s="4"/>
      <c r="BL868" s="7"/>
    </row>
    <row r="869">
      <c r="A869" s="4"/>
      <c r="C869" s="4"/>
      <c r="G869" s="4"/>
      <c r="H869" s="4"/>
      <c r="I869" s="4"/>
      <c r="J869" s="4"/>
      <c r="K869" s="4"/>
      <c r="L869" s="5"/>
      <c r="BJ869" s="4"/>
      <c r="BK869" s="4"/>
      <c r="BL869" s="7"/>
    </row>
    <row r="870">
      <c r="A870" s="4"/>
      <c r="C870" s="4"/>
      <c r="G870" s="4"/>
      <c r="H870" s="4"/>
      <c r="I870" s="4"/>
      <c r="J870" s="4"/>
      <c r="K870" s="4"/>
      <c r="L870" s="5"/>
      <c r="BJ870" s="4"/>
      <c r="BK870" s="4"/>
      <c r="BL870" s="7"/>
    </row>
    <row r="871">
      <c r="A871" s="4"/>
      <c r="C871" s="4"/>
      <c r="G871" s="4"/>
      <c r="H871" s="4"/>
      <c r="I871" s="4"/>
      <c r="J871" s="4"/>
      <c r="K871" s="4"/>
      <c r="L871" s="5"/>
      <c r="BJ871" s="4"/>
      <c r="BK871" s="4"/>
      <c r="BL871" s="7"/>
    </row>
    <row r="872">
      <c r="A872" s="4"/>
      <c r="C872" s="4"/>
      <c r="G872" s="4"/>
      <c r="H872" s="4"/>
      <c r="I872" s="4"/>
      <c r="J872" s="4"/>
      <c r="K872" s="4"/>
      <c r="L872" s="5"/>
      <c r="BJ872" s="4"/>
      <c r="BK872" s="4"/>
      <c r="BL872" s="7"/>
    </row>
    <row r="873">
      <c r="A873" s="4"/>
      <c r="C873" s="4"/>
      <c r="G873" s="4"/>
      <c r="H873" s="4"/>
      <c r="I873" s="4"/>
      <c r="J873" s="4"/>
      <c r="K873" s="4"/>
      <c r="L873" s="5"/>
      <c r="BJ873" s="4"/>
      <c r="BK873" s="4"/>
      <c r="BL873" s="7"/>
    </row>
    <row r="874">
      <c r="A874" s="4"/>
      <c r="C874" s="4"/>
      <c r="G874" s="4"/>
      <c r="H874" s="4"/>
      <c r="I874" s="4"/>
      <c r="J874" s="4"/>
      <c r="K874" s="4"/>
      <c r="L874" s="5"/>
      <c r="BJ874" s="4"/>
      <c r="BK874" s="4"/>
      <c r="BL874" s="7"/>
    </row>
    <row r="875">
      <c r="A875" s="4"/>
      <c r="C875" s="4"/>
      <c r="G875" s="4"/>
      <c r="H875" s="4"/>
      <c r="I875" s="4"/>
      <c r="J875" s="4"/>
      <c r="K875" s="4"/>
      <c r="L875" s="5"/>
      <c r="BJ875" s="4"/>
      <c r="BK875" s="4"/>
      <c r="BL875" s="7"/>
    </row>
  </sheetData>
  <autoFilter ref="$A$2:$BL$446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6.25"/>
    <col customWidth="1" min="2" max="2" width="37.25"/>
    <col customWidth="1" min="3" max="3" width="11.38"/>
    <col customWidth="1" min="4" max="4" width="28.0"/>
    <col customWidth="1" min="5" max="5" width="28.5"/>
    <col customWidth="1" min="6" max="6" width="78.88"/>
    <col customWidth="1" min="7" max="7" width="14.88"/>
    <col customWidth="1" min="8" max="8" width="13.0"/>
    <col customWidth="1" min="9" max="9" width="6.13"/>
    <col customWidth="1" min="10" max="10" width="6.88"/>
    <col customWidth="1" min="11" max="11" width="16.88"/>
    <col customWidth="1" min="12" max="12" width="13.63"/>
    <col customWidth="1" min="13" max="13" width="11.63"/>
    <col customWidth="1" min="14" max="14" width="12.13"/>
    <col customWidth="1" min="15" max="26" width="7.0"/>
    <col customWidth="1" min="27" max="27" width="11.75"/>
    <col customWidth="1" min="28" max="28" width="10.75"/>
    <col customWidth="1" min="29" max="40" width="7.0"/>
    <col customWidth="1" min="42" max="42" width="11.38"/>
    <col customWidth="1" min="55" max="55" width="15.25"/>
    <col customWidth="1" min="58" max="58" width="15.13"/>
    <col customWidth="1" min="59" max="59" width="13.38"/>
  </cols>
  <sheetData>
    <row r="1" ht="33.75" customHeight="1">
      <c r="A1" s="35"/>
      <c r="B1" s="35" t="s">
        <v>0</v>
      </c>
      <c r="C1" s="36"/>
      <c r="D1" s="37"/>
      <c r="E1" s="37"/>
      <c r="F1" s="37"/>
      <c r="G1" s="38"/>
      <c r="H1" s="36"/>
      <c r="I1" s="36"/>
      <c r="J1" s="36"/>
      <c r="K1" s="36"/>
      <c r="L1" s="39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</row>
    <row r="2" ht="54.0" customHeight="1">
      <c r="A2" s="40" t="s">
        <v>1</v>
      </c>
      <c r="B2" s="41" t="s">
        <v>2</v>
      </c>
      <c r="C2" s="41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1" t="s">
        <v>8</v>
      </c>
      <c r="I2" s="41" t="s">
        <v>9</v>
      </c>
      <c r="J2" s="41" t="s">
        <v>10</v>
      </c>
      <c r="K2" s="41" t="s">
        <v>11</v>
      </c>
      <c r="L2" s="42" t="s">
        <v>12</v>
      </c>
      <c r="M2" s="40" t="s">
        <v>13</v>
      </c>
      <c r="N2" s="40" t="s">
        <v>14</v>
      </c>
      <c r="O2" s="40">
        <v>7.0</v>
      </c>
      <c r="P2" s="40">
        <v>8.0</v>
      </c>
      <c r="Q2" s="40">
        <v>9.0</v>
      </c>
      <c r="R2" s="40">
        <v>10.0</v>
      </c>
      <c r="S2" s="40">
        <v>11.0</v>
      </c>
      <c r="T2" s="40">
        <v>12.0</v>
      </c>
      <c r="U2" s="40">
        <v>1.0</v>
      </c>
      <c r="V2" s="40">
        <v>2.0</v>
      </c>
      <c r="W2" s="40">
        <v>3.0</v>
      </c>
      <c r="X2" s="40">
        <v>4.0</v>
      </c>
      <c r="Y2" s="40">
        <v>5.0</v>
      </c>
      <c r="Z2" s="40">
        <v>6.0</v>
      </c>
      <c r="AA2" s="40" t="s">
        <v>15</v>
      </c>
      <c r="AB2" s="40" t="s">
        <v>16</v>
      </c>
      <c r="AC2" s="40">
        <v>7.0</v>
      </c>
      <c r="AD2" s="40">
        <v>8.0</v>
      </c>
      <c r="AE2" s="40">
        <v>9.0</v>
      </c>
      <c r="AF2" s="40">
        <v>10.0</v>
      </c>
      <c r="AG2" s="40">
        <v>11.0</v>
      </c>
      <c r="AH2" s="40">
        <v>12.0</v>
      </c>
      <c r="AI2" s="40">
        <v>1.0</v>
      </c>
      <c r="AJ2" s="40">
        <v>2.0</v>
      </c>
      <c r="AK2" s="40">
        <v>3.0</v>
      </c>
      <c r="AL2" s="40">
        <v>4.0</v>
      </c>
      <c r="AM2" s="40">
        <v>5.0</v>
      </c>
      <c r="AN2" s="40">
        <v>6.0</v>
      </c>
      <c r="AO2" s="40" t="s">
        <v>17</v>
      </c>
      <c r="AP2" s="40" t="s">
        <v>18</v>
      </c>
      <c r="AQ2" s="40">
        <v>7.0</v>
      </c>
      <c r="AR2" s="40">
        <v>8.0</v>
      </c>
      <c r="AS2" s="40">
        <v>9.0</v>
      </c>
      <c r="AT2" s="40">
        <v>10.0</v>
      </c>
      <c r="AU2" s="40">
        <v>11.0</v>
      </c>
      <c r="AV2" s="40">
        <v>12.0</v>
      </c>
      <c r="AW2" s="40">
        <v>1.0</v>
      </c>
      <c r="AX2" s="40">
        <v>2.0</v>
      </c>
      <c r="AY2" s="40">
        <v>3.0</v>
      </c>
      <c r="AZ2" s="40">
        <v>4.0</v>
      </c>
      <c r="BA2" s="40">
        <v>5.0</v>
      </c>
      <c r="BB2" s="40">
        <v>6.0</v>
      </c>
      <c r="BC2" s="40" t="s">
        <v>19</v>
      </c>
      <c r="BD2" s="40" t="s">
        <v>20</v>
      </c>
      <c r="BE2" s="40" t="s">
        <v>21</v>
      </c>
      <c r="BF2" s="40" t="s">
        <v>22</v>
      </c>
      <c r="BG2" s="40" t="s">
        <v>23</v>
      </c>
      <c r="BH2" s="40" t="s">
        <v>24</v>
      </c>
      <c r="BI2" s="40" t="s">
        <v>25</v>
      </c>
      <c r="BJ2" s="40" t="s">
        <v>8</v>
      </c>
      <c r="BK2" s="40" t="s">
        <v>9</v>
      </c>
      <c r="BL2" s="43" t="s">
        <v>26</v>
      </c>
    </row>
    <row r="3">
      <c r="A3" s="12">
        <f t="shared" ref="A3:A728" si="2">IF(B3="","",ROW(A3)-2)</f>
        <v>1</v>
      </c>
      <c r="B3" s="15" t="s">
        <v>1879</v>
      </c>
      <c r="C3" s="12">
        <v>2.024070554E9</v>
      </c>
      <c r="D3" s="15" t="s">
        <v>1880</v>
      </c>
      <c r="E3" s="15" t="s">
        <v>1881</v>
      </c>
      <c r="F3" s="15" t="s">
        <v>1882</v>
      </c>
      <c r="G3" s="16" t="s">
        <v>1883</v>
      </c>
      <c r="H3" s="12" t="s">
        <v>34</v>
      </c>
      <c r="I3" s="14" t="s">
        <v>1884</v>
      </c>
      <c r="J3" s="16">
        <v>3.0</v>
      </c>
      <c r="K3" s="16" t="s">
        <v>1885</v>
      </c>
      <c r="L3" s="44" t="s">
        <v>1886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>
        <f t="shared" ref="BC3:BC354" si="3">SUM(O3:Z3)+SUM(AC3:AN3)+SUM(AQ3:BB3)</f>
        <v>0</v>
      </c>
      <c r="BD3" s="18">
        <f t="shared" ref="BD3:BD354" si="4">M3+AB3+AP3</f>
        <v>0</v>
      </c>
      <c r="BE3" s="18">
        <f t="shared" ref="BE3:BE354" si="5">AA3+AO3</f>
        <v>0</v>
      </c>
      <c r="BF3" s="18">
        <f t="shared" ref="BF3:BF354" si="6">BC3+BD3+BE3</f>
        <v>0</v>
      </c>
      <c r="BG3" s="15"/>
      <c r="BH3" s="15"/>
      <c r="BI3" s="15"/>
      <c r="BJ3" s="12" t="str">
        <f t="shared" ref="BJ3:BK3" si="1">H3</f>
        <v>A</v>
      </c>
      <c r="BK3" s="12" t="str">
        <f t="shared" si="1"/>
        <v>A-7</v>
      </c>
      <c r="BL3" s="32">
        <v>613000.0</v>
      </c>
    </row>
    <row r="4">
      <c r="A4" s="45">
        <f t="shared" si="2"/>
        <v>2</v>
      </c>
      <c r="B4" s="46" t="s">
        <v>1887</v>
      </c>
      <c r="C4" s="45">
        <v>2.024070534E9</v>
      </c>
      <c r="D4" s="46" t="s">
        <v>1888</v>
      </c>
      <c r="E4" s="46" t="s">
        <v>1889</v>
      </c>
      <c r="F4" s="46" t="s">
        <v>1890</v>
      </c>
      <c r="G4" s="47" t="s">
        <v>1883</v>
      </c>
      <c r="H4" s="45" t="s">
        <v>34</v>
      </c>
      <c r="I4" s="48" t="s">
        <v>1891</v>
      </c>
      <c r="J4" s="47">
        <v>3.0</v>
      </c>
      <c r="K4" s="47" t="s">
        <v>1885</v>
      </c>
      <c r="L4" s="49" t="s">
        <v>1892</v>
      </c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0"/>
      <c r="AP4" s="50">
        <v>500000.0</v>
      </c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>
        <f t="shared" si="3"/>
        <v>0</v>
      </c>
      <c r="BD4" s="50">
        <f t="shared" si="4"/>
        <v>500000</v>
      </c>
      <c r="BE4" s="50">
        <f t="shared" si="5"/>
        <v>0</v>
      </c>
      <c r="BF4" s="50">
        <f t="shared" si="6"/>
        <v>500000</v>
      </c>
      <c r="BG4" s="46"/>
      <c r="BH4" s="46"/>
      <c r="BI4" s="46"/>
      <c r="BJ4" s="45" t="str">
        <f t="shared" ref="BJ4:BK4" si="7">H4</f>
        <v>A</v>
      </c>
      <c r="BK4" s="45" t="str">
        <f t="shared" si="7"/>
        <v>A-8</v>
      </c>
      <c r="BL4" s="51">
        <v>613000.0</v>
      </c>
    </row>
    <row r="5">
      <c r="A5" s="12">
        <f t="shared" si="2"/>
        <v>3</v>
      </c>
      <c r="B5" s="15" t="s">
        <v>1893</v>
      </c>
      <c r="C5" s="12">
        <v>2.02407065E9</v>
      </c>
      <c r="D5" s="15" t="s">
        <v>1894</v>
      </c>
      <c r="E5" s="15" t="s">
        <v>1895</v>
      </c>
      <c r="F5" s="15" t="s">
        <v>1896</v>
      </c>
      <c r="G5" s="16" t="s">
        <v>1897</v>
      </c>
      <c r="H5" s="12" t="s">
        <v>34</v>
      </c>
      <c r="I5" s="14" t="s">
        <v>1884</v>
      </c>
      <c r="J5" s="16">
        <v>3.0</v>
      </c>
      <c r="K5" s="16" t="s">
        <v>1898</v>
      </c>
      <c r="L5" s="44" t="s">
        <v>1899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>
        <v>500000.0</v>
      </c>
      <c r="AC5" s="18"/>
      <c r="AD5" s="18">
        <v>450000.0</v>
      </c>
      <c r="AE5" s="18">
        <v>450000.0</v>
      </c>
      <c r="AF5" s="18">
        <v>450000.0</v>
      </c>
      <c r="AG5" s="18">
        <v>450000.0</v>
      </c>
      <c r="AH5" s="18">
        <v>450000.0</v>
      </c>
      <c r="AI5" s="18">
        <v>450000.0</v>
      </c>
      <c r="AJ5" s="18">
        <v>450000.0</v>
      </c>
      <c r="AK5" s="18">
        <v>450000.0</v>
      </c>
      <c r="AL5" s="18">
        <v>450000.0</v>
      </c>
      <c r="AM5" s="18">
        <v>450000.0</v>
      </c>
      <c r="AN5" s="18">
        <v>450000.0</v>
      </c>
      <c r="AO5" s="18"/>
      <c r="AP5" s="18">
        <v>500000.0</v>
      </c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>
        <f t="shared" si="3"/>
        <v>4950000</v>
      </c>
      <c r="BD5" s="18">
        <f t="shared" si="4"/>
        <v>1000000</v>
      </c>
      <c r="BE5" s="18">
        <f t="shared" si="5"/>
        <v>0</v>
      </c>
      <c r="BF5" s="18">
        <f t="shared" si="6"/>
        <v>5950000</v>
      </c>
      <c r="BG5" s="15"/>
      <c r="BH5" s="15"/>
      <c r="BI5" s="15"/>
      <c r="BJ5" s="12" t="str">
        <f t="shared" ref="BJ5:BK5" si="8">H5</f>
        <v>A</v>
      </c>
      <c r="BK5" s="12" t="str">
        <f t="shared" si="8"/>
        <v>A-7</v>
      </c>
      <c r="BL5" s="32">
        <v>613000.0</v>
      </c>
    </row>
    <row r="6">
      <c r="A6" s="45">
        <f t="shared" si="2"/>
        <v>4</v>
      </c>
      <c r="B6" s="46" t="s">
        <v>1900</v>
      </c>
      <c r="C6" s="45">
        <v>2.024070615E9</v>
      </c>
      <c r="D6" s="46" t="s">
        <v>687</v>
      </c>
      <c r="E6" s="46" t="s">
        <v>1901</v>
      </c>
      <c r="F6" s="46" t="s">
        <v>204</v>
      </c>
      <c r="G6" s="47" t="s">
        <v>1883</v>
      </c>
      <c r="H6" s="45" t="s">
        <v>34</v>
      </c>
      <c r="I6" s="48" t="s">
        <v>1884</v>
      </c>
      <c r="J6" s="47">
        <v>3.0</v>
      </c>
      <c r="K6" s="47" t="s">
        <v>1885</v>
      </c>
      <c r="L6" s="49" t="s">
        <v>1902</v>
      </c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>
        <f t="shared" si="3"/>
        <v>0</v>
      </c>
      <c r="BD6" s="50">
        <f t="shared" si="4"/>
        <v>0</v>
      </c>
      <c r="BE6" s="50">
        <f t="shared" si="5"/>
        <v>0</v>
      </c>
      <c r="BF6" s="50">
        <f t="shared" si="6"/>
        <v>0</v>
      </c>
      <c r="BG6" s="46"/>
      <c r="BH6" s="46"/>
      <c r="BI6" s="46"/>
      <c r="BJ6" s="45" t="str">
        <f t="shared" ref="BJ6:BK6" si="9">H6</f>
        <v>A</v>
      </c>
      <c r="BK6" s="45" t="str">
        <f t="shared" si="9"/>
        <v>A-7</v>
      </c>
      <c r="BL6" s="51">
        <v>613000.0</v>
      </c>
    </row>
    <row r="7">
      <c r="A7" s="12">
        <f t="shared" si="2"/>
        <v>5</v>
      </c>
      <c r="B7" s="15" t="s">
        <v>1903</v>
      </c>
      <c r="C7" s="12">
        <v>2.024070502E9</v>
      </c>
      <c r="D7" s="15" t="s">
        <v>1904</v>
      </c>
      <c r="E7" s="15" t="s">
        <v>1905</v>
      </c>
      <c r="F7" s="15" t="s">
        <v>1906</v>
      </c>
      <c r="G7" s="16" t="s">
        <v>1883</v>
      </c>
      <c r="H7" s="12" t="s">
        <v>34</v>
      </c>
      <c r="I7" s="14" t="s">
        <v>1891</v>
      </c>
      <c r="J7" s="16">
        <v>3.0</v>
      </c>
      <c r="K7" s="16" t="s">
        <v>1898</v>
      </c>
      <c r="L7" s="44" t="s">
        <v>1907</v>
      </c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>
        <f t="shared" si="3"/>
        <v>0</v>
      </c>
      <c r="BD7" s="18">
        <f t="shared" si="4"/>
        <v>0</v>
      </c>
      <c r="BE7" s="18">
        <f t="shared" si="5"/>
        <v>0</v>
      </c>
      <c r="BF7" s="18">
        <f t="shared" si="6"/>
        <v>0</v>
      </c>
      <c r="BG7" s="15"/>
      <c r="BH7" s="15"/>
      <c r="BI7" s="15"/>
      <c r="BJ7" s="12" t="str">
        <f t="shared" ref="BJ7:BK7" si="10">H7</f>
        <v>A</v>
      </c>
      <c r="BK7" s="12" t="str">
        <f t="shared" si="10"/>
        <v>A-8</v>
      </c>
      <c r="BL7" s="32">
        <v>613000.0</v>
      </c>
    </row>
    <row r="8">
      <c r="A8" s="45">
        <f t="shared" si="2"/>
        <v>6</v>
      </c>
      <c r="B8" s="46" t="s">
        <v>1908</v>
      </c>
      <c r="C8" s="45">
        <v>2.024070601E9</v>
      </c>
      <c r="D8" s="46" t="s">
        <v>1909</v>
      </c>
      <c r="E8" s="46" t="s">
        <v>1910</v>
      </c>
      <c r="F8" s="46" t="s">
        <v>1911</v>
      </c>
      <c r="G8" s="47" t="s">
        <v>1883</v>
      </c>
      <c r="H8" s="45" t="s">
        <v>34</v>
      </c>
      <c r="I8" s="48" t="s">
        <v>1884</v>
      </c>
      <c r="J8" s="47">
        <v>3.0</v>
      </c>
      <c r="K8" s="47" t="s">
        <v>1885</v>
      </c>
      <c r="L8" s="49" t="s">
        <v>1912</v>
      </c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>
        <v>450000.0</v>
      </c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>
        <f t="shared" si="3"/>
        <v>450000</v>
      </c>
      <c r="BD8" s="50">
        <f t="shared" si="4"/>
        <v>0</v>
      </c>
      <c r="BE8" s="50">
        <f t="shared" si="5"/>
        <v>0</v>
      </c>
      <c r="BF8" s="50">
        <f t="shared" si="6"/>
        <v>450000</v>
      </c>
      <c r="BG8" s="46"/>
      <c r="BH8" s="46"/>
      <c r="BI8" s="46"/>
      <c r="BJ8" s="45" t="str">
        <f t="shared" ref="BJ8:BK8" si="11">H8</f>
        <v>A</v>
      </c>
      <c r="BK8" s="45" t="str">
        <f t="shared" si="11"/>
        <v>A-7</v>
      </c>
      <c r="BL8" s="51">
        <v>613000.0</v>
      </c>
    </row>
    <row r="9">
      <c r="A9" s="12">
        <f t="shared" si="2"/>
        <v>7</v>
      </c>
      <c r="B9" s="15" t="s">
        <v>1913</v>
      </c>
      <c r="C9" s="12">
        <v>2.024070566E9</v>
      </c>
      <c r="D9" s="15" t="s">
        <v>1914</v>
      </c>
      <c r="E9" s="15" t="s">
        <v>1915</v>
      </c>
      <c r="F9" s="15" t="s">
        <v>1916</v>
      </c>
      <c r="G9" s="16" t="s">
        <v>1917</v>
      </c>
      <c r="H9" s="12" t="s">
        <v>34</v>
      </c>
      <c r="I9" s="14" t="s">
        <v>152</v>
      </c>
      <c r="J9" s="16">
        <v>3.0</v>
      </c>
      <c r="K9" s="12" t="s">
        <v>1918</v>
      </c>
      <c r="L9" s="44" t="s">
        <v>1919</v>
      </c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>
        <v>410000.0</v>
      </c>
      <c r="AO9" s="18"/>
      <c r="AP9" s="18">
        <v>500000.0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>
        <f t="shared" si="3"/>
        <v>410000</v>
      </c>
      <c r="BD9" s="18">
        <f t="shared" si="4"/>
        <v>500000</v>
      </c>
      <c r="BE9" s="18">
        <f t="shared" si="5"/>
        <v>0</v>
      </c>
      <c r="BF9" s="18">
        <f t="shared" si="6"/>
        <v>910000</v>
      </c>
      <c r="BG9" s="15"/>
      <c r="BH9" s="15"/>
      <c r="BI9" s="15"/>
      <c r="BJ9" s="12" t="str">
        <f t="shared" ref="BJ9:BK9" si="12">H9</f>
        <v>A</v>
      </c>
      <c r="BK9" s="12" t="str">
        <f t="shared" si="12"/>
        <v>A-13</v>
      </c>
      <c r="BL9" s="32">
        <v>546500.0</v>
      </c>
    </row>
    <row r="10">
      <c r="A10" s="45">
        <f t="shared" si="2"/>
        <v>8</v>
      </c>
      <c r="B10" s="46" t="s">
        <v>1920</v>
      </c>
      <c r="C10" s="45">
        <v>2.024070508E9</v>
      </c>
      <c r="D10" s="46" t="s">
        <v>1921</v>
      </c>
      <c r="E10" s="46" t="s">
        <v>1922</v>
      </c>
      <c r="F10" s="46" t="s">
        <v>1923</v>
      </c>
      <c r="G10" s="47" t="s">
        <v>1924</v>
      </c>
      <c r="H10" s="45" t="s">
        <v>34</v>
      </c>
      <c r="I10" s="48" t="s">
        <v>1884</v>
      </c>
      <c r="J10" s="47">
        <v>3.0</v>
      </c>
      <c r="K10" s="47" t="s">
        <v>1898</v>
      </c>
      <c r="L10" s="49" t="s">
        <v>1925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>
        <v>500000.0</v>
      </c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>
        <v>450000.0</v>
      </c>
      <c r="AO10" s="50"/>
      <c r="AP10" s="50">
        <v>500000.0</v>
      </c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>
        <f t="shared" si="3"/>
        <v>450000</v>
      </c>
      <c r="BD10" s="50">
        <f t="shared" si="4"/>
        <v>1000000</v>
      </c>
      <c r="BE10" s="50">
        <f t="shared" si="5"/>
        <v>0</v>
      </c>
      <c r="BF10" s="50">
        <f t="shared" si="6"/>
        <v>1450000</v>
      </c>
      <c r="BG10" s="46"/>
      <c r="BH10" s="46"/>
      <c r="BI10" s="46"/>
      <c r="BJ10" s="45" t="str">
        <f t="shared" ref="BJ10:BK10" si="13">H10</f>
        <v>A</v>
      </c>
      <c r="BK10" s="45" t="str">
        <f t="shared" si="13"/>
        <v>A-7</v>
      </c>
      <c r="BL10" s="51">
        <v>613000.0</v>
      </c>
    </row>
    <row r="11">
      <c r="A11" s="12">
        <f t="shared" si="2"/>
        <v>9</v>
      </c>
      <c r="B11" s="15" t="s">
        <v>1926</v>
      </c>
      <c r="C11" s="12">
        <v>2.024070654E9</v>
      </c>
      <c r="D11" s="15" t="s">
        <v>1927</v>
      </c>
      <c r="E11" s="15" t="s">
        <v>1745</v>
      </c>
      <c r="F11" s="15" t="s">
        <v>1928</v>
      </c>
      <c r="G11" s="16" t="s">
        <v>1929</v>
      </c>
      <c r="H11" s="12" t="s">
        <v>34</v>
      </c>
      <c r="I11" s="14" t="s">
        <v>1884</v>
      </c>
      <c r="J11" s="16">
        <v>3.0</v>
      </c>
      <c r="K11" s="16" t="s">
        <v>1898</v>
      </c>
      <c r="L11" s="44" t="s">
        <v>1930</v>
      </c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>
        <v>500000.0</v>
      </c>
      <c r="AC11" s="18"/>
      <c r="AD11" s="18">
        <v>450000.0</v>
      </c>
      <c r="AE11" s="18">
        <v>450000.0</v>
      </c>
      <c r="AF11" s="18">
        <v>450000.0</v>
      </c>
      <c r="AG11" s="18">
        <v>450000.0</v>
      </c>
      <c r="AH11" s="18">
        <v>450000.0</v>
      </c>
      <c r="AI11" s="18">
        <v>450000.0</v>
      </c>
      <c r="AJ11" s="18">
        <v>450000.0</v>
      </c>
      <c r="AK11" s="18">
        <v>450000.0</v>
      </c>
      <c r="AL11" s="18">
        <v>450000.0</v>
      </c>
      <c r="AM11" s="18">
        <v>450000.0</v>
      </c>
      <c r="AN11" s="18">
        <v>450000.0</v>
      </c>
      <c r="AO11" s="18"/>
      <c r="AP11" s="18">
        <v>500000.0</v>
      </c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>
        <f t="shared" si="3"/>
        <v>4950000</v>
      </c>
      <c r="BD11" s="18">
        <f t="shared" si="4"/>
        <v>1000000</v>
      </c>
      <c r="BE11" s="18">
        <f t="shared" si="5"/>
        <v>0</v>
      </c>
      <c r="BF11" s="18">
        <f t="shared" si="6"/>
        <v>5950000</v>
      </c>
      <c r="BG11" s="15"/>
      <c r="BH11" s="15"/>
      <c r="BI11" s="15"/>
      <c r="BJ11" s="12" t="str">
        <f t="shared" ref="BJ11:BK11" si="14">H11</f>
        <v>A</v>
      </c>
      <c r="BK11" s="12" t="str">
        <f t="shared" si="14"/>
        <v>A-7</v>
      </c>
      <c r="BL11" s="32">
        <v>613000.0</v>
      </c>
    </row>
    <row r="12">
      <c r="A12" s="45">
        <f t="shared" si="2"/>
        <v>10</v>
      </c>
      <c r="B12" s="46" t="s">
        <v>1931</v>
      </c>
      <c r="C12" s="45">
        <v>2.024070652E9</v>
      </c>
      <c r="D12" s="46" t="s">
        <v>1932</v>
      </c>
      <c r="E12" s="46" t="s">
        <v>1933</v>
      </c>
      <c r="F12" s="46" t="s">
        <v>1934</v>
      </c>
      <c r="G12" s="47" t="s">
        <v>1929</v>
      </c>
      <c r="H12" s="45" t="s">
        <v>34</v>
      </c>
      <c r="I12" s="48" t="s">
        <v>1884</v>
      </c>
      <c r="J12" s="47">
        <v>3.0</v>
      </c>
      <c r="K12" s="47" t="s">
        <v>1898</v>
      </c>
      <c r="L12" s="49" t="s">
        <v>1935</v>
      </c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>
        <v>450000.0</v>
      </c>
      <c r="AN12" s="50">
        <v>450000.0</v>
      </c>
      <c r="AO12" s="50"/>
      <c r="AP12" s="50">
        <v>500000.0</v>
      </c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>
        <f t="shared" si="3"/>
        <v>900000</v>
      </c>
      <c r="BD12" s="50">
        <f t="shared" si="4"/>
        <v>500000</v>
      </c>
      <c r="BE12" s="50">
        <f t="shared" si="5"/>
        <v>0</v>
      </c>
      <c r="BF12" s="50">
        <f t="shared" si="6"/>
        <v>1400000</v>
      </c>
      <c r="BG12" s="46"/>
      <c r="BH12" s="46"/>
      <c r="BI12" s="46"/>
      <c r="BJ12" s="45" t="str">
        <f t="shared" ref="BJ12:BK12" si="15">H12</f>
        <v>A</v>
      </c>
      <c r="BK12" s="45" t="str">
        <f t="shared" si="15"/>
        <v>A-7</v>
      </c>
      <c r="BL12" s="51">
        <v>613000.0</v>
      </c>
    </row>
    <row r="13">
      <c r="A13" s="12">
        <f t="shared" si="2"/>
        <v>11</v>
      </c>
      <c r="B13" s="15" t="s">
        <v>1936</v>
      </c>
      <c r="C13" s="12">
        <v>2.024090771E9</v>
      </c>
      <c r="D13" s="13" t="s">
        <v>1937</v>
      </c>
      <c r="E13" s="13" t="s">
        <v>1938</v>
      </c>
      <c r="F13" s="13" t="s">
        <v>1939</v>
      </c>
      <c r="G13" s="16" t="s">
        <v>1940</v>
      </c>
      <c r="H13" s="12" t="s">
        <v>34</v>
      </c>
      <c r="I13" s="14" t="s">
        <v>1891</v>
      </c>
      <c r="J13" s="16">
        <v>3.0</v>
      </c>
      <c r="K13" s="16" t="s">
        <v>1898</v>
      </c>
      <c r="L13" s="44" t="s">
        <v>1941</v>
      </c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>
        <v>450000.0</v>
      </c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>
        <f t="shared" si="3"/>
        <v>450000</v>
      </c>
      <c r="BD13" s="18">
        <f t="shared" si="4"/>
        <v>0</v>
      </c>
      <c r="BE13" s="18">
        <f t="shared" si="5"/>
        <v>0</v>
      </c>
      <c r="BF13" s="18">
        <f t="shared" si="6"/>
        <v>450000</v>
      </c>
      <c r="BG13" s="15"/>
      <c r="BH13" s="15"/>
      <c r="BI13" s="15"/>
      <c r="BJ13" s="12" t="str">
        <f t="shared" ref="BJ13:BK13" si="16">H13</f>
        <v>A</v>
      </c>
      <c r="BK13" s="12" t="str">
        <f t="shared" si="16"/>
        <v>A-8</v>
      </c>
      <c r="BL13" s="32">
        <v>613000.0</v>
      </c>
    </row>
    <row r="14">
      <c r="A14" s="45">
        <f t="shared" si="2"/>
        <v>12</v>
      </c>
      <c r="B14" s="46" t="s">
        <v>1942</v>
      </c>
      <c r="C14" s="45">
        <v>2.02407059E9</v>
      </c>
      <c r="D14" s="46" t="s">
        <v>1943</v>
      </c>
      <c r="E14" s="46" t="s">
        <v>1944</v>
      </c>
      <c r="F14" s="46" t="s">
        <v>1945</v>
      </c>
      <c r="G14" s="47" t="s">
        <v>1946</v>
      </c>
      <c r="H14" s="45" t="s">
        <v>34</v>
      </c>
      <c r="I14" s="48" t="s">
        <v>1891</v>
      </c>
      <c r="J14" s="47">
        <v>3.0</v>
      </c>
      <c r="K14" s="47" t="s">
        <v>1885</v>
      </c>
      <c r="L14" s="49" t="s">
        <v>1947</v>
      </c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>
        <v>500000.0</v>
      </c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>
        <f t="shared" si="3"/>
        <v>0</v>
      </c>
      <c r="BD14" s="50">
        <f t="shared" si="4"/>
        <v>500000</v>
      </c>
      <c r="BE14" s="50">
        <f t="shared" si="5"/>
        <v>0</v>
      </c>
      <c r="BF14" s="50">
        <f t="shared" si="6"/>
        <v>500000</v>
      </c>
      <c r="BG14" s="46"/>
      <c r="BH14" s="46"/>
      <c r="BI14" s="46"/>
      <c r="BJ14" s="45" t="str">
        <f t="shared" ref="BJ14:BK14" si="17">H14</f>
        <v>A</v>
      </c>
      <c r="BK14" s="45" t="str">
        <f t="shared" si="17"/>
        <v>A-8</v>
      </c>
      <c r="BL14" s="51">
        <v>613000.0</v>
      </c>
    </row>
    <row r="15">
      <c r="A15" s="12">
        <f t="shared" si="2"/>
        <v>13</v>
      </c>
      <c r="B15" s="15" t="s">
        <v>1948</v>
      </c>
      <c r="C15" s="12">
        <v>2.024070452E9</v>
      </c>
      <c r="D15" s="15" t="s">
        <v>1949</v>
      </c>
      <c r="E15" s="15" t="s">
        <v>1950</v>
      </c>
      <c r="F15" s="15" t="s">
        <v>1951</v>
      </c>
      <c r="G15" s="16" t="s">
        <v>1946</v>
      </c>
      <c r="H15" s="12" t="s">
        <v>34</v>
      </c>
      <c r="I15" s="14" t="s">
        <v>1891</v>
      </c>
      <c r="J15" s="16">
        <v>3.0</v>
      </c>
      <c r="K15" s="16" t="s">
        <v>1898</v>
      </c>
      <c r="L15" s="44" t="s">
        <v>1952</v>
      </c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>
        <v>500000.0</v>
      </c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>
        <f t="shared" si="3"/>
        <v>0</v>
      </c>
      <c r="BD15" s="18">
        <f t="shared" si="4"/>
        <v>500000</v>
      </c>
      <c r="BE15" s="18">
        <f t="shared" si="5"/>
        <v>0</v>
      </c>
      <c r="BF15" s="18">
        <f t="shared" si="6"/>
        <v>500000</v>
      </c>
      <c r="BG15" s="15"/>
      <c r="BH15" s="15"/>
      <c r="BI15" s="15"/>
      <c r="BJ15" s="12" t="str">
        <f t="shared" ref="BJ15:BK15" si="18">H15</f>
        <v>A</v>
      </c>
      <c r="BK15" s="12" t="str">
        <f t="shared" si="18"/>
        <v>A-8</v>
      </c>
      <c r="BL15" s="32">
        <v>613000.0</v>
      </c>
    </row>
    <row r="16">
      <c r="A16" s="45">
        <f t="shared" si="2"/>
        <v>14</v>
      </c>
      <c r="B16" s="46" t="s">
        <v>1953</v>
      </c>
      <c r="C16" s="45">
        <v>2.024070602E9</v>
      </c>
      <c r="D16" s="46" t="s">
        <v>1954</v>
      </c>
      <c r="E16" s="46" t="s">
        <v>1955</v>
      </c>
      <c r="F16" s="46" t="s">
        <v>1911</v>
      </c>
      <c r="G16" s="47" t="s">
        <v>1929</v>
      </c>
      <c r="H16" s="45" t="s">
        <v>34</v>
      </c>
      <c r="I16" s="48" t="s">
        <v>1884</v>
      </c>
      <c r="J16" s="47">
        <v>3.0</v>
      </c>
      <c r="K16" s="47" t="s">
        <v>1885</v>
      </c>
      <c r="L16" s="49" t="s">
        <v>1956</v>
      </c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>
        <v>250000.0</v>
      </c>
      <c r="AB16" s="50">
        <v>500000.0</v>
      </c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>
        <v>500000.0</v>
      </c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>
        <f t="shared" si="3"/>
        <v>0</v>
      </c>
      <c r="BD16" s="50">
        <f t="shared" si="4"/>
        <v>1000000</v>
      </c>
      <c r="BE16" s="50">
        <f t="shared" si="5"/>
        <v>250000</v>
      </c>
      <c r="BF16" s="50">
        <f t="shared" si="6"/>
        <v>1250000</v>
      </c>
      <c r="BG16" s="46"/>
      <c r="BH16" s="46"/>
      <c r="BI16" s="46"/>
      <c r="BJ16" s="45" t="str">
        <f t="shared" ref="BJ16:BK16" si="19">H16</f>
        <v>A</v>
      </c>
      <c r="BK16" s="45" t="str">
        <f t="shared" si="19"/>
        <v>A-7</v>
      </c>
      <c r="BL16" s="51">
        <v>613000.0</v>
      </c>
    </row>
    <row r="17">
      <c r="A17" s="12">
        <f t="shared" si="2"/>
        <v>15</v>
      </c>
      <c r="B17" s="15" t="s">
        <v>1957</v>
      </c>
      <c r="C17" s="12">
        <v>2.024070646E9</v>
      </c>
      <c r="D17" s="15" t="s">
        <v>1958</v>
      </c>
      <c r="E17" s="15" t="s">
        <v>1959</v>
      </c>
      <c r="F17" s="15" t="s">
        <v>1960</v>
      </c>
      <c r="G17" s="16" t="s">
        <v>1929</v>
      </c>
      <c r="H17" s="12" t="s">
        <v>34</v>
      </c>
      <c r="I17" s="14" t="s">
        <v>1884</v>
      </c>
      <c r="J17" s="16">
        <v>3.0</v>
      </c>
      <c r="K17" s="16" t="s">
        <v>1898</v>
      </c>
      <c r="L17" s="44" t="s">
        <v>1961</v>
      </c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>
        <v>450000.0</v>
      </c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>
        <f t="shared" si="3"/>
        <v>450000</v>
      </c>
      <c r="BD17" s="18">
        <f t="shared" si="4"/>
        <v>0</v>
      </c>
      <c r="BE17" s="18">
        <f t="shared" si="5"/>
        <v>0</v>
      </c>
      <c r="BF17" s="18">
        <f t="shared" si="6"/>
        <v>450000</v>
      </c>
      <c r="BG17" s="15"/>
      <c r="BH17" s="15"/>
      <c r="BI17" s="15"/>
      <c r="BJ17" s="12" t="str">
        <f t="shared" ref="BJ17:BK17" si="20">H17</f>
        <v>A</v>
      </c>
      <c r="BK17" s="12" t="str">
        <f t="shared" si="20"/>
        <v>A-7</v>
      </c>
      <c r="BL17" s="32">
        <v>613000.0</v>
      </c>
    </row>
    <row r="18">
      <c r="A18" s="45">
        <f t="shared" si="2"/>
        <v>16</v>
      </c>
      <c r="B18" s="46" t="s">
        <v>1962</v>
      </c>
      <c r="C18" s="45">
        <v>2.024070655E9</v>
      </c>
      <c r="D18" s="46" t="s">
        <v>1963</v>
      </c>
      <c r="E18" s="46" t="s">
        <v>1964</v>
      </c>
      <c r="F18" s="46" t="s">
        <v>1965</v>
      </c>
      <c r="G18" s="47" t="s">
        <v>1929</v>
      </c>
      <c r="H18" s="45" t="s">
        <v>34</v>
      </c>
      <c r="I18" s="48" t="s">
        <v>1884</v>
      </c>
      <c r="J18" s="47">
        <v>3.0</v>
      </c>
      <c r="K18" s="47" t="s">
        <v>1898</v>
      </c>
      <c r="L18" s="49" t="s">
        <v>1966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>
        <f t="shared" si="3"/>
        <v>0</v>
      </c>
      <c r="BD18" s="50">
        <f t="shared" si="4"/>
        <v>0</v>
      </c>
      <c r="BE18" s="50">
        <f t="shared" si="5"/>
        <v>0</v>
      </c>
      <c r="BF18" s="50">
        <f t="shared" si="6"/>
        <v>0</v>
      </c>
      <c r="BG18" s="46"/>
      <c r="BH18" s="46"/>
      <c r="BI18" s="46"/>
      <c r="BJ18" s="45" t="str">
        <f t="shared" ref="BJ18:BK18" si="21">H18</f>
        <v>A</v>
      </c>
      <c r="BK18" s="45" t="str">
        <f t="shared" si="21"/>
        <v>A-7</v>
      </c>
      <c r="BL18" s="51">
        <v>613000.0</v>
      </c>
    </row>
    <row r="19">
      <c r="A19" s="12">
        <f t="shared" si="2"/>
        <v>17</v>
      </c>
      <c r="B19" s="15" t="s">
        <v>1967</v>
      </c>
      <c r="C19" s="12">
        <v>2.024070444E9</v>
      </c>
      <c r="D19" s="15" t="s">
        <v>1968</v>
      </c>
      <c r="E19" s="15" t="s">
        <v>1969</v>
      </c>
      <c r="F19" s="15" t="s">
        <v>1970</v>
      </c>
      <c r="G19" s="16" t="s">
        <v>1883</v>
      </c>
      <c r="H19" s="12" t="s">
        <v>34</v>
      </c>
      <c r="I19" s="14" t="s">
        <v>1891</v>
      </c>
      <c r="J19" s="16">
        <v>3.0</v>
      </c>
      <c r="K19" s="16" t="s">
        <v>1898</v>
      </c>
      <c r="L19" s="44" t="s">
        <v>1971</v>
      </c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>
        <f t="shared" si="3"/>
        <v>0</v>
      </c>
      <c r="BD19" s="18">
        <f t="shared" si="4"/>
        <v>0</v>
      </c>
      <c r="BE19" s="18">
        <f t="shared" si="5"/>
        <v>0</v>
      </c>
      <c r="BF19" s="18">
        <f t="shared" si="6"/>
        <v>0</v>
      </c>
      <c r="BG19" s="15"/>
      <c r="BH19" s="15"/>
      <c r="BI19" s="15"/>
      <c r="BJ19" s="12" t="str">
        <f t="shared" ref="BJ19:BK19" si="22">H19</f>
        <v>A</v>
      </c>
      <c r="BK19" s="12" t="str">
        <f t="shared" si="22"/>
        <v>A-8</v>
      </c>
      <c r="BL19" s="32">
        <v>613000.0</v>
      </c>
    </row>
    <row r="20">
      <c r="A20" s="45">
        <f t="shared" si="2"/>
        <v>18</v>
      </c>
      <c r="B20" s="46" t="s">
        <v>1972</v>
      </c>
      <c r="C20" s="45">
        <v>2.024070624E9</v>
      </c>
      <c r="D20" s="46" t="s">
        <v>1973</v>
      </c>
      <c r="E20" s="46" t="s">
        <v>1974</v>
      </c>
      <c r="F20" s="46" t="s">
        <v>1975</v>
      </c>
      <c r="G20" s="47" t="s">
        <v>1946</v>
      </c>
      <c r="H20" s="45" t="s">
        <v>34</v>
      </c>
      <c r="I20" s="48" t="s">
        <v>1891</v>
      </c>
      <c r="J20" s="47">
        <v>3.0</v>
      </c>
      <c r="K20" s="47" t="s">
        <v>1885</v>
      </c>
      <c r="L20" s="49" t="s">
        <v>1976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>
        <v>450000.0</v>
      </c>
      <c r="AL20" s="50">
        <v>450000.0</v>
      </c>
      <c r="AM20" s="50">
        <v>450000.0</v>
      </c>
      <c r="AN20" s="50">
        <v>450000.0</v>
      </c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>
        <f t="shared" si="3"/>
        <v>1800000</v>
      </c>
      <c r="BD20" s="50">
        <f t="shared" si="4"/>
        <v>0</v>
      </c>
      <c r="BE20" s="50">
        <f t="shared" si="5"/>
        <v>0</v>
      </c>
      <c r="BF20" s="50">
        <f t="shared" si="6"/>
        <v>1800000</v>
      </c>
      <c r="BG20" s="46"/>
      <c r="BH20" s="46"/>
      <c r="BI20" s="46"/>
      <c r="BJ20" s="45" t="str">
        <f t="shared" ref="BJ20:BK20" si="23">H20</f>
        <v>A</v>
      </c>
      <c r="BK20" s="45" t="str">
        <f t="shared" si="23"/>
        <v>A-8</v>
      </c>
      <c r="BL20" s="51">
        <v>613000.0</v>
      </c>
    </row>
    <row r="21">
      <c r="A21" s="12">
        <f t="shared" si="2"/>
        <v>19</v>
      </c>
      <c r="B21" s="15" t="s">
        <v>1977</v>
      </c>
      <c r="C21" s="12">
        <v>2.024070639E9</v>
      </c>
      <c r="D21" s="15" t="s">
        <v>1978</v>
      </c>
      <c r="E21" s="15" t="s">
        <v>1979</v>
      </c>
      <c r="F21" s="15" t="s">
        <v>1980</v>
      </c>
      <c r="G21" s="16" t="s">
        <v>1897</v>
      </c>
      <c r="H21" s="12" t="s">
        <v>34</v>
      </c>
      <c r="I21" s="14" t="s">
        <v>1891</v>
      </c>
      <c r="J21" s="16">
        <v>3.0</v>
      </c>
      <c r="K21" s="16" t="s">
        <v>1898</v>
      </c>
      <c r="L21" s="44" t="s">
        <v>1981</v>
      </c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>
        <f t="shared" si="3"/>
        <v>0</v>
      </c>
      <c r="BD21" s="18">
        <f t="shared" si="4"/>
        <v>0</v>
      </c>
      <c r="BE21" s="18">
        <f t="shared" si="5"/>
        <v>0</v>
      </c>
      <c r="BF21" s="18">
        <f t="shared" si="6"/>
        <v>0</v>
      </c>
      <c r="BG21" s="15"/>
      <c r="BH21" s="15"/>
      <c r="BI21" s="15"/>
      <c r="BJ21" s="12" t="str">
        <f t="shared" ref="BJ21:BK21" si="24">H21</f>
        <v>A</v>
      </c>
      <c r="BK21" s="12" t="str">
        <f t="shared" si="24"/>
        <v>A-8</v>
      </c>
      <c r="BL21" s="32">
        <v>613000.0</v>
      </c>
    </row>
    <row r="22">
      <c r="A22" s="45">
        <f t="shared" si="2"/>
        <v>20</v>
      </c>
      <c r="B22" s="46" t="s">
        <v>1982</v>
      </c>
      <c r="C22" s="45">
        <v>2.024070458E9</v>
      </c>
      <c r="D22" s="46" t="s">
        <v>1983</v>
      </c>
      <c r="E22" s="46" t="s">
        <v>1984</v>
      </c>
      <c r="F22" s="46" t="s">
        <v>1985</v>
      </c>
      <c r="G22" s="47" t="s">
        <v>1883</v>
      </c>
      <c r="H22" s="45" t="s">
        <v>34</v>
      </c>
      <c r="I22" s="48" t="s">
        <v>1884</v>
      </c>
      <c r="J22" s="47">
        <v>3.0</v>
      </c>
      <c r="K22" s="47" t="s">
        <v>1898</v>
      </c>
      <c r="L22" s="49" t="s">
        <v>1986</v>
      </c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>
        <v>500000.0</v>
      </c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>
        <f t="shared" si="3"/>
        <v>0</v>
      </c>
      <c r="BD22" s="50">
        <f t="shared" si="4"/>
        <v>500000</v>
      </c>
      <c r="BE22" s="50">
        <f t="shared" si="5"/>
        <v>0</v>
      </c>
      <c r="BF22" s="50">
        <f t="shared" si="6"/>
        <v>500000</v>
      </c>
      <c r="BG22" s="46"/>
      <c r="BH22" s="46"/>
      <c r="BI22" s="46"/>
      <c r="BJ22" s="45" t="str">
        <f t="shared" ref="BJ22:BK22" si="25">H22</f>
        <v>A</v>
      </c>
      <c r="BK22" s="45" t="str">
        <f t="shared" si="25"/>
        <v>A-7</v>
      </c>
      <c r="BL22" s="51">
        <v>613000.0</v>
      </c>
    </row>
    <row r="23">
      <c r="A23" s="12">
        <f t="shared" si="2"/>
        <v>21</v>
      </c>
      <c r="B23" s="15" t="s">
        <v>1987</v>
      </c>
      <c r="C23" s="12">
        <v>2.024070556E9</v>
      </c>
      <c r="D23" s="15" t="s">
        <v>1988</v>
      </c>
      <c r="E23" s="15" t="s">
        <v>1989</v>
      </c>
      <c r="F23" s="15" t="s">
        <v>1990</v>
      </c>
      <c r="G23" s="16" t="s">
        <v>1883</v>
      </c>
      <c r="H23" s="12" t="s">
        <v>34</v>
      </c>
      <c r="I23" s="14" t="s">
        <v>1884</v>
      </c>
      <c r="J23" s="16">
        <v>3.0</v>
      </c>
      <c r="K23" s="16" t="s">
        <v>1885</v>
      </c>
      <c r="L23" s="44" t="s">
        <v>1991</v>
      </c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>
        <v>500000.0</v>
      </c>
      <c r="AC23" s="18"/>
      <c r="AD23" s="18"/>
      <c r="AE23" s="18"/>
      <c r="AF23" s="18"/>
      <c r="AG23" s="18"/>
      <c r="AH23" s="18"/>
      <c r="AI23" s="18"/>
      <c r="AJ23" s="18"/>
      <c r="AK23" s="18">
        <v>450000.0</v>
      </c>
      <c r="AL23" s="18">
        <v>450000.0</v>
      </c>
      <c r="AM23" s="18">
        <v>450000.0</v>
      </c>
      <c r="AN23" s="18">
        <v>450000.0</v>
      </c>
      <c r="AO23" s="18"/>
      <c r="AP23" s="18">
        <v>500000.0</v>
      </c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>
        <f t="shared" si="3"/>
        <v>1800000</v>
      </c>
      <c r="BD23" s="18">
        <f t="shared" si="4"/>
        <v>1000000</v>
      </c>
      <c r="BE23" s="18">
        <f t="shared" si="5"/>
        <v>0</v>
      </c>
      <c r="BF23" s="18">
        <f t="shared" si="6"/>
        <v>2800000</v>
      </c>
      <c r="BG23" s="15"/>
      <c r="BH23" s="15"/>
      <c r="BI23" s="15"/>
      <c r="BJ23" s="12" t="str">
        <f t="shared" ref="BJ23:BK23" si="26">H23</f>
        <v>A</v>
      </c>
      <c r="BK23" s="12" t="str">
        <f t="shared" si="26"/>
        <v>A-7</v>
      </c>
      <c r="BL23" s="32">
        <v>613000.0</v>
      </c>
    </row>
    <row r="24">
      <c r="A24" s="45">
        <f t="shared" si="2"/>
        <v>22</v>
      </c>
      <c r="B24" s="46" t="s">
        <v>1992</v>
      </c>
      <c r="C24" s="45">
        <v>2.02407066E9</v>
      </c>
      <c r="D24" s="46" t="s">
        <v>1993</v>
      </c>
      <c r="E24" s="46" t="s">
        <v>1994</v>
      </c>
      <c r="F24" s="46" t="s">
        <v>1990</v>
      </c>
      <c r="G24" s="47" t="s">
        <v>1917</v>
      </c>
      <c r="H24" s="45" t="s">
        <v>34</v>
      </c>
      <c r="I24" s="48" t="s">
        <v>1884</v>
      </c>
      <c r="J24" s="47">
        <v>3.0</v>
      </c>
      <c r="K24" s="47" t="s">
        <v>1898</v>
      </c>
      <c r="L24" s="49" t="s">
        <v>1995</v>
      </c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>
        <v>410000.0</v>
      </c>
      <c r="AM24" s="50">
        <v>410000.0</v>
      </c>
      <c r="AN24" s="50">
        <v>410000.0</v>
      </c>
      <c r="AO24" s="50"/>
      <c r="AP24" s="50">
        <v>500000.0</v>
      </c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>
        <f t="shared" si="3"/>
        <v>1230000</v>
      </c>
      <c r="BD24" s="50">
        <f t="shared" si="4"/>
        <v>500000</v>
      </c>
      <c r="BE24" s="50">
        <f t="shared" si="5"/>
        <v>0</v>
      </c>
      <c r="BF24" s="50">
        <f t="shared" si="6"/>
        <v>1730000</v>
      </c>
      <c r="BG24" s="46"/>
      <c r="BH24" s="46"/>
      <c r="BI24" s="46"/>
      <c r="BJ24" s="45" t="str">
        <f t="shared" ref="BJ24:BK24" si="27">H24</f>
        <v>A</v>
      </c>
      <c r="BK24" s="45" t="str">
        <f t="shared" si="27"/>
        <v>A-7</v>
      </c>
      <c r="BL24" s="51">
        <v>546500.0</v>
      </c>
    </row>
    <row r="25">
      <c r="A25" s="12">
        <f t="shared" si="2"/>
        <v>23</v>
      </c>
      <c r="B25" s="15" t="s">
        <v>1996</v>
      </c>
      <c r="C25" s="12">
        <v>2.02407073E9</v>
      </c>
      <c r="D25" s="15" t="s">
        <v>1997</v>
      </c>
      <c r="E25" s="15" t="s">
        <v>1998</v>
      </c>
      <c r="F25" s="15" t="s">
        <v>1999</v>
      </c>
      <c r="G25" s="16" t="s">
        <v>1940</v>
      </c>
      <c r="H25" s="12" t="s">
        <v>34</v>
      </c>
      <c r="I25" s="14" t="s">
        <v>1891</v>
      </c>
      <c r="J25" s="16">
        <v>3.0</v>
      </c>
      <c r="K25" s="16" t="s">
        <v>1898</v>
      </c>
      <c r="L25" s="44" t="s">
        <v>2000</v>
      </c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>
        <v>500000.0</v>
      </c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>
        <f t="shared" si="3"/>
        <v>0</v>
      </c>
      <c r="BD25" s="18">
        <f t="shared" si="4"/>
        <v>500000</v>
      </c>
      <c r="BE25" s="18">
        <f t="shared" si="5"/>
        <v>0</v>
      </c>
      <c r="BF25" s="18">
        <f t="shared" si="6"/>
        <v>500000</v>
      </c>
      <c r="BG25" s="15"/>
      <c r="BH25" s="15"/>
      <c r="BI25" s="15"/>
      <c r="BJ25" s="12" t="str">
        <f t="shared" ref="BJ25:BK25" si="28">H25</f>
        <v>A</v>
      </c>
      <c r="BK25" s="12" t="str">
        <f t="shared" si="28"/>
        <v>A-8</v>
      </c>
      <c r="BL25" s="32">
        <v>613000.0</v>
      </c>
    </row>
    <row r="26">
      <c r="A26" s="45">
        <f t="shared" si="2"/>
        <v>24</v>
      </c>
      <c r="B26" s="46" t="s">
        <v>2001</v>
      </c>
      <c r="C26" s="45">
        <v>2.024070619E9</v>
      </c>
      <c r="D26" s="46" t="s">
        <v>2002</v>
      </c>
      <c r="E26" s="46" t="s">
        <v>2003</v>
      </c>
      <c r="F26" s="46" t="s">
        <v>2004</v>
      </c>
      <c r="G26" s="47" t="s">
        <v>1929</v>
      </c>
      <c r="H26" s="45" t="s">
        <v>34</v>
      </c>
      <c r="I26" s="48" t="s">
        <v>1884</v>
      </c>
      <c r="J26" s="47">
        <v>3.0</v>
      </c>
      <c r="K26" s="47" t="s">
        <v>1885</v>
      </c>
      <c r="L26" s="49" t="s">
        <v>2005</v>
      </c>
      <c r="M26" s="50">
        <v>600000.0</v>
      </c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>
        <v>500000.0</v>
      </c>
      <c r="AC26" s="50"/>
      <c r="AD26" s="50"/>
      <c r="AE26" s="50"/>
      <c r="AF26" s="50">
        <v>450000.0</v>
      </c>
      <c r="AG26" s="50">
        <v>450000.0</v>
      </c>
      <c r="AH26" s="50">
        <v>450000.0</v>
      </c>
      <c r="AI26" s="50">
        <v>450000.0</v>
      </c>
      <c r="AJ26" s="50">
        <v>450000.0</v>
      </c>
      <c r="AK26" s="50">
        <v>450000.0</v>
      </c>
      <c r="AL26" s="50">
        <v>450000.0</v>
      </c>
      <c r="AM26" s="50">
        <v>450000.0</v>
      </c>
      <c r="AN26" s="50">
        <v>450000.0</v>
      </c>
      <c r="AO26" s="50"/>
      <c r="AP26" s="50">
        <v>500000.0</v>
      </c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>
        <f t="shared" si="3"/>
        <v>4050000</v>
      </c>
      <c r="BD26" s="50">
        <f t="shared" si="4"/>
        <v>1600000</v>
      </c>
      <c r="BE26" s="50">
        <f t="shared" si="5"/>
        <v>0</v>
      </c>
      <c r="BF26" s="50">
        <f t="shared" si="6"/>
        <v>5650000</v>
      </c>
      <c r="BG26" s="46"/>
      <c r="BH26" s="46"/>
      <c r="BI26" s="46"/>
      <c r="BJ26" s="45" t="str">
        <f t="shared" ref="BJ26:BK26" si="29">H26</f>
        <v>A</v>
      </c>
      <c r="BK26" s="45" t="str">
        <f t="shared" si="29"/>
        <v>A-7</v>
      </c>
      <c r="BL26" s="51">
        <v>613000.0</v>
      </c>
    </row>
    <row r="27">
      <c r="A27" s="12">
        <f t="shared" si="2"/>
        <v>25</v>
      </c>
      <c r="B27" s="15" t="s">
        <v>2006</v>
      </c>
      <c r="C27" s="12">
        <v>2.024070663E9</v>
      </c>
      <c r="D27" s="15" t="s">
        <v>2007</v>
      </c>
      <c r="E27" s="15" t="s">
        <v>2008</v>
      </c>
      <c r="F27" s="15" t="s">
        <v>2009</v>
      </c>
      <c r="G27" s="16" t="s">
        <v>1946</v>
      </c>
      <c r="H27" s="12" t="s">
        <v>34</v>
      </c>
      <c r="I27" s="14" t="s">
        <v>1884</v>
      </c>
      <c r="J27" s="16">
        <v>3.0</v>
      </c>
      <c r="K27" s="16" t="s">
        <v>1898</v>
      </c>
      <c r="L27" s="44" t="s">
        <v>2010</v>
      </c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>
        <v>500000.0</v>
      </c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>
        <f t="shared" si="3"/>
        <v>0</v>
      </c>
      <c r="BD27" s="18">
        <f t="shared" si="4"/>
        <v>500000</v>
      </c>
      <c r="BE27" s="18">
        <f t="shared" si="5"/>
        <v>0</v>
      </c>
      <c r="BF27" s="18">
        <f t="shared" si="6"/>
        <v>500000</v>
      </c>
      <c r="BG27" s="15"/>
      <c r="BH27" s="15"/>
      <c r="BI27" s="15"/>
      <c r="BJ27" s="12" t="str">
        <f t="shared" ref="BJ27:BK27" si="30">H27</f>
        <v>A</v>
      </c>
      <c r="BK27" s="12" t="str">
        <f t="shared" si="30"/>
        <v>A-7</v>
      </c>
      <c r="BL27" s="32">
        <v>613000.0</v>
      </c>
    </row>
    <row r="28">
      <c r="A28" s="45">
        <f t="shared" si="2"/>
        <v>26</v>
      </c>
      <c r="B28" s="46" t="s">
        <v>2011</v>
      </c>
      <c r="C28" s="45">
        <v>2.024070512E9</v>
      </c>
      <c r="D28" s="46" t="s">
        <v>2012</v>
      </c>
      <c r="E28" s="46" t="s">
        <v>2013</v>
      </c>
      <c r="F28" s="46" t="s">
        <v>2014</v>
      </c>
      <c r="G28" s="47" t="s">
        <v>1917</v>
      </c>
      <c r="H28" s="45" t="s">
        <v>34</v>
      </c>
      <c r="I28" s="48" t="s">
        <v>152</v>
      </c>
      <c r="J28" s="47">
        <v>3.0</v>
      </c>
      <c r="K28" s="45" t="s">
        <v>1918</v>
      </c>
      <c r="L28" s="49" t="s">
        <v>2015</v>
      </c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>
        <v>410000.0</v>
      </c>
      <c r="AA28" s="50"/>
      <c r="AB28" s="50">
        <v>500000.0</v>
      </c>
      <c r="AC28" s="50"/>
      <c r="AD28" s="50"/>
      <c r="AE28" s="50">
        <v>410000.0</v>
      </c>
      <c r="AF28" s="50">
        <v>410000.0</v>
      </c>
      <c r="AG28" s="50">
        <v>410000.0</v>
      </c>
      <c r="AH28" s="50">
        <v>410000.0</v>
      </c>
      <c r="AI28" s="50">
        <v>410000.0</v>
      </c>
      <c r="AJ28" s="50">
        <v>410000.0</v>
      </c>
      <c r="AK28" s="50">
        <v>410000.0</v>
      </c>
      <c r="AL28" s="50">
        <v>410000.0</v>
      </c>
      <c r="AM28" s="50">
        <v>410000.0</v>
      </c>
      <c r="AN28" s="50">
        <v>410000.0</v>
      </c>
      <c r="AO28" s="50"/>
      <c r="AP28" s="50">
        <v>500000.0</v>
      </c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>
        <f t="shared" si="3"/>
        <v>4510000</v>
      </c>
      <c r="BD28" s="50">
        <f t="shared" si="4"/>
        <v>1000000</v>
      </c>
      <c r="BE28" s="50">
        <f t="shared" si="5"/>
        <v>0</v>
      </c>
      <c r="BF28" s="50">
        <f t="shared" si="6"/>
        <v>5510000</v>
      </c>
      <c r="BG28" s="46"/>
      <c r="BH28" s="46"/>
      <c r="BI28" s="46"/>
      <c r="BJ28" s="45" t="str">
        <f t="shared" ref="BJ28:BK28" si="31">H28</f>
        <v>A</v>
      </c>
      <c r="BK28" s="45" t="str">
        <f t="shared" si="31"/>
        <v>A-13</v>
      </c>
      <c r="BL28" s="51">
        <v>546500.0</v>
      </c>
    </row>
    <row r="29">
      <c r="A29" s="12">
        <f t="shared" si="2"/>
        <v>27</v>
      </c>
      <c r="B29" s="15" t="s">
        <v>2016</v>
      </c>
      <c r="C29" s="12">
        <v>2.024070603E9</v>
      </c>
      <c r="D29" s="15" t="s">
        <v>2017</v>
      </c>
      <c r="E29" s="15" t="s">
        <v>2018</v>
      </c>
      <c r="F29" s="15" t="s">
        <v>2019</v>
      </c>
      <c r="G29" s="16" t="s">
        <v>1917</v>
      </c>
      <c r="H29" s="12" t="s">
        <v>34</v>
      </c>
      <c r="I29" s="14" t="s">
        <v>152</v>
      </c>
      <c r="J29" s="16">
        <v>3.0</v>
      </c>
      <c r="K29" s="12" t="s">
        <v>1918</v>
      </c>
      <c r="L29" s="44" t="s">
        <v>2020</v>
      </c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>
        <f t="shared" si="3"/>
        <v>0</v>
      </c>
      <c r="BD29" s="18">
        <f t="shared" si="4"/>
        <v>0</v>
      </c>
      <c r="BE29" s="18">
        <f t="shared" si="5"/>
        <v>0</v>
      </c>
      <c r="BF29" s="18">
        <f t="shared" si="6"/>
        <v>0</v>
      </c>
      <c r="BG29" s="15"/>
      <c r="BH29" s="15"/>
      <c r="BI29" s="15"/>
      <c r="BJ29" s="12" t="str">
        <f t="shared" ref="BJ29:BK29" si="32">H29</f>
        <v>A</v>
      </c>
      <c r="BK29" s="12" t="str">
        <f t="shared" si="32"/>
        <v>A-13</v>
      </c>
      <c r="BL29" s="32">
        <v>546500.0</v>
      </c>
    </row>
    <row r="30">
      <c r="A30" s="45">
        <f t="shared" si="2"/>
        <v>28</v>
      </c>
      <c r="B30" s="46" t="s">
        <v>2021</v>
      </c>
      <c r="C30" s="45">
        <v>2.024070627E9</v>
      </c>
      <c r="D30" s="46" t="s">
        <v>2022</v>
      </c>
      <c r="E30" s="46" t="s">
        <v>1549</v>
      </c>
      <c r="F30" s="46" t="s">
        <v>1342</v>
      </c>
      <c r="G30" s="47" t="s">
        <v>1929</v>
      </c>
      <c r="H30" s="45" t="s">
        <v>34</v>
      </c>
      <c r="I30" s="48" t="s">
        <v>1891</v>
      </c>
      <c r="J30" s="47">
        <v>3.0</v>
      </c>
      <c r="K30" s="47" t="s">
        <v>1885</v>
      </c>
      <c r="L30" s="49" t="s">
        <v>2023</v>
      </c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>
        <v>450000.0</v>
      </c>
      <c r="AK30" s="50">
        <v>450000.0</v>
      </c>
      <c r="AL30" s="50">
        <v>450000.0</v>
      </c>
      <c r="AM30" s="50">
        <v>450000.0</v>
      </c>
      <c r="AN30" s="50">
        <v>450000.0</v>
      </c>
      <c r="AO30" s="50"/>
      <c r="AP30" s="50">
        <v>500000.0</v>
      </c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>
        <f t="shared" si="3"/>
        <v>2250000</v>
      </c>
      <c r="BD30" s="50">
        <f t="shared" si="4"/>
        <v>500000</v>
      </c>
      <c r="BE30" s="50">
        <f t="shared" si="5"/>
        <v>0</v>
      </c>
      <c r="BF30" s="50">
        <f t="shared" si="6"/>
        <v>2750000</v>
      </c>
      <c r="BG30" s="46"/>
      <c r="BH30" s="46"/>
      <c r="BI30" s="46"/>
      <c r="BJ30" s="45" t="str">
        <f t="shared" ref="BJ30:BK30" si="33">H30</f>
        <v>A</v>
      </c>
      <c r="BK30" s="45" t="str">
        <f t="shared" si="33"/>
        <v>A-8</v>
      </c>
      <c r="BL30" s="51">
        <v>613000.0</v>
      </c>
    </row>
    <row r="31">
      <c r="A31" s="12">
        <f t="shared" si="2"/>
        <v>29</v>
      </c>
      <c r="B31" s="15" t="s">
        <v>2024</v>
      </c>
      <c r="C31" s="12">
        <v>2.024070756E9</v>
      </c>
      <c r="D31" s="15" t="s">
        <v>2025</v>
      </c>
      <c r="E31" s="15" t="s">
        <v>2026</v>
      </c>
      <c r="F31" s="15" t="s">
        <v>2027</v>
      </c>
      <c r="G31" s="16" t="s">
        <v>2028</v>
      </c>
      <c r="H31" s="12" t="s">
        <v>34</v>
      </c>
      <c r="I31" s="14" t="s">
        <v>1884</v>
      </c>
      <c r="J31" s="16">
        <v>3.0</v>
      </c>
      <c r="K31" s="16" t="s">
        <v>1898</v>
      </c>
      <c r="L31" s="44" t="s">
        <v>2029</v>
      </c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>
        <v>450000.0</v>
      </c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>
        <f t="shared" si="3"/>
        <v>450000</v>
      </c>
      <c r="BD31" s="18">
        <f t="shared" si="4"/>
        <v>0</v>
      </c>
      <c r="BE31" s="18">
        <f t="shared" si="5"/>
        <v>0</v>
      </c>
      <c r="BF31" s="18">
        <f t="shared" si="6"/>
        <v>450000</v>
      </c>
      <c r="BG31" s="15"/>
      <c r="BH31" s="15"/>
      <c r="BI31" s="15"/>
      <c r="BJ31" s="12" t="str">
        <f t="shared" ref="BJ31:BK31" si="34">H31</f>
        <v>A</v>
      </c>
      <c r="BK31" s="12" t="str">
        <f t="shared" si="34"/>
        <v>A-7</v>
      </c>
      <c r="BL31" s="32">
        <v>613000.0</v>
      </c>
    </row>
    <row r="32">
      <c r="A32" s="45">
        <f t="shared" si="2"/>
        <v>30</v>
      </c>
      <c r="B32" s="46" t="s">
        <v>2030</v>
      </c>
      <c r="C32" s="45">
        <v>2.024070477E9</v>
      </c>
      <c r="D32" s="46" t="s">
        <v>2031</v>
      </c>
      <c r="E32" s="46" t="s">
        <v>2032</v>
      </c>
      <c r="F32" s="46" t="s">
        <v>2033</v>
      </c>
      <c r="G32" s="47" t="s">
        <v>1883</v>
      </c>
      <c r="H32" s="45" t="s">
        <v>34</v>
      </c>
      <c r="I32" s="48" t="s">
        <v>1891</v>
      </c>
      <c r="J32" s="47">
        <v>3.0</v>
      </c>
      <c r="K32" s="47" t="s">
        <v>1898</v>
      </c>
      <c r="L32" s="49" t="s">
        <v>2034</v>
      </c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>
        <v>500000.0</v>
      </c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>
        <v>500000.0</v>
      </c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>
        <f t="shared" si="3"/>
        <v>0</v>
      </c>
      <c r="BD32" s="50">
        <f t="shared" si="4"/>
        <v>1000000</v>
      </c>
      <c r="BE32" s="50">
        <f t="shared" si="5"/>
        <v>0</v>
      </c>
      <c r="BF32" s="50">
        <f t="shared" si="6"/>
        <v>1000000</v>
      </c>
      <c r="BG32" s="46"/>
      <c r="BH32" s="46"/>
      <c r="BI32" s="46"/>
      <c r="BJ32" s="45" t="str">
        <f t="shared" ref="BJ32:BK32" si="35">H32</f>
        <v>A</v>
      </c>
      <c r="BK32" s="45" t="str">
        <f t="shared" si="35"/>
        <v>A-8</v>
      </c>
      <c r="BL32" s="51">
        <v>613000.0</v>
      </c>
    </row>
    <row r="33">
      <c r="A33" s="12">
        <f t="shared" si="2"/>
        <v>31</v>
      </c>
      <c r="B33" s="15" t="s">
        <v>2035</v>
      </c>
      <c r="C33" s="12">
        <v>2.024070469E9</v>
      </c>
      <c r="D33" s="15" t="s">
        <v>2036</v>
      </c>
      <c r="E33" s="15" t="s">
        <v>2037</v>
      </c>
      <c r="F33" s="15" t="s">
        <v>2038</v>
      </c>
      <c r="G33" s="16" t="s">
        <v>1883</v>
      </c>
      <c r="H33" s="12" t="s">
        <v>34</v>
      </c>
      <c r="I33" s="14" t="s">
        <v>1891</v>
      </c>
      <c r="J33" s="16">
        <v>3.0</v>
      </c>
      <c r="K33" s="16" t="s">
        <v>1898</v>
      </c>
      <c r="L33" s="44" t="s">
        <v>2039</v>
      </c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>
        <f t="shared" si="3"/>
        <v>0</v>
      </c>
      <c r="BD33" s="18">
        <f t="shared" si="4"/>
        <v>0</v>
      </c>
      <c r="BE33" s="18">
        <f t="shared" si="5"/>
        <v>0</v>
      </c>
      <c r="BF33" s="18">
        <f t="shared" si="6"/>
        <v>0</v>
      </c>
      <c r="BG33" s="15"/>
      <c r="BH33" s="15"/>
      <c r="BI33" s="15"/>
      <c r="BJ33" s="12" t="str">
        <f t="shared" ref="BJ33:BK33" si="36">H33</f>
        <v>A</v>
      </c>
      <c r="BK33" s="12" t="str">
        <f t="shared" si="36"/>
        <v>A-8</v>
      </c>
      <c r="BL33" s="32">
        <v>613000.0</v>
      </c>
    </row>
    <row r="34">
      <c r="A34" s="45">
        <f t="shared" si="2"/>
        <v>32</v>
      </c>
      <c r="B34" s="46" t="s">
        <v>2040</v>
      </c>
      <c r="C34" s="45">
        <v>2.024070667E9</v>
      </c>
      <c r="D34" s="46" t="s">
        <v>2041</v>
      </c>
      <c r="E34" s="46" t="s">
        <v>2042</v>
      </c>
      <c r="F34" s="46" t="s">
        <v>2043</v>
      </c>
      <c r="G34" s="47" t="s">
        <v>1917</v>
      </c>
      <c r="H34" s="45" t="s">
        <v>34</v>
      </c>
      <c r="I34" s="48" t="s">
        <v>152</v>
      </c>
      <c r="J34" s="47">
        <v>3.0</v>
      </c>
      <c r="K34" s="45" t="s">
        <v>1918</v>
      </c>
      <c r="L34" s="49" t="s">
        <v>2044</v>
      </c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>
        <f t="shared" si="3"/>
        <v>0</v>
      </c>
      <c r="BD34" s="50">
        <f t="shared" si="4"/>
        <v>0</v>
      </c>
      <c r="BE34" s="50">
        <f t="shared" si="5"/>
        <v>0</v>
      </c>
      <c r="BF34" s="50">
        <f t="shared" si="6"/>
        <v>0</v>
      </c>
      <c r="BG34" s="46"/>
      <c r="BH34" s="46"/>
      <c r="BI34" s="46"/>
      <c r="BJ34" s="45" t="str">
        <f t="shared" ref="BJ34:BK34" si="37">H34</f>
        <v>A</v>
      </c>
      <c r="BK34" s="45" t="str">
        <f t="shared" si="37"/>
        <v>A-13</v>
      </c>
      <c r="BL34" s="51">
        <v>546500.0</v>
      </c>
    </row>
    <row r="35">
      <c r="A35" s="12">
        <f t="shared" si="2"/>
        <v>33</v>
      </c>
      <c r="B35" s="15" t="s">
        <v>2045</v>
      </c>
      <c r="C35" s="12">
        <v>2.024070747E9</v>
      </c>
      <c r="D35" s="15" t="s">
        <v>2046</v>
      </c>
      <c r="E35" s="15" t="s">
        <v>2047</v>
      </c>
      <c r="F35" s="15" t="s">
        <v>2048</v>
      </c>
      <c r="G35" s="16" t="s">
        <v>2049</v>
      </c>
      <c r="H35" s="12" t="s">
        <v>34</v>
      </c>
      <c r="I35" s="14" t="s">
        <v>1891</v>
      </c>
      <c r="J35" s="16">
        <v>3.0</v>
      </c>
      <c r="K35" s="16" t="s">
        <v>1898</v>
      </c>
      <c r="L35" s="44" t="s">
        <v>2050</v>
      </c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>
        <v>450000.0</v>
      </c>
      <c r="AO35" s="18"/>
      <c r="AP35" s="18">
        <v>500000.0</v>
      </c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>
        <f t="shared" si="3"/>
        <v>450000</v>
      </c>
      <c r="BD35" s="18">
        <f t="shared" si="4"/>
        <v>500000</v>
      </c>
      <c r="BE35" s="18">
        <f t="shared" si="5"/>
        <v>0</v>
      </c>
      <c r="BF35" s="18">
        <f t="shared" si="6"/>
        <v>950000</v>
      </c>
      <c r="BG35" s="15"/>
      <c r="BH35" s="15"/>
      <c r="BI35" s="15"/>
      <c r="BJ35" s="12" t="str">
        <f t="shared" ref="BJ35:BK35" si="38">H35</f>
        <v>A</v>
      </c>
      <c r="BK35" s="12" t="str">
        <f t="shared" si="38"/>
        <v>A-8</v>
      </c>
      <c r="BL35" s="32">
        <v>613000.0</v>
      </c>
    </row>
    <row r="36">
      <c r="A36" s="45">
        <f t="shared" si="2"/>
        <v>34</v>
      </c>
      <c r="B36" s="46" t="s">
        <v>2051</v>
      </c>
      <c r="C36" s="45">
        <v>2.024070628E9</v>
      </c>
      <c r="D36" s="46" t="s">
        <v>2052</v>
      </c>
      <c r="E36" s="46" t="s">
        <v>2053</v>
      </c>
      <c r="F36" s="46" t="s">
        <v>2054</v>
      </c>
      <c r="G36" s="47" t="s">
        <v>1883</v>
      </c>
      <c r="H36" s="45" t="s">
        <v>34</v>
      </c>
      <c r="I36" s="48" t="s">
        <v>1891</v>
      </c>
      <c r="J36" s="47">
        <v>3.0</v>
      </c>
      <c r="K36" s="47" t="s">
        <v>1885</v>
      </c>
      <c r="L36" s="49" t="s">
        <v>2055</v>
      </c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>
        <v>500000.0</v>
      </c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>
        <f t="shared" si="3"/>
        <v>0</v>
      </c>
      <c r="BD36" s="50">
        <f t="shared" si="4"/>
        <v>500000</v>
      </c>
      <c r="BE36" s="50">
        <f t="shared" si="5"/>
        <v>0</v>
      </c>
      <c r="BF36" s="50">
        <f t="shared" si="6"/>
        <v>500000</v>
      </c>
      <c r="BG36" s="46"/>
      <c r="BH36" s="46"/>
      <c r="BI36" s="46"/>
      <c r="BJ36" s="45" t="str">
        <f t="shared" ref="BJ36:BK36" si="39">H36</f>
        <v>A</v>
      </c>
      <c r="BK36" s="45" t="str">
        <f t="shared" si="39"/>
        <v>A-8</v>
      </c>
      <c r="BL36" s="51">
        <v>613000.0</v>
      </c>
    </row>
    <row r="37">
      <c r="A37" s="12">
        <f t="shared" si="2"/>
        <v>35</v>
      </c>
      <c r="B37" s="15" t="s">
        <v>2056</v>
      </c>
      <c r="C37" s="12">
        <v>2.0240706E9</v>
      </c>
      <c r="D37" s="15" t="s">
        <v>2057</v>
      </c>
      <c r="E37" s="15" t="s">
        <v>2058</v>
      </c>
      <c r="F37" s="15" t="s">
        <v>542</v>
      </c>
      <c r="G37" s="16" t="s">
        <v>1883</v>
      </c>
      <c r="H37" s="12" t="s">
        <v>34</v>
      </c>
      <c r="I37" s="14" t="s">
        <v>152</v>
      </c>
      <c r="J37" s="16">
        <v>3.0</v>
      </c>
      <c r="K37" s="12" t="s">
        <v>1918</v>
      </c>
      <c r="L37" s="44" t="s">
        <v>2059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>
        <v>410000.0</v>
      </c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>
        <f t="shared" si="3"/>
        <v>410000</v>
      </c>
      <c r="BD37" s="18">
        <f t="shared" si="4"/>
        <v>0</v>
      </c>
      <c r="BE37" s="18">
        <f t="shared" si="5"/>
        <v>0</v>
      </c>
      <c r="BF37" s="18">
        <f t="shared" si="6"/>
        <v>410000</v>
      </c>
      <c r="BG37" s="15"/>
      <c r="BH37" s="15"/>
      <c r="BI37" s="15"/>
      <c r="BJ37" s="12" t="str">
        <f t="shared" ref="BJ37:BK37" si="40">H37</f>
        <v>A</v>
      </c>
      <c r="BK37" s="12" t="str">
        <f t="shared" si="40"/>
        <v>A-13</v>
      </c>
      <c r="BL37" s="32">
        <v>546500.0</v>
      </c>
    </row>
    <row r="38">
      <c r="A38" s="45">
        <f t="shared" si="2"/>
        <v>36</v>
      </c>
      <c r="B38" s="46" t="s">
        <v>2060</v>
      </c>
      <c r="C38" s="45">
        <v>2.024070589E9</v>
      </c>
      <c r="D38" s="46" t="s">
        <v>2061</v>
      </c>
      <c r="E38" s="46" t="s">
        <v>2062</v>
      </c>
      <c r="F38" s="46" t="s">
        <v>2063</v>
      </c>
      <c r="G38" s="47" t="s">
        <v>1897</v>
      </c>
      <c r="H38" s="45" t="s">
        <v>34</v>
      </c>
      <c r="I38" s="48" t="s">
        <v>1891</v>
      </c>
      <c r="J38" s="47">
        <v>3.0</v>
      </c>
      <c r="K38" s="47" t="s">
        <v>1885</v>
      </c>
      <c r="L38" s="49" t="s">
        <v>2064</v>
      </c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>
        <f t="shared" si="3"/>
        <v>0</v>
      </c>
      <c r="BD38" s="50">
        <f t="shared" si="4"/>
        <v>0</v>
      </c>
      <c r="BE38" s="50">
        <f t="shared" si="5"/>
        <v>0</v>
      </c>
      <c r="BF38" s="50">
        <f t="shared" si="6"/>
        <v>0</v>
      </c>
      <c r="BG38" s="46"/>
      <c r="BH38" s="46"/>
      <c r="BI38" s="46"/>
      <c r="BJ38" s="45" t="str">
        <f t="shared" ref="BJ38:BK38" si="41">H38</f>
        <v>A</v>
      </c>
      <c r="BK38" s="45" t="str">
        <f t="shared" si="41"/>
        <v>A-8</v>
      </c>
      <c r="BL38" s="51">
        <v>613000.0</v>
      </c>
    </row>
    <row r="39">
      <c r="A39" s="12">
        <f t="shared" si="2"/>
        <v>37</v>
      </c>
      <c r="B39" s="15" t="s">
        <v>2065</v>
      </c>
      <c r="C39" s="12">
        <v>2.024070649E9</v>
      </c>
      <c r="D39" s="15" t="s">
        <v>2066</v>
      </c>
      <c r="E39" s="15" t="s">
        <v>2067</v>
      </c>
      <c r="F39" s="15" t="s">
        <v>2068</v>
      </c>
      <c r="G39" s="16" t="s">
        <v>1946</v>
      </c>
      <c r="H39" s="12" t="s">
        <v>34</v>
      </c>
      <c r="I39" s="14" t="s">
        <v>1884</v>
      </c>
      <c r="J39" s="16">
        <v>3.0</v>
      </c>
      <c r="K39" s="16" t="s">
        <v>1885</v>
      </c>
      <c r="L39" s="44" t="s">
        <v>2069</v>
      </c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>
        <v>500000.0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>
        <v>450000.0</v>
      </c>
      <c r="AO39" s="18"/>
      <c r="AP39" s="18">
        <v>500000.0</v>
      </c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>
        <f t="shared" si="3"/>
        <v>450000</v>
      </c>
      <c r="BD39" s="18">
        <f t="shared" si="4"/>
        <v>1000000</v>
      </c>
      <c r="BE39" s="18">
        <f t="shared" si="5"/>
        <v>0</v>
      </c>
      <c r="BF39" s="18">
        <f t="shared" si="6"/>
        <v>1450000</v>
      </c>
      <c r="BG39" s="15"/>
      <c r="BH39" s="15"/>
      <c r="BI39" s="15"/>
      <c r="BJ39" s="12" t="str">
        <f t="shared" ref="BJ39:BK39" si="42">H39</f>
        <v>A</v>
      </c>
      <c r="BK39" s="12" t="str">
        <f t="shared" si="42"/>
        <v>A-7</v>
      </c>
      <c r="BL39" s="32">
        <v>613000.0</v>
      </c>
    </row>
    <row r="40">
      <c r="A40" s="45">
        <f t="shared" si="2"/>
        <v>38</v>
      </c>
      <c r="B40" s="46" t="s">
        <v>2070</v>
      </c>
      <c r="C40" s="45">
        <v>2.024070637E9</v>
      </c>
      <c r="D40" s="46" t="s">
        <v>2071</v>
      </c>
      <c r="E40" s="46" t="s">
        <v>2072</v>
      </c>
      <c r="F40" s="46" t="s">
        <v>2073</v>
      </c>
      <c r="G40" s="47" t="s">
        <v>1883</v>
      </c>
      <c r="H40" s="45" t="s">
        <v>34</v>
      </c>
      <c r="I40" s="48" t="s">
        <v>1891</v>
      </c>
      <c r="J40" s="47">
        <v>3.0</v>
      </c>
      <c r="K40" s="47" t="s">
        <v>1885</v>
      </c>
      <c r="L40" s="49" t="s">
        <v>2074</v>
      </c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>
        <f t="shared" si="3"/>
        <v>0</v>
      </c>
      <c r="BD40" s="50">
        <f t="shared" si="4"/>
        <v>0</v>
      </c>
      <c r="BE40" s="50">
        <f t="shared" si="5"/>
        <v>0</v>
      </c>
      <c r="BF40" s="50">
        <f t="shared" si="6"/>
        <v>0</v>
      </c>
      <c r="BG40" s="46"/>
      <c r="BH40" s="46"/>
      <c r="BI40" s="46"/>
      <c r="BJ40" s="45" t="str">
        <f t="shared" ref="BJ40:BK40" si="43">H40</f>
        <v>A</v>
      </c>
      <c r="BK40" s="45" t="str">
        <f t="shared" si="43"/>
        <v>A-8</v>
      </c>
      <c r="BL40" s="51">
        <v>613000.0</v>
      </c>
    </row>
    <row r="41">
      <c r="A41" s="12">
        <f t="shared" si="2"/>
        <v>39</v>
      </c>
      <c r="B41" s="15" t="s">
        <v>2075</v>
      </c>
      <c r="C41" s="12">
        <v>2.024070626E9</v>
      </c>
      <c r="D41" s="15" t="s">
        <v>2076</v>
      </c>
      <c r="E41" s="15" t="s">
        <v>2077</v>
      </c>
      <c r="F41" s="15" t="s">
        <v>2078</v>
      </c>
      <c r="G41" s="16" t="s">
        <v>1897</v>
      </c>
      <c r="H41" s="12" t="s">
        <v>34</v>
      </c>
      <c r="I41" s="14" t="s">
        <v>1891</v>
      </c>
      <c r="J41" s="16">
        <v>3.0</v>
      </c>
      <c r="K41" s="16" t="s">
        <v>1885</v>
      </c>
      <c r="L41" s="44" t="s">
        <v>2079</v>
      </c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>
        <v>450000.0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>
        <f t="shared" si="3"/>
        <v>450000</v>
      </c>
      <c r="BD41" s="18">
        <f t="shared" si="4"/>
        <v>0</v>
      </c>
      <c r="BE41" s="18">
        <f t="shared" si="5"/>
        <v>0</v>
      </c>
      <c r="BF41" s="18">
        <f t="shared" si="6"/>
        <v>450000</v>
      </c>
      <c r="BG41" s="15"/>
      <c r="BH41" s="15"/>
      <c r="BI41" s="15"/>
      <c r="BJ41" s="12" t="str">
        <f t="shared" ref="BJ41:BK41" si="44">H41</f>
        <v>A</v>
      </c>
      <c r="BK41" s="12" t="str">
        <f t="shared" si="44"/>
        <v>A-8</v>
      </c>
      <c r="BL41" s="32">
        <v>613000.0</v>
      </c>
    </row>
    <row r="42">
      <c r="A42" s="45">
        <f t="shared" si="2"/>
        <v>40</v>
      </c>
      <c r="B42" s="46" t="s">
        <v>2080</v>
      </c>
      <c r="C42" s="45">
        <v>2.02407048E9</v>
      </c>
      <c r="D42" s="46" t="s">
        <v>2081</v>
      </c>
      <c r="E42" s="46" t="s">
        <v>2082</v>
      </c>
      <c r="F42" s="46" t="s">
        <v>2083</v>
      </c>
      <c r="G42" s="47" t="s">
        <v>1929</v>
      </c>
      <c r="H42" s="45" t="s">
        <v>34</v>
      </c>
      <c r="I42" s="48" t="s">
        <v>1891</v>
      </c>
      <c r="J42" s="47">
        <v>3.0</v>
      </c>
      <c r="K42" s="47" t="s">
        <v>1898</v>
      </c>
      <c r="L42" s="49" t="s">
        <v>2084</v>
      </c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>
        <f t="shared" si="3"/>
        <v>0</v>
      </c>
      <c r="BD42" s="50">
        <f t="shared" si="4"/>
        <v>0</v>
      </c>
      <c r="BE42" s="50">
        <f t="shared" si="5"/>
        <v>0</v>
      </c>
      <c r="BF42" s="50">
        <f t="shared" si="6"/>
        <v>0</v>
      </c>
      <c r="BG42" s="46"/>
      <c r="BH42" s="46"/>
      <c r="BI42" s="46"/>
      <c r="BJ42" s="45" t="str">
        <f t="shared" ref="BJ42:BK42" si="45">H42</f>
        <v>A</v>
      </c>
      <c r="BK42" s="45" t="str">
        <f t="shared" si="45"/>
        <v>A-8</v>
      </c>
      <c r="BL42" s="51">
        <v>613000.0</v>
      </c>
    </row>
    <row r="43">
      <c r="A43" s="12">
        <f t="shared" si="2"/>
        <v>41</v>
      </c>
      <c r="B43" s="15" t="s">
        <v>2085</v>
      </c>
      <c r="C43" s="12">
        <v>2.024070552E9</v>
      </c>
      <c r="D43" s="15" t="s">
        <v>2086</v>
      </c>
      <c r="E43" s="15" t="s">
        <v>2087</v>
      </c>
      <c r="F43" s="15" t="s">
        <v>2088</v>
      </c>
      <c r="G43" s="16" t="s">
        <v>1929</v>
      </c>
      <c r="H43" s="12" t="s">
        <v>34</v>
      </c>
      <c r="I43" s="14" t="s">
        <v>1884</v>
      </c>
      <c r="J43" s="16">
        <v>3.0</v>
      </c>
      <c r="K43" s="16" t="s">
        <v>1885</v>
      </c>
      <c r="L43" s="44" t="s">
        <v>2089</v>
      </c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>
        <f t="shared" si="3"/>
        <v>0</v>
      </c>
      <c r="BD43" s="18">
        <f t="shared" si="4"/>
        <v>0</v>
      </c>
      <c r="BE43" s="18">
        <f t="shared" si="5"/>
        <v>0</v>
      </c>
      <c r="BF43" s="18">
        <f t="shared" si="6"/>
        <v>0</v>
      </c>
      <c r="BG43" s="15"/>
      <c r="BH43" s="15"/>
      <c r="BI43" s="15"/>
      <c r="BJ43" s="12" t="str">
        <f t="shared" ref="BJ43:BK43" si="46">H43</f>
        <v>A</v>
      </c>
      <c r="BK43" s="12" t="str">
        <f t="shared" si="46"/>
        <v>A-7</v>
      </c>
      <c r="BL43" s="32">
        <v>613000.0</v>
      </c>
    </row>
    <row r="44">
      <c r="A44" s="45">
        <f t="shared" si="2"/>
        <v>42</v>
      </c>
      <c r="B44" s="46" t="s">
        <v>2090</v>
      </c>
      <c r="C44" s="45">
        <v>2.024070529E9</v>
      </c>
      <c r="D44" s="46" t="s">
        <v>2091</v>
      </c>
      <c r="E44" s="46" t="s">
        <v>2092</v>
      </c>
      <c r="F44" s="46" t="s">
        <v>2093</v>
      </c>
      <c r="G44" s="47" t="s">
        <v>1946</v>
      </c>
      <c r="H44" s="45" t="s">
        <v>34</v>
      </c>
      <c r="I44" s="48" t="s">
        <v>1891</v>
      </c>
      <c r="J44" s="47">
        <v>3.0</v>
      </c>
      <c r="K44" s="47" t="s">
        <v>1898</v>
      </c>
      <c r="L44" s="49" t="s">
        <v>2094</v>
      </c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>
        <v>500000.0</v>
      </c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>
        <v>500000.0</v>
      </c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>
        <f t="shared" si="3"/>
        <v>0</v>
      </c>
      <c r="BD44" s="50">
        <f t="shared" si="4"/>
        <v>1000000</v>
      </c>
      <c r="BE44" s="50">
        <f t="shared" si="5"/>
        <v>0</v>
      </c>
      <c r="BF44" s="50">
        <f t="shared" si="6"/>
        <v>1000000</v>
      </c>
      <c r="BG44" s="46"/>
      <c r="BH44" s="46"/>
      <c r="BI44" s="46"/>
      <c r="BJ44" s="45" t="str">
        <f t="shared" ref="BJ44:BK44" si="47">H44</f>
        <v>A</v>
      </c>
      <c r="BK44" s="45" t="str">
        <f t="shared" si="47"/>
        <v>A-8</v>
      </c>
      <c r="BL44" s="51">
        <v>613000.0</v>
      </c>
    </row>
    <row r="45">
      <c r="A45" s="12">
        <f t="shared" si="2"/>
        <v>43</v>
      </c>
      <c r="B45" s="15" t="s">
        <v>2095</v>
      </c>
      <c r="C45" s="12">
        <v>2.024070485E9</v>
      </c>
      <c r="D45" s="15" t="s">
        <v>2096</v>
      </c>
      <c r="E45" s="15" t="s">
        <v>2097</v>
      </c>
      <c r="F45" s="15" t="s">
        <v>2033</v>
      </c>
      <c r="G45" s="16" t="s">
        <v>1883</v>
      </c>
      <c r="H45" s="12" t="s">
        <v>34</v>
      </c>
      <c r="I45" s="14" t="s">
        <v>1891</v>
      </c>
      <c r="J45" s="16">
        <v>3.0</v>
      </c>
      <c r="K45" s="16" t="s">
        <v>1898</v>
      </c>
      <c r="L45" s="44" t="s">
        <v>2098</v>
      </c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>
        <v>500000.0</v>
      </c>
      <c r="AC45" s="18"/>
      <c r="AD45" s="18">
        <v>450000.0</v>
      </c>
      <c r="AE45" s="18">
        <v>450000.0</v>
      </c>
      <c r="AF45" s="18">
        <v>450000.0</v>
      </c>
      <c r="AG45" s="18">
        <v>450000.0</v>
      </c>
      <c r="AH45" s="18">
        <v>450000.0</v>
      </c>
      <c r="AI45" s="18">
        <v>450000.0</v>
      </c>
      <c r="AJ45" s="18">
        <v>450000.0</v>
      </c>
      <c r="AK45" s="18">
        <v>450000.0</v>
      </c>
      <c r="AL45" s="18">
        <v>450000.0</v>
      </c>
      <c r="AM45" s="18">
        <v>450000.0</v>
      </c>
      <c r="AN45" s="18">
        <v>450000.0</v>
      </c>
      <c r="AO45" s="18"/>
      <c r="AP45" s="18">
        <v>500000.0</v>
      </c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>
        <f t="shared" si="3"/>
        <v>4950000</v>
      </c>
      <c r="BD45" s="18">
        <f t="shared" si="4"/>
        <v>1000000</v>
      </c>
      <c r="BE45" s="18">
        <f t="shared" si="5"/>
        <v>0</v>
      </c>
      <c r="BF45" s="18">
        <f t="shared" si="6"/>
        <v>5950000</v>
      </c>
      <c r="BG45" s="15"/>
      <c r="BH45" s="15"/>
      <c r="BI45" s="15"/>
      <c r="BJ45" s="12" t="str">
        <f t="shared" ref="BJ45:BK45" si="48">H45</f>
        <v>A</v>
      </c>
      <c r="BK45" s="12" t="str">
        <f t="shared" si="48"/>
        <v>A-8</v>
      </c>
      <c r="BL45" s="32">
        <v>613000.0</v>
      </c>
    </row>
    <row r="46">
      <c r="A46" s="45">
        <f t="shared" si="2"/>
        <v>44</v>
      </c>
      <c r="B46" s="46" t="s">
        <v>2099</v>
      </c>
      <c r="C46" s="45">
        <v>2.024070506E9</v>
      </c>
      <c r="D46" s="46" t="s">
        <v>2100</v>
      </c>
      <c r="E46" s="46" t="s">
        <v>2101</v>
      </c>
      <c r="F46" s="46" t="s">
        <v>2102</v>
      </c>
      <c r="G46" s="47" t="s">
        <v>1929</v>
      </c>
      <c r="H46" s="45" t="s">
        <v>34</v>
      </c>
      <c r="I46" s="48" t="s">
        <v>1891</v>
      </c>
      <c r="J46" s="47">
        <v>3.0</v>
      </c>
      <c r="K46" s="47" t="s">
        <v>1898</v>
      </c>
      <c r="L46" s="49" t="s">
        <v>2103</v>
      </c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>
        <v>450000.0</v>
      </c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>
        <f t="shared" si="3"/>
        <v>450000</v>
      </c>
      <c r="BD46" s="50">
        <f t="shared" si="4"/>
        <v>0</v>
      </c>
      <c r="BE46" s="50">
        <f t="shared" si="5"/>
        <v>0</v>
      </c>
      <c r="BF46" s="50">
        <f t="shared" si="6"/>
        <v>450000</v>
      </c>
      <c r="BG46" s="46"/>
      <c r="BH46" s="46"/>
      <c r="BI46" s="46"/>
      <c r="BJ46" s="45" t="str">
        <f t="shared" ref="BJ46:BK46" si="49">H46</f>
        <v>A</v>
      </c>
      <c r="BK46" s="45" t="str">
        <f t="shared" si="49"/>
        <v>A-8</v>
      </c>
      <c r="BL46" s="51">
        <v>613000.0</v>
      </c>
    </row>
    <row r="47">
      <c r="A47" s="12">
        <f t="shared" si="2"/>
        <v>45</v>
      </c>
      <c r="B47" s="15" t="s">
        <v>2104</v>
      </c>
      <c r="C47" s="12">
        <v>2.024070503E9</v>
      </c>
      <c r="D47" s="15" t="s">
        <v>2105</v>
      </c>
      <c r="E47" s="15" t="s">
        <v>2106</v>
      </c>
      <c r="F47" s="15" t="s">
        <v>2107</v>
      </c>
      <c r="G47" s="16" t="s">
        <v>1924</v>
      </c>
      <c r="H47" s="12" t="s">
        <v>34</v>
      </c>
      <c r="I47" s="14" t="s">
        <v>1884</v>
      </c>
      <c r="J47" s="16">
        <v>3.0</v>
      </c>
      <c r="K47" s="16" t="s">
        <v>1898</v>
      </c>
      <c r="L47" s="44" t="s">
        <v>2108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>
        <v>500000.0</v>
      </c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>
        <f t="shared" si="3"/>
        <v>0</v>
      </c>
      <c r="BD47" s="18">
        <f t="shared" si="4"/>
        <v>500000</v>
      </c>
      <c r="BE47" s="18">
        <f t="shared" si="5"/>
        <v>0</v>
      </c>
      <c r="BF47" s="18">
        <f t="shared" si="6"/>
        <v>500000</v>
      </c>
      <c r="BG47" s="15"/>
      <c r="BH47" s="15"/>
      <c r="BI47" s="15"/>
      <c r="BJ47" s="12" t="str">
        <f t="shared" ref="BJ47:BK47" si="50">H47</f>
        <v>A</v>
      </c>
      <c r="BK47" s="12" t="str">
        <f t="shared" si="50"/>
        <v>A-7</v>
      </c>
      <c r="BL47" s="32">
        <v>613000.0</v>
      </c>
    </row>
    <row r="48">
      <c r="A48" s="45">
        <f t="shared" si="2"/>
        <v>46</v>
      </c>
      <c r="B48" s="46" t="s">
        <v>2109</v>
      </c>
      <c r="C48" s="45">
        <v>2.024070559E9</v>
      </c>
      <c r="D48" s="46" t="s">
        <v>2110</v>
      </c>
      <c r="E48" s="46" t="s">
        <v>2111</v>
      </c>
      <c r="F48" s="46" t="s">
        <v>2112</v>
      </c>
      <c r="G48" s="47" t="s">
        <v>1924</v>
      </c>
      <c r="H48" s="45" t="s">
        <v>34</v>
      </c>
      <c r="I48" s="48" t="s">
        <v>1891</v>
      </c>
      <c r="J48" s="47">
        <v>3.0</v>
      </c>
      <c r="K48" s="47" t="s">
        <v>1885</v>
      </c>
      <c r="L48" s="49" t="s">
        <v>2113</v>
      </c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>
        <f t="shared" si="3"/>
        <v>0</v>
      </c>
      <c r="BD48" s="50">
        <f t="shared" si="4"/>
        <v>0</v>
      </c>
      <c r="BE48" s="50">
        <f t="shared" si="5"/>
        <v>0</v>
      </c>
      <c r="BF48" s="50">
        <f t="shared" si="6"/>
        <v>0</v>
      </c>
      <c r="BG48" s="46"/>
      <c r="BH48" s="46"/>
      <c r="BI48" s="46"/>
      <c r="BJ48" s="45" t="str">
        <f t="shared" ref="BJ48:BK48" si="51">H48</f>
        <v>A</v>
      </c>
      <c r="BK48" s="45" t="str">
        <f t="shared" si="51"/>
        <v>A-8</v>
      </c>
      <c r="BL48" s="51">
        <v>613000.0</v>
      </c>
    </row>
    <row r="49">
      <c r="A49" s="12">
        <f t="shared" si="2"/>
        <v>47</v>
      </c>
      <c r="B49" s="15" t="s">
        <v>2114</v>
      </c>
      <c r="C49" s="12">
        <v>2.024070482E9</v>
      </c>
      <c r="D49" s="15" t="s">
        <v>2115</v>
      </c>
      <c r="E49" s="15" t="s">
        <v>2116</v>
      </c>
      <c r="F49" s="15" t="s">
        <v>2117</v>
      </c>
      <c r="G49" s="16" t="s">
        <v>1946</v>
      </c>
      <c r="H49" s="12" t="s">
        <v>34</v>
      </c>
      <c r="I49" s="14" t="s">
        <v>1891</v>
      </c>
      <c r="J49" s="16">
        <v>3.0</v>
      </c>
      <c r="K49" s="16" t="s">
        <v>1898</v>
      </c>
      <c r="L49" s="44" t="s">
        <v>2118</v>
      </c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>
        <f t="shared" si="3"/>
        <v>0</v>
      </c>
      <c r="BD49" s="18">
        <f t="shared" si="4"/>
        <v>0</v>
      </c>
      <c r="BE49" s="18">
        <f t="shared" si="5"/>
        <v>0</v>
      </c>
      <c r="BF49" s="18">
        <f t="shared" si="6"/>
        <v>0</v>
      </c>
      <c r="BG49" s="15"/>
      <c r="BH49" s="15"/>
      <c r="BI49" s="15"/>
      <c r="BJ49" s="12" t="str">
        <f t="shared" ref="BJ49:BK49" si="52">H49</f>
        <v>A</v>
      </c>
      <c r="BK49" s="12" t="str">
        <f t="shared" si="52"/>
        <v>A-8</v>
      </c>
      <c r="BL49" s="32">
        <v>613000.0</v>
      </c>
    </row>
    <row r="50">
      <c r="A50" s="45">
        <f t="shared" si="2"/>
        <v>48</v>
      </c>
      <c r="B50" s="46" t="s">
        <v>2119</v>
      </c>
      <c r="C50" s="45">
        <v>2.024070653E9</v>
      </c>
      <c r="D50" s="46" t="s">
        <v>2120</v>
      </c>
      <c r="E50" s="46" t="s">
        <v>2121</v>
      </c>
      <c r="F50" s="46" t="s">
        <v>2122</v>
      </c>
      <c r="G50" s="47" t="s">
        <v>1929</v>
      </c>
      <c r="H50" s="45" t="s">
        <v>34</v>
      </c>
      <c r="I50" s="48" t="s">
        <v>1884</v>
      </c>
      <c r="J50" s="47">
        <v>3.0</v>
      </c>
      <c r="K50" s="47" t="s">
        <v>1885</v>
      </c>
      <c r="L50" s="49" t="s">
        <v>2123</v>
      </c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>
        <v>500000.0</v>
      </c>
      <c r="AC50" s="50"/>
      <c r="AD50" s="50"/>
      <c r="AE50" s="50"/>
      <c r="AF50" s="50"/>
      <c r="AG50" s="50"/>
      <c r="AH50" s="50"/>
      <c r="AI50" s="50"/>
      <c r="AJ50" s="50"/>
      <c r="AK50" s="50">
        <v>450000.0</v>
      </c>
      <c r="AL50" s="50">
        <v>450000.0</v>
      </c>
      <c r="AM50" s="50">
        <v>450000.0</v>
      </c>
      <c r="AN50" s="50">
        <v>450000.0</v>
      </c>
      <c r="AO50" s="50"/>
      <c r="AP50" s="50">
        <v>500000.0</v>
      </c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>
        <f t="shared" si="3"/>
        <v>1800000</v>
      </c>
      <c r="BD50" s="50">
        <f t="shared" si="4"/>
        <v>1000000</v>
      </c>
      <c r="BE50" s="50">
        <f t="shared" si="5"/>
        <v>0</v>
      </c>
      <c r="BF50" s="50">
        <f t="shared" si="6"/>
        <v>2800000</v>
      </c>
      <c r="BG50" s="46"/>
      <c r="BH50" s="46"/>
      <c r="BI50" s="46"/>
      <c r="BJ50" s="45" t="str">
        <f t="shared" ref="BJ50:BK50" si="53">H50</f>
        <v>A</v>
      </c>
      <c r="BK50" s="45" t="str">
        <f t="shared" si="53"/>
        <v>A-7</v>
      </c>
      <c r="BL50" s="51">
        <v>613000.0</v>
      </c>
    </row>
    <row r="51">
      <c r="A51" s="12">
        <f t="shared" si="2"/>
        <v>49</v>
      </c>
      <c r="B51" s="15" t="s">
        <v>2124</v>
      </c>
      <c r="C51" s="12">
        <v>2.024070457E9</v>
      </c>
      <c r="D51" s="15" t="s">
        <v>2125</v>
      </c>
      <c r="E51" s="15" t="s">
        <v>2126</v>
      </c>
      <c r="F51" s="15" t="s">
        <v>2127</v>
      </c>
      <c r="G51" s="16" t="s">
        <v>1897</v>
      </c>
      <c r="H51" s="12" t="s">
        <v>34</v>
      </c>
      <c r="I51" s="14" t="s">
        <v>1891</v>
      </c>
      <c r="J51" s="16">
        <v>3.0</v>
      </c>
      <c r="K51" s="16" t="s">
        <v>1898</v>
      </c>
      <c r="L51" s="44" t="s">
        <v>2128</v>
      </c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>
        <v>500000.0</v>
      </c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>
        <f t="shared" si="3"/>
        <v>0</v>
      </c>
      <c r="BD51" s="18">
        <f t="shared" si="4"/>
        <v>500000</v>
      </c>
      <c r="BE51" s="18">
        <f t="shared" si="5"/>
        <v>0</v>
      </c>
      <c r="BF51" s="18">
        <f t="shared" si="6"/>
        <v>500000</v>
      </c>
      <c r="BG51" s="15"/>
      <c r="BH51" s="15"/>
      <c r="BI51" s="15"/>
      <c r="BJ51" s="12" t="str">
        <f t="shared" ref="BJ51:BK51" si="54">H51</f>
        <v>A</v>
      </c>
      <c r="BK51" s="12" t="str">
        <f t="shared" si="54"/>
        <v>A-8</v>
      </c>
      <c r="BL51" s="32">
        <v>613000.0</v>
      </c>
    </row>
    <row r="52">
      <c r="A52" s="45">
        <f t="shared" si="2"/>
        <v>50</v>
      </c>
      <c r="B52" s="46" t="s">
        <v>2129</v>
      </c>
      <c r="C52" s="45">
        <v>2.024070612E9</v>
      </c>
      <c r="D52" s="46" t="s">
        <v>2130</v>
      </c>
      <c r="E52" s="46" t="s">
        <v>2131</v>
      </c>
      <c r="F52" s="46" t="s">
        <v>2132</v>
      </c>
      <c r="G52" s="47" t="s">
        <v>1883</v>
      </c>
      <c r="H52" s="45" t="s">
        <v>34</v>
      </c>
      <c r="I52" s="48" t="s">
        <v>1891</v>
      </c>
      <c r="J52" s="47">
        <v>3.0</v>
      </c>
      <c r="K52" s="47" t="s">
        <v>1885</v>
      </c>
      <c r="L52" s="49" t="s">
        <v>2133</v>
      </c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>
        <v>500000.0</v>
      </c>
      <c r="AC52" s="50"/>
      <c r="AD52" s="50"/>
      <c r="AE52" s="50"/>
      <c r="AF52" s="50">
        <v>450000.0</v>
      </c>
      <c r="AG52" s="50">
        <v>450000.0</v>
      </c>
      <c r="AH52" s="50">
        <v>450000.0</v>
      </c>
      <c r="AI52" s="50">
        <v>450000.0</v>
      </c>
      <c r="AJ52" s="50">
        <v>450000.0</v>
      </c>
      <c r="AK52" s="50">
        <v>450000.0</v>
      </c>
      <c r="AL52" s="50">
        <v>450000.0</v>
      </c>
      <c r="AM52" s="50">
        <v>450000.0</v>
      </c>
      <c r="AN52" s="50">
        <v>450000.0</v>
      </c>
      <c r="AO52" s="50"/>
      <c r="AP52" s="50">
        <v>500000.0</v>
      </c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>
        <f t="shared" si="3"/>
        <v>4050000</v>
      </c>
      <c r="BD52" s="50">
        <f t="shared" si="4"/>
        <v>1000000</v>
      </c>
      <c r="BE52" s="50">
        <f t="shared" si="5"/>
        <v>0</v>
      </c>
      <c r="BF52" s="50">
        <f t="shared" si="6"/>
        <v>5050000</v>
      </c>
      <c r="BG52" s="46"/>
      <c r="BH52" s="46"/>
      <c r="BI52" s="46"/>
      <c r="BJ52" s="45" t="str">
        <f t="shared" ref="BJ52:BK52" si="55">H52</f>
        <v>A</v>
      </c>
      <c r="BK52" s="45" t="str">
        <f t="shared" si="55"/>
        <v>A-8</v>
      </c>
      <c r="BL52" s="51">
        <v>613000.0</v>
      </c>
    </row>
    <row r="53">
      <c r="A53" s="12">
        <f t="shared" si="2"/>
        <v>51</v>
      </c>
      <c r="B53" s="15" t="s">
        <v>2134</v>
      </c>
      <c r="C53" s="12">
        <v>2.024070622E9</v>
      </c>
      <c r="D53" s="15" t="s">
        <v>2135</v>
      </c>
      <c r="E53" s="15" t="s">
        <v>2136</v>
      </c>
      <c r="F53" s="15" t="s">
        <v>2137</v>
      </c>
      <c r="G53" s="16" t="s">
        <v>1883</v>
      </c>
      <c r="H53" s="12" t="s">
        <v>34</v>
      </c>
      <c r="I53" s="14" t="s">
        <v>1891</v>
      </c>
      <c r="J53" s="16">
        <v>3.0</v>
      </c>
      <c r="K53" s="16" t="s">
        <v>1885</v>
      </c>
      <c r="L53" s="44" t="s">
        <v>2138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>
        <f t="shared" si="3"/>
        <v>0</v>
      </c>
      <c r="BD53" s="18">
        <f t="shared" si="4"/>
        <v>0</v>
      </c>
      <c r="BE53" s="18">
        <f t="shared" si="5"/>
        <v>0</v>
      </c>
      <c r="BF53" s="18">
        <f t="shared" si="6"/>
        <v>0</v>
      </c>
      <c r="BG53" s="15"/>
      <c r="BH53" s="15"/>
      <c r="BI53" s="15"/>
      <c r="BJ53" s="12" t="str">
        <f t="shared" ref="BJ53:BK53" si="56">H53</f>
        <v>A</v>
      </c>
      <c r="BK53" s="12" t="str">
        <f t="shared" si="56"/>
        <v>A-8</v>
      </c>
      <c r="BL53" s="32">
        <v>613000.0</v>
      </c>
    </row>
    <row r="54">
      <c r="A54" s="45">
        <f t="shared" si="2"/>
        <v>52</v>
      </c>
      <c r="B54" s="46" t="s">
        <v>2139</v>
      </c>
      <c r="C54" s="45">
        <v>2.024070486E9</v>
      </c>
      <c r="D54" s="46" t="s">
        <v>1413</v>
      </c>
      <c r="E54" s="46" t="s">
        <v>2140</v>
      </c>
      <c r="F54" s="46" t="s">
        <v>2141</v>
      </c>
      <c r="G54" s="47" t="s">
        <v>1924</v>
      </c>
      <c r="H54" s="45" t="s">
        <v>34</v>
      </c>
      <c r="I54" s="48" t="s">
        <v>1884</v>
      </c>
      <c r="J54" s="47">
        <v>3.0</v>
      </c>
      <c r="K54" s="47" t="s">
        <v>1898</v>
      </c>
      <c r="L54" s="49" t="s">
        <v>2142</v>
      </c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>
        <v>500000.0</v>
      </c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>
        <f t="shared" si="3"/>
        <v>0</v>
      </c>
      <c r="BD54" s="50">
        <f t="shared" si="4"/>
        <v>500000</v>
      </c>
      <c r="BE54" s="50">
        <f t="shared" si="5"/>
        <v>0</v>
      </c>
      <c r="BF54" s="50">
        <f t="shared" si="6"/>
        <v>500000</v>
      </c>
      <c r="BG54" s="46"/>
      <c r="BH54" s="46"/>
      <c r="BI54" s="46"/>
      <c r="BJ54" s="45" t="str">
        <f t="shared" ref="BJ54:BK54" si="57">H54</f>
        <v>A</v>
      </c>
      <c r="BK54" s="45" t="str">
        <f t="shared" si="57"/>
        <v>A-7</v>
      </c>
      <c r="BL54" s="51">
        <v>613000.0</v>
      </c>
    </row>
    <row r="55">
      <c r="A55" s="12">
        <f t="shared" si="2"/>
        <v>53</v>
      </c>
      <c r="B55" s="15" t="s">
        <v>2143</v>
      </c>
      <c r="C55" s="12">
        <v>2.024070739E9</v>
      </c>
      <c r="D55" s="15" t="s">
        <v>2144</v>
      </c>
      <c r="E55" s="15" t="s">
        <v>2145</v>
      </c>
      <c r="F55" s="15" t="s">
        <v>1799</v>
      </c>
      <c r="G55" s="16" t="s">
        <v>2049</v>
      </c>
      <c r="H55" s="12" t="s">
        <v>34</v>
      </c>
      <c r="I55" s="14" t="s">
        <v>1891</v>
      </c>
      <c r="J55" s="16">
        <v>3.0</v>
      </c>
      <c r="K55" s="16" t="s">
        <v>1885</v>
      </c>
      <c r="L55" s="44" t="s">
        <v>2146</v>
      </c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>
        <f t="shared" si="3"/>
        <v>0</v>
      </c>
      <c r="BD55" s="18">
        <f t="shared" si="4"/>
        <v>0</v>
      </c>
      <c r="BE55" s="18">
        <f t="shared" si="5"/>
        <v>0</v>
      </c>
      <c r="BF55" s="18">
        <f t="shared" si="6"/>
        <v>0</v>
      </c>
      <c r="BG55" s="15"/>
      <c r="BH55" s="15"/>
      <c r="BI55" s="15"/>
      <c r="BJ55" s="12" t="str">
        <f t="shared" ref="BJ55:BK55" si="58">H55</f>
        <v>A</v>
      </c>
      <c r="BK55" s="12" t="str">
        <f t="shared" si="58"/>
        <v>A-8</v>
      </c>
      <c r="BL55" s="32">
        <v>613000.0</v>
      </c>
    </row>
    <row r="56">
      <c r="A56" s="45">
        <f t="shared" si="2"/>
        <v>54</v>
      </c>
      <c r="B56" s="46" t="s">
        <v>2147</v>
      </c>
      <c r="C56" s="45">
        <v>2.024070743E9</v>
      </c>
      <c r="D56" s="46" t="s">
        <v>1485</v>
      </c>
      <c r="E56" s="46" t="s">
        <v>2148</v>
      </c>
      <c r="F56" s="46" t="s">
        <v>2149</v>
      </c>
      <c r="G56" s="47" t="s">
        <v>2049</v>
      </c>
      <c r="H56" s="45" t="s">
        <v>34</v>
      </c>
      <c r="I56" s="48" t="s">
        <v>1891</v>
      </c>
      <c r="J56" s="47">
        <v>3.0</v>
      </c>
      <c r="K56" s="47" t="s">
        <v>1885</v>
      </c>
      <c r="L56" s="49" t="s">
        <v>2150</v>
      </c>
      <c r="M56" s="50">
        <v>600000.0</v>
      </c>
      <c r="N56" s="50">
        <v>200000.0</v>
      </c>
      <c r="O56" s="50"/>
      <c r="P56" s="50"/>
      <c r="Q56" s="50"/>
      <c r="R56" s="50"/>
      <c r="S56" s="50"/>
      <c r="T56" s="50"/>
      <c r="U56" s="50">
        <v>450000.0</v>
      </c>
      <c r="V56" s="50">
        <v>450000.0</v>
      </c>
      <c r="W56" s="50">
        <v>450000.0</v>
      </c>
      <c r="X56" s="50">
        <v>450000.0</v>
      </c>
      <c r="Y56" s="50">
        <v>450000.0</v>
      </c>
      <c r="Z56" s="50">
        <v>450000.0</v>
      </c>
      <c r="AA56" s="50"/>
      <c r="AB56" s="50">
        <v>500000.0</v>
      </c>
      <c r="AC56" s="50">
        <v>450000.0</v>
      </c>
      <c r="AD56" s="50">
        <v>450000.0</v>
      </c>
      <c r="AE56" s="50">
        <v>450000.0</v>
      </c>
      <c r="AF56" s="50">
        <v>450000.0</v>
      </c>
      <c r="AG56" s="50">
        <v>450000.0</v>
      </c>
      <c r="AH56" s="50">
        <v>450000.0</v>
      </c>
      <c r="AI56" s="50">
        <v>450000.0</v>
      </c>
      <c r="AJ56" s="50">
        <v>450000.0</v>
      </c>
      <c r="AK56" s="50">
        <v>450000.0</v>
      </c>
      <c r="AL56" s="50">
        <v>450000.0</v>
      </c>
      <c r="AM56" s="50">
        <v>450000.0</v>
      </c>
      <c r="AN56" s="50">
        <v>450000.0</v>
      </c>
      <c r="AO56" s="50"/>
      <c r="AP56" s="50">
        <v>500000.0</v>
      </c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>
        <f t="shared" si="3"/>
        <v>8100000</v>
      </c>
      <c r="BD56" s="50">
        <f t="shared" si="4"/>
        <v>1600000</v>
      </c>
      <c r="BE56" s="50">
        <f t="shared" si="5"/>
        <v>0</v>
      </c>
      <c r="BF56" s="50">
        <f t="shared" si="6"/>
        <v>9700000</v>
      </c>
      <c r="BG56" s="46"/>
      <c r="BH56" s="46"/>
      <c r="BI56" s="46"/>
      <c r="BJ56" s="45" t="str">
        <f t="shared" ref="BJ56:BK56" si="59">H56</f>
        <v>A</v>
      </c>
      <c r="BK56" s="45" t="str">
        <f t="shared" si="59"/>
        <v>A-8</v>
      </c>
      <c r="BL56" s="51">
        <v>613000.0</v>
      </c>
    </row>
    <row r="57">
      <c r="A57" s="12">
        <f t="shared" si="2"/>
        <v>55</v>
      </c>
      <c r="B57" s="15" t="s">
        <v>2151</v>
      </c>
      <c r="C57" s="12">
        <v>2.024070648E9</v>
      </c>
      <c r="D57" s="15" t="s">
        <v>2152</v>
      </c>
      <c r="E57" s="15" t="s">
        <v>2153</v>
      </c>
      <c r="F57" s="15" t="s">
        <v>2154</v>
      </c>
      <c r="G57" s="16" t="s">
        <v>1924</v>
      </c>
      <c r="H57" s="12" t="s">
        <v>34</v>
      </c>
      <c r="I57" s="14" t="s">
        <v>1891</v>
      </c>
      <c r="J57" s="16">
        <v>3.0</v>
      </c>
      <c r="K57" s="16" t="s">
        <v>1885</v>
      </c>
      <c r="L57" s="44" t="s">
        <v>2155</v>
      </c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>
        <v>450000.0</v>
      </c>
      <c r="AO57" s="18"/>
      <c r="AP57" s="18">
        <v>500000.0</v>
      </c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>
        <f t="shared" si="3"/>
        <v>450000</v>
      </c>
      <c r="BD57" s="18">
        <f t="shared" si="4"/>
        <v>500000</v>
      </c>
      <c r="BE57" s="18">
        <f t="shared" si="5"/>
        <v>0</v>
      </c>
      <c r="BF57" s="18">
        <f t="shared" si="6"/>
        <v>950000</v>
      </c>
      <c r="BG57" s="15"/>
      <c r="BH57" s="15"/>
      <c r="BI57" s="15"/>
      <c r="BJ57" s="12" t="str">
        <f t="shared" ref="BJ57:BK57" si="60">H57</f>
        <v>A</v>
      </c>
      <c r="BK57" s="12" t="str">
        <f t="shared" si="60"/>
        <v>A-8</v>
      </c>
      <c r="BL57" s="32">
        <v>613000.0</v>
      </c>
    </row>
    <row r="58">
      <c r="A58" s="45">
        <f t="shared" si="2"/>
        <v>56</v>
      </c>
      <c r="B58" s="46" t="s">
        <v>2156</v>
      </c>
      <c r="C58" s="45">
        <v>2.024070558E9</v>
      </c>
      <c r="D58" s="46" t="s">
        <v>2157</v>
      </c>
      <c r="E58" s="46" t="s">
        <v>2158</v>
      </c>
      <c r="F58" s="46" t="s">
        <v>2159</v>
      </c>
      <c r="G58" s="47" t="s">
        <v>1924</v>
      </c>
      <c r="H58" s="45" t="s">
        <v>34</v>
      </c>
      <c r="I58" s="48" t="s">
        <v>1891</v>
      </c>
      <c r="J58" s="47">
        <v>3.0</v>
      </c>
      <c r="K58" s="47" t="s">
        <v>1885</v>
      </c>
      <c r="L58" s="49" t="s">
        <v>2160</v>
      </c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>
        <f t="shared" si="3"/>
        <v>0</v>
      </c>
      <c r="BD58" s="50">
        <f t="shared" si="4"/>
        <v>0</v>
      </c>
      <c r="BE58" s="50">
        <f t="shared" si="5"/>
        <v>0</v>
      </c>
      <c r="BF58" s="50">
        <f t="shared" si="6"/>
        <v>0</v>
      </c>
      <c r="BG58" s="46"/>
      <c r="BH58" s="46"/>
      <c r="BI58" s="46"/>
      <c r="BJ58" s="45" t="str">
        <f t="shared" ref="BJ58:BK58" si="61">H58</f>
        <v>A</v>
      </c>
      <c r="BK58" s="45" t="str">
        <f t="shared" si="61"/>
        <v>A-8</v>
      </c>
      <c r="BL58" s="51">
        <v>613000.0</v>
      </c>
    </row>
    <row r="59">
      <c r="A59" s="12">
        <f t="shared" si="2"/>
        <v>57</v>
      </c>
      <c r="B59" s="15" t="s">
        <v>2161</v>
      </c>
      <c r="C59" s="12">
        <v>2.024070535E9</v>
      </c>
      <c r="D59" s="15" t="s">
        <v>2162</v>
      </c>
      <c r="E59" s="15" t="s">
        <v>952</v>
      </c>
      <c r="F59" s="15" t="s">
        <v>1521</v>
      </c>
      <c r="G59" s="16" t="s">
        <v>1883</v>
      </c>
      <c r="H59" s="12" t="s">
        <v>34</v>
      </c>
      <c r="I59" s="14" t="s">
        <v>1891</v>
      </c>
      <c r="J59" s="16">
        <v>3.0</v>
      </c>
      <c r="K59" s="16" t="s">
        <v>1885</v>
      </c>
      <c r="L59" s="44" t="s">
        <v>2163</v>
      </c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>
        <v>500000.0</v>
      </c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>
        <f t="shared" si="3"/>
        <v>0</v>
      </c>
      <c r="BD59" s="18">
        <f t="shared" si="4"/>
        <v>500000</v>
      </c>
      <c r="BE59" s="18">
        <f t="shared" si="5"/>
        <v>0</v>
      </c>
      <c r="BF59" s="18">
        <f t="shared" si="6"/>
        <v>500000</v>
      </c>
      <c r="BG59" s="15"/>
      <c r="BH59" s="15"/>
      <c r="BI59" s="15"/>
      <c r="BJ59" s="12" t="str">
        <f t="shared" ref="BJ59:BK59" si="62">H59</f>
        <v>A</v>
      </c>
      <c r="BK59" s="12" t="str">
        <f t="shared" si="62"/>
        <v>A-8</v>
      </c>
      <c r="BL59" s="32">
        <v>613000.0</v>
      </c>
    </row>
    <row r="60">
      <c r="A60" s="45">
        <f t="shared" si="2"/>
        <v>58</v>
      </c>
      <c r="B60" s="46" t="s">
        <v>2164</v>
      </c>
      <c r="C60" s="45">
        <v>2.024070496E9</v>
      </c>
      <c r="D60" s="46" t="s">
        <v>2165</v>
      </c>
      <c r="E60" s="46" t="s">
        <v>2166</v>
      </c>
      <c r="F60" s="46" t="s">
        <v>1906</v>
      </c>
      <c r="G60" s="47" t="s">
        <v>1924</v>
      </c>
      <c r="H60" s="45" t="s">
        <v>34</v>
      </c>
      <c r="I60" s="48" t="s">
        <v>1891</v>
      </c>
      <c r="J60" s="47">
        <v>3.0</v>
      </c>
      <c r="K60" s="47" t="s">
        <v>1898</v>
      </c>
      <c r="L60" s="49" t="s">
        <v>2167</v>
      </c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>
        <f t="shared" si="3"/>
        <v>0</v>
      </c>
      <c r="BD60" s="50">
        <f t="shared" si="4"/>
        <v>0</v>
      </c>
      <c r="BE60" s="50">
        <f t="shared" si="5"/>
        <v>0</v>
      </c>
      <c r="BF60" s="50">
        <f t="shared" si="6"/>
        <v>0</v>
      </c>
      <c r="BG60" s="46"/>
      <c r="BH60" s="46"/>
      <c r="BI60" s="46"/>
      <c r="BJ60" s="45" t="str">
        <f t="shared" ref="BJ60:BK60" si="63">H60</f>
        <v>A</v>
      </c>
      <c r="BK60" s="45" t="str">
        <f t="shared" si="63"/>
        <v>A-8</v>
      </c>
      <c r="BL60" s="51">
        <v>613000.0</v>
      </c>
    </row>
    <row r="61">
      <c r="A61" s="12">
        <f t="shared" si="2"/>
        <v>59</v>
      </c>
      <c r="B61" s="15" t="s">
        <v>2168</v>
      </c>
      <c r="C61" s="12">
        <v>2.024070451E9</v>
      </c>
      <c r="D61" s="15" t="s">
        <v>2169</v>
      </c>
      <c r="E61" s="15" t="s">
        <v>2170</v>
      </c>
      <c r="F61" s="15" t="s">
        <v>2171</v>
      </c>
      <c r="G61" s="16" t="s">
        <v>1917</v>
      </c>
      <c r="H61" s="12" t="s">
        <v>34</v>
      </c>
      <c r="I61" s="14" t="s">
        <v>152</v>
      </c>
      <c r="J61" s="16">
        <v>3.0</v>
      </c>
      <c r="K61" s="12" t="s">
        <v>1918</v>
      </c>
      <c r="L61" s="44" t="s">
        <v>2172</v>
      </c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>
        <f t="shared" si="3"/>
        <v>0</v>
      </c>
      <c r="BD61" s="18">
        <f t="shared" si="4"/>
        <v>0</v>
      </c>
      <c r="BE61" s="18">
        <f t="shared" si="5"/>
        <v>0</v>
      </c>
      <c r="BF61" s="18">
        <f t="shared" si="6"/>
        <v>0</v>
      </c>
      <c r="BG61" s="15"/>
      <c r="BH61" s="15"/>
      <c r="BI61" s="15"/>
      <c r="BJ61" s="12" t="str">
        <f t="shared" ref="BJ61:BK61" si="64">H61</f>
        <v>A</v>
      </c>
      <c r="BK61" s="12" t="str">
        <f t="shared" si="64"/>
        <v>A-13</v>
      </c>
      <c r="BL61" s="32">
        <v>546500.0</v>
      </c>
    </row>
    <row r="62">
      <c r="A62" s="45">
        <f t="shared" si="2"/>
        <v>60</v>
      </c>
      <c r="B62" s="46" t="s">
        <v>2173</v>
      </c>
      <c r="C62" s="45">
        <v>2.024070588E9</v>
      </c>
      <c r="D62" s="46" t="s">
        <v>2174</v>
      </c>
      <c r="E62" s="46" t="s">
        <v>2175</v>
      </c>
      <c r="F62" s="46" t="s">
        <v>2176</v>
      </c>
      <c r="G62" s="47" t="s">
        <v>1897</v>
      </c>
      <c r="H62" s="45" t="s">
        <v>34</v>
      </c>
      <c r="I62" s="48" t="s">
        <v>1891</v>
      </c>
      <c r="J62" s="47">
        <v>3.0</v>
      </c>
      <c r="K62" s="47" t="s">
        <v>1885</v>
      </c>
      <c r="L62" s="49" t="s">
        <v>2177</v>
      </c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>
        <f t="shared" si="3"/>
        <v>0</v>
      </c>
      <c r="BD62" s="50">
        <f t="shared" si="4"/>
        <v>0</v>
      </c>
      <c r="BE62" s="50">
        <f t="shared" si="5"/>
        <v>0</v>
      </c>
      <c r="BF62" s="50">
        <f t="shared" si="6"/>
        <v>0</v>
      </c>
      <c r="BG62" s="46"/>
      <c r="BH62" s="46"/>
      <c r="BI62" s="46"/>
      <c r="BJ62" s="45" t="str">
        <f t="shared" ref="BJ62:BK62" si="65">H62</f>
        <v>A</v>
      </c>
      <c r="BK62" s="45" t="str">
        <f t="shared" si="65"/>
        <v>A-8</v>
      </c>
      <c r="BL62" s="51">
        <v>613000.0</v>
      </c>
    </row>
    <row r="63">
      <c r="A63" s="12">
        <f t="shared" si="2"/>
        <v>61</v>
      </c>
      <c r="B63" s="15" t="s">
        <v>2178</v>
      </c>
      <c r="C63" s="12">
        <v>2.024070725E9</v>
      </c>
      <c r="D63" s="15" t="s">
        <v>2179</v>
      </c>
      <c r="E63" s="15" t="s">
        <v>2180</v>
      </c>
      <c r="F63" s="15" t="s">
        <v>2181</v>
      </c>
      <c r="G63" s="16" t="s">
        <v>2028</v>
      </c>
      <c r="H63" s="12" t="s">
        <v>34</v>
      </c>
      <c r="I63" s="14" t="s">
        <v>152</v>
      </c>
      <c r="J63" s="16">
        <v>3.0</v>
      </c>
      <c r="K63" s="12" t="s">
        <v>1918</v>
      </c>
      <c r="L63" s="44" t="s">
        <v>2182</v>
      </c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>
        <f t="shared" si="3"/>
        <v>0</v>
      </c>
      <c r="BD63" s="18">
        <f t="shared" si="4"/>
        <v>0</v>
      </c>
      <c r="BE63" s="18">
        <f t="shared" si="5"/>
        <v>0</v>
      </c>
      <c r="BF63" s="18">
        <f t="shared" si="6"/>
        <v>0</v>
      </c>
      <c r="BG63" s="15"/>
      <c r="BH63" s="15"/>
      <c r="BI63" s="15"/>
      <c r="BJ63" s="12" t="str">
        <f t="shared" ref="BJ63:BK63" si="66">H63</f>
        <v>A</v>
      </c>
      <c r="BK63" s="12" t="str">
        <f t="shared" si="66"/>
        <v>A-13</v>
      </c>
      <c r="BL63" s="32">
        <v>546500.0</v>
      </c>
    </row>
    <row r="64">
      <c r="A64" s="45">
        <f t="shared" si="2"/>
        <v>62</v>
      </c>
      <c r="B64" s="46" t="s">
        <v>2183</v>
      </c>
      <c r="C64" s="45">
        <v>2.024070479E9</v>
      </c>
      <c r="D64" s="46" t="s">
        <v>1807</v>
      </c>
      <c r="E64" s="46" t="s">
        <v>2184</v>
      </c>
      <c r="F64" s="46" t="s">
        <v>2083</v>
      </c>
      <c r="G64" s="47" t="s">
        <v>1929</v>
      </c>
      <c r="H64" s="45" t="s">
        <v>34</v>
      </c>
      <c r="I64" s="48" t="s">
        <v>1891</v>
      </c>
      <c r="J64" s="47">
        <v>3.0</v>
      </c>
      <c r="K64" s="47" t="s">
        <v>1898</v>
      </c>
      <c r="L64" s="49" t="s">
        <v>2185</v>
      </c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>
        <f t="shared" si="3"/>
        <v>0</v>
      </c>
      <c r="BD64" s="50">
        <f t="shared" si="4"/>
        <v>0</v>
      </c>
      <c r="BE64" s="50">
        <f t="shared" si="5"/>
        <v>0</v>
      </c>
      <c r="BF64" s="50">
        <f t="shared" si="6"/>
        <v>0</v>
      </c>
      <c r="BG64" s="46"/>
      <c r="BH64" s="46"/>
      <c r="BI64" s="46"/>
      <c r="BJ64" s="45" t="str">
        <f t="shared" ref="BJ64:BK64" si="67">H64</f>
        <v>A</v>
      </c>
      <c r="BK64" s="45" t="str">
        <f t="shared" si="67"/>
        <v>A-8</v>
      </c>
      <c r="BL64" s="51">
        <v>613000.0</v>
      </c>
    </row>
    <row r="65">
      <c r="A65" s="12">
        <f t="shared" si="2"/>
        <v>63</v>
      </c>
      <c r="B65" s="15" t="s">
        <v>2186</v>
      </c>
      <c r="C65" s="12">
        <v>2.024070468E9</v>
      </c>
      <c r="D65" s="15" t="s">
        <v>2187</v>
      </c>
      <c r="E65" s="15" t="s">
        <v>2188</v>
      </c>
      <c r="F65" s="15" t="s">
        <v>2189</v>
      </c>
      <c r="G65" s="16" t="s">
        <v>1897</v>
      </c>
      <c r="H65" s="12" t="s">
        <v>34</v>
      </c>
      <c r="I65" s="14" t="s">
        <v>1891</v>
      </c>
      <c r="J65" s="16">
        <v>3.0</v>
      </c>
      <c r="K65" s="16" t="s">
        <v>1898</v>
      </c>
      <c r="L65" s="44" t="s">
        <v>2190</v>
      </c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>
        <v>450000.0</v>
      </c>
      <c r="AO65" s="18"/>
      <c r="AP65" s="18">
        <v>500000.0</v>
      </c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>
        <f t="shared" si="3"/>
        <v>450000</v>
      </c>
      <c r="BD65" s="18">
        <f t="shared" si="4"/>
        <v>500000</v>
      </c>
      <c r="BE65" s="18">
        <f t="shared" si="5"/>
        <v>0</v>
      </c>
      <c r="BF65" s="18">
        <f t="shared" si="6"/>
        <v>950000</v>
      </c>
      <c r="BG65" s="15"/>
      <c r="BH65" s="15"/>
      <c r="BI65" s="15"/>
      <c r="BJ65" s="12" t="str">
        <f t="shared" ref="BJ65:BK65" si="68">H65</f>
        <v>A</v>
      </c>
      <c r="BK65" s="12" t="str">
        <f t="shared" si="68"/>
        <v>A-8</v>
      </c>
      <c r="BL65" s="32">
        <v>613000.0</v>
      </c>
    </row>
    <row r="66">
      <c r="A66" s="45">
        <f t="shared" si="2"/>
        <v>64</v>
      </c>
      <c r="B66" s="46" t="s">
        <v>2191</v>
      </c>
      <c r="C66" s="45">
        <v>2.024070516E9</v>
      </c>
      <c r="D66" s="46" t="s">
        <v>2192</v>
      </c>
      <c r="E66" s="46" t="s">
        <v>2193</v>
      </c>
      <c r="F66" s="46" t="s">
        <v>2194</v>
      </c>
      <c r="G66" s="47" t="s">
        <v>1940</v>
      </c>
      <c r="H66" s="45" t="s">
        <v>34</v>
      </c>
      <c r="I66" s="48" t="s">
        <v>1891</v>
      </c>
      <c r="J66" s="47">
        <v>3.0</v>
      </c>
      <c r="K66" s="47" t="s">
        <v>1898</v>
      </c>
      <c r="L66" s="49" t="s">
        <v>2195</v>
      </c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>
        <v>500000.0</v>
      </c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>
        <f t="shared" si="3"/>
        <v>0</v>
      </c>
      <c r="BD66" s="50">
        <f t="shared" si="4"/>
        <v>500000</v>
      </c>
      <c r="BE66" s="50">
        <f t="shared" si="5"/>
        <v>0</v>
      </c>
      <c r="BF66" s="50">
        <f t="shared" si="6"/>
        <v>500000</v>
      </c>
      <c r="BG66" s="46"/>
      <c r="BH66" s="46"/>
      <c r="BI66" s="46"/>
      <c r="BJ66" s="45" t="str">
        <f t="shared" ref="BJ66:BK66" si="69">H66</f>
        <v>A</v>
      </c>
      <c r="BK66" s="45" t="str">
        <f t="shared" si="69"/>
        <v>A-8</v>
      </c>
      <c r="BL66" s="51">
        <v>613000.0</v>
      </c>
    </row>
    <row r="67">
      <c r="A67" s="12">
        <f t="shared" si="2"/>
        <v>65</v>
      </c>
      <c r="B67" s="15" t="s">
        <v>2196</v>
      </c>
      <c r="C67" s="12">
        <v>2.024070478E9</v>
      </c>
      <c r="D67" s="15" t="s">
        <v>2197</v>
      </c>
      <c r="E67" s="15" t="s">
        <v>2198</v>
      </c>
      <c r="F67" s="15" t="s">
        <v>2199</v>
      </c>
      <c r="G67" s="16" t="s">
        <v>1883</v>
      </c>
      <c r="H67" s="12" t="s">
        <v>34</v>
      </c>
      <c r="I67" s="14" t="s">
        <v>1891</v>
      </c>
      <c r="J67" s="16">
        <v>3.0</v>
      </c>
      <c r="K67" s="16" t="s">
        <v>1898</v>
      </c>
      <c r="L67" s="44" t="s">
        <v>2200</v>
      </c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>
        <f t="shared" si="3"/>
        <v>0</v>
      </c>
      <c r="BD67" s="18">
        <f t="shared" si="4"/>
        <v>0</v>
      </c>
      <c r="BE67" s="18">
        <f t="shared" si="5"/>
        <v>0</v>
      </c>
      <c r="BF67" s="18">
        <f t="shared" si="6"/>
        <v>0</v>
      </c>
      <c r="BG67" s="15"/>
      <c r="BH67" s="15"/>
      <c r="BI67" s="15"/>
      <c r="BJ67" s="12" t="str">
        <f t="shared" ref="BJ67:BK67" si="70">H67</f>
        <v>A</v>
      </c>
      <c r="BK67" s="12" t="str">
        <f t="shared" si="70"/>
        <v>A-8</v>
      </c>
      <c r="BL67" s="32">
        <v>613000.0</v>
      </c>
    </row>
    <row r="68">
      <c r="A68" s="45">
        <f t="shared" si="2"/>
        <v>66</v>
      </c>
      <c r="B68" s="46" t="s">
        <v>2201</v>
      </c>
      <c r="C68" s="45">
        <v>2.024070587E9</v>
      </c>
      <c r="D68" s="46" t="s">
        <v>2202</v>
      </c>
      <c r="E68" s="46" t="s">
        <v>2203</v>
      </c>
      <c r="F68" s="46" t="s">
        <v>2204</v>
      </c>
      <c r="G68" s="47" t="s">
        <v>1917</v>
      </c>
      <c r="H68" s="45" t="s">
        <v>34</v>
      </c>
      <c r="I68" s="48" t="s">
        <v>1884</v>
      </c>
      <c r="J68" s="47">
        <v>3.0</v>
      </c>
      <c r="K68" s="47" t="s">
        <v>1885</v>
      </c>
      <c r="L68" s="49" t="s">
        <v>2205</v>
      </c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>
        <f t="shared" si="3"/>
        <v>0</v>
      </c>
      <c r="BD68" s="50">
        <f t="shared" si="4"/>
        <v>0</v>
      </c>
      <c r="BE68" s="50">
        <f t="shared" si="5"/>
        <v>0</v>
      </c>
      <c r="BF68" s="50">
        <f t="shared" si="6"/>
        <v>0</v>
      </c>
      <c r="BG68" s="46"/>
      <c r="BH68" s="46"/>
      <c r="BI68" s="46"/>
      <c r="BJ68" s="45" t="str">
        <f t="shared" ref="BJ68:BK68" si="71">H68</f>
        <v>A</v>
      </c>
      <c r="BK68" s="45" t="str">
        <f t="shared" si="71"/>
        <v>A-7</v>
      </c>
      <c r="BL68" s="51">
        <v>613000.0</v>
      </c>
    </row>
    <row r="69">
      <c r="A69" s="12">
        <f t="shared" si="2"/>
        <v>67</v>
      </c>
      <c r="B69" s="15" t="s">
        <v>2206</v>
      </c>
      <c r="C69" s="12">
        <v>2.024070592E9</v>
      </c>
      <c r="D69" s="15" t="s">
        <v>2207</v>
      </c>
      <c r="E69" s="15" t="s">
        <v>2208</v>
      </c>
      <c r="F69" s="15" t="s">
        <v>2209</v>
      </c>
      <c r="G69" s="16" t="s">
        <v>1929</v>
      </c>
      <c r="H69" s="12" t="s">
        <v>34</v>
      </c>
      <c r="I69" s="14" t="s">
        <v>1884</v>
      </c>
      <c r="J69" s="16">
        <v>3.0</v>
      </c>
      <c r="K69" s="16" t="s">
        <v>1885</v>
      </c>
      <c r="L69" s="44" t="s">
        <v>2210</v>
      </c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>
        <v>450000.0</v>
      </c>
      <c r="AM69" s="18">
        <v>450000.0</v>
      </c>
      <c r="AN69" s="18">
        <v>450000.0</v>
      </c>
      <c r="AO69" s="18"/>
      <c r="AP69" s="18">
        <v>500000.0</v>
      </c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>
        <f t="shared" si="3"/>
        <v>1350000</v>
      </c>
      <c r="BD69" s="18">
        <f t="shared" si="4"/>
        <v>500000</v>
      </c>
      <c r="BE69" s="18">
        <f t="shared" si="5"/>
        <v>0</v>
      </c>
      <c r="BF69" s="18">
        <f t="shared" si="6"/>
        <v>1850000</v>
      </c>
      <c r="BG69" s="15"/>
      <c r="BH69" s="15"/>
      <c r="BI69" s="15"/>
      <c r="BJ69" s="12" t="str">
        <f t="shared" ref="BJ69:BK69" si="72">H69</f>
        <v>A</v>
      </c>
      <c r="BK69" s="12" t="str">
        <f t="shared" si="72"/>
        <v>A-7</v>
      </c>
      <c r="BL69" s="32">
        <v>613000.0</v>
      </c>
    </row>
    <row r="70">
      <c r="A70" s="45">
        <f t="shared" si="2"/>
        <v>68</v>
      </c>
      <c r="B70" s="46" t="s">
        <v>2211</v>
      </c>
      <c r="C70" s="45">
        <v>2.024070453E9</v>
      </c>
      <c r="D70" s="46" t="s">
        <v>2212</v>
      </c>
      <c r="E70" s="46" t="s">
        <v>2213</v>
      </c>
      <c r="F70" s="46" t="s">
        <v>2214</v>
      </c>
      <c r="G70" s="47" t="s">
        <v>1883</v>
      </c>
      <c r="H70" s="45" t="s">
        <v>34</v>
      </c>
      <c r="I70" s="48" t="s">
        <v>1884</v>
      </c>
      <c r="J70" s="47">
        <v>3.0</v>
      </c>
      <c r="K70" s="47" t="s">
        <v>1898</v>
      </c>
      <c r="L70" s="49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>
        <v>500000.0</v>
      </c>
      <c r="AC70" s="50"/>
      <c r="AD70" s="50"/>
      <c r="AE70" s="50"/>
      <c r="AF70" s="50"/>
      <c r="AG70" s="50"/>
      <c r="AH70" s="50">
        <v>450000.0</v>
      </c>
      <c r="AI70" s="50">
        <v>450000.0</v>
      </c>
      <c r="AJ70" s="50">
        <v>450000.0</v>
      </c>
      <c r="AK70" s="50">
        <v>450000.0</v>
      </c>
      <c r="AL70" s="50">
        <v>450000.0</v>
      </c>
      <c r="AM70" s="50">
        <v>450000.0</v>
      </c>
      <c r="AN70" s="50">
        <v>450000.0</v>
      </c>
      <c r="AO70" s="50"/>
      <c r="AP70" s="50">
        <v>500000.0</v>
      </c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>
        <f t="shared" si="3"/>
        <v>3150000</v>
      </c>
      <c r="BD70" s="50">
        <f t="shared" si="4"/>
        <v>1000000</v>
      </c>
      <c r="BE70" s="50">
        <f t="shared" si="5"/>
        <v>0</v>
      </c>
      <c r="BF70" s="50">
        <f t="shared" si="6"/>
        <v>4150000</v>
      </c>
      <c r="BG70" s="46"/>
      <c r="BH70" s="46"/>
      <c r="BI70" s="46"/>
      <c r="BJ70" s="45" t="str">
        <f t="shared" ref="BJ70:BK70" si="73">H70</f>
        <v>A</v>
      </c>
      <c r="BK70" s="45" t="str">
        <f t="shared" si="73"/>
        <v>A-7</v>
      </c>
      <c r="BL70" s="51">
        <v>613000.0</v>
      </c>
    </row>
    <row r="71">
      <c r="A71" s="12">
        <f t="shared" si="2"/>
        <v>69</v>
      </c>
      <c r="B71" s="15" t="s">
        <v>2215</v>
      </c>
      <c r="C71" s="12">
        <v>2.024070616E9</v>
      </c>
      <c r="D71" s="15" t="s">
        <v>2216</v>
      </c>
      <c r="E71" s="15" t="s">
        <v>2217</v>
      </c>
      <c r="F71" s="15" t="s">
        <v>2218</v>
      </c>
      <c r="G71" s="16" t="s">
        <v>1883</v>
      </c>
      <c r="H71" s="12" t="s">
        <v>34</v>
      </c>
      <c r="I71" s="14" t="s">
        <v>1884</v>
      </c>
      <c r="J71" s="16">
        <v>3.0</v>
      </c>
      <c r="K71" s="16" t="s">
        <v>1885</v>
      </c>
      <c r="L71" s="44" t="s">
        <v>2219</v>
      </c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>
        <v>500000.0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>
        <v>450000.0</v>
      </c>
      <c r="AN71" s="18">
        <v>450000.0</v>
      </c>
      <c r="AO71" s="18"/>
      <c r="AP71" s="18">
        <v>500000.0</v>
      </c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>
        <f t="shared" si="3"/>
        <v>900000</v>
      </c>
      <c r="BD71" s="18">
        <f t="shared" si="4"/>
        <v>1000000</v>
      </c>
      <c r="BE71" s="18">
        <f t="shared" si="5"/>
        <v>0</v>
      </c>
      <c r="BF71" s="18">
        <f t="shared" si="6"/>
        <v>1900000</v>
      </c>
      <c r="BG71" s="15"/>
      <c r="BH71" s="15"/>
      <c r="BI71" s="15"/>
      <c r="BJ71" s="12" t="str">
        <f t="shared" ref="BJ71:BK71" si="74">H71</f>
        <v>A</v>
      </c>
      <c r="BK71" s="12" t="str">
        <f t="shared" si="74"/>
        <v>A-7</v>
      </c>
      <c r="BL71" s="32">
        <v>613000.0</v>
      </c>
    </row>
    <row r="72">
      <c r="A72" s="45">
        <f t="shared" si="2"/>
        <v>70</v>
      </c>
      <c r="B72" s="46" t="s">
        <v>2220</v>
      </c>
      <c r="C72" s="45">
        <v>2.024070741E9</v>
      </c>
      <c r="D72" s="46" t="s">
        <v>2221</v>
      </c>
      <c r="E72" s="46" t="s">
        <v>2222</v>
      </c>
      <c r="F72" s="46" t="s">
        <v>2223</v>
      </c>
      <c r="G72" s="47" t="s">
        <v>1940</v>
      </c>
      <c r="H72" s="45" t="s">
        <v>34</v>
      </c>
      <c r="I72" s="48" t="s">
        <v>1891</v>
      </c>
      <c r="J72" s="47">
        <v>3.0</v>
      </c>
      <c r="K72" s="47" t="s">
        <v>1885</v>
      </c>
      <c r="L72" s="49" t="s">
        <v>2224</v>
      </c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>
        <f t="shared" si="3"/>
        <v>0</v>
      </c>
      <c r="BD72" s="50">
        <f t="shared" si="4"/>
        <v>0</v>
      </c>
      <c r="BE72" s="50">
        <f t="shared" si="5"/>
        <v>0</v>
      </c>
      <c r="BF72" s="50">
        <f t="shared" si="6"/>
        <v>0</v>
      </c>
      <c r="BG72" s="46"/>
      <c r="BH72" s="46"/>
      <c r="BI72" s="46"/>
      <c r="BJ72" s="45" t="str">
        <f t="shared" ref="BJ72:BK72" si="75">H72</f>
        <v>A</v>
      </c>
      <c r="BK72" s="45" t="str">
        <f t="shared" si="75"/>
        <v>A-8</v>
      </c>
      <c r="BL72" s="51">
        <v>613000.0</v>
      </c>
    </row>
    <row r="73">
      <c r="A73" s="12">
        <f t="shared" si="2"/>
        <v>71</v>
      </c>
      <c r="B73" s="15" t="s">
        <v>2225</v>
      </c>
      <c r="C73" s="12">
        <v>2.024070719E9</v>
      </c>
      <c r="D73" s="15" t="s">
        <v>2226</v>
      </c>
      <c r="E73" s="15" t="s">
        <v>2227</v>
      </c>
      <c r="F73" s="15" t="s">
        <v>2228</v>
      </c>
      <c r="G73" s="16" t="s">
        <v>2229</v>
      </c>
      <c r="H73" s="12" t="s">
        <v>34</v>
      </c>
      <c r="I73" s="14" t="s">
        <v>2230</v>
      </c>
      <c r="J73" s="16">
        <v>3.0</v>
      </c>
      <c r="K73" s="16" t="s">
        <v>2231</v>
      </c>
      <c r="L73" s="44" t="s">
        <v>2232</v>
      </c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>
        <v>450000.0</v>
      </c>
      <c r="AN73" s="18">
        <v>450000.0</v>
      </c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>
        <f t="shared" si="3"/>
        <v>900000</v>
      </c>
      <c r="BD73" s="18">
        <f t="shared" si="4"/>
        <v>0</v>
      </c>
      <c r="BE73" s="18">
        <f t="shared" si="5"/>
        <v>0</v>
      </c>
      <c r="BF73" s="18">
        <f t="shared" si="6"/>
        <v>900000</v>
      </c>
      <c r="BG73" s="15"/>
      <c r="BH73" s="15"/>
      <c r="BI73" s="15"/>
      <c r="BJ73" s="12" t="str">
        <f t="shared" ref="BJ73:BK73" si="76">H73</f>
        <v>A</v>
      </c>
      <c r="BK73" s="12" t="str">
        <f t="shared" si="76"/>
        <v>A-10</v>
      </c>
      <c r="BL73" s="32">
        <v>613000.0</v>
      </c>
    </row>
    <row r="74">
      <c r="A74" s="45">
        <f t="shared" si="2"/>
        <v>72</v>
      </c>
      <c r="B74" s="46" t="s">
        <v>2233</v>
      </c>
      <c r="C74" s="45">
        <v>2.02407006E9</v>
      </c>
      <c r="D74" s="46" t="s">
        <v>2234</v>
      </c>
      <c r="E74" s="46" t="s">
        <v>2235</v>
      </c>
      <c r="F74" s="46" t="s">
        <v>2236</v>
      </c>
      <c r="G74" s="47" t="s">
        <v>2237</v>
      </c>
      <c r="H74" s="45" t="s">
        <v>34</v>
      </c>
      <c r="I74" s="48" t="s">
        <v>2230</v>
      </c>
      <c r="J74" s="47">
        <v>3.0</v>
      </c>
      <c r="K74" s="47" t="s">
        <v>2231</v>
      </c>
      <c r="L74" s="49" t="s">
        <v>2238</v>
      </c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>
        <v>450000.0</v>
      </c>
      <c r="Y74" s="50">
        <v>450000.0</v>
      </c>
      <c r="Z74" s="50">
        <v>450000.0</v>
      </c>
      <c r="AA74" s="50"/>
      <c r="AB74" s="50"/>
      <c r="AC74" s="50">
        <v>450000.0</v>
      </c>
      <c r="AD74" s="50">
        <v>450000.0</v>
      </c>
      <c r="AE74" s="50">
        <v>450000.0</v>
      </c>
      <c r="AF74" s="50">
        <v>450000.0</v>
      </c>
      <c r="AG74" s="50">
        <v>450000.0</v>
      </c>
      <c r="AH74" s="50">
        <v>450000.0</v>
      </c>
      <c r="AI74" s="50">
        <v>450000.0</v>
      </c>
      <c r="AJ74" s="50">
        <v>450000.0</v>
      </c>
      <c r="AK74" s="50">
        <v>450000.0</v>
      </c>
      <c r="AL74" s="50">
        <v>450000.0</v>
      </c>
      <c r="AM74" s="50">
        <v>450000.0</v>
      </c>
      <c r="AN74" s="50">
        <v>450000.0</v>
      </c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>
        <f t="shared" si="3"/>
        <v>6750000</v>
      </c>
      <c r="BD74" s="50">
        <f t="shared" si="4"/>
        <v>0</v>
      </c>
      <c r="BE74" s="50">
        <f t="shared" si="5"/>
        <v>0</v>
      </c>
      <c r="BF74" s="50">
        <f t="shared" si="6"/>
        <v>6750000</v>
      </c>
      <c r="BG74" s="46"/>
      <c r="BH74" s="46"/>
      <c r="BI74" s="46"/>
      <c r="BJ74" s="45" t="str">
        <f t="shared" ref="BJ74:BK74" si="77">H74</f>
        <v>A</v>
      </c>
      <c r="BK74" s="45" t="str">
        <f t="shared" si="77"/>
        <v>A-10</v>
      </c>
      <c r="BL74" s="51">
        <v>613000.0</v>
      </c>
    </row>
    <row r="75">
      <c r="A75" s="12">
        <f t="shared" si="2"/>
        <v>73</v>
      </c>
      <c r="B75" s="15" t="s">
        <v>2239</v>
      </c>
      <c r="C75" s="12">
        <v>2.024070402E9</v>
      </c>
      <c r="D75" s="15" t="s">
        <v>2240</v>
      </c>
      <c r="E75" s="15" t="s">
        <v>2241</v>
      </c>
      <c r="F75" s="15" t="s">
        <v>2242</v>
      </c>
      <c r="G75" s="16" t="s">
        <v>2243</v>
      </c>
      <c r="H75" s="12" t="s">
        <v>34</v>
      </c>
      <c r="I75" s="14" t="s">
        <v>2230</v>
      </c>
      <c r="J75" s="16">
        <v>3.0</v>
      </c>
      <c r="K75" s="16" t="s">
        <v>2231</v>
      </c>
      <c r="L75" s="44" t="s">
        <v>2244</v>
      </c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>
        <f t="shared" si="3"/>
        <v>0</v>
      </c>
      <c r="BD75" s="18">
        <f t="shared" si="4"/>
        <v>0</v>
      </c>
      <c r="BE75" s="18">
        <f t="shared" si="5"/>
        <v>0</v>
      </c>
      <c r="BF75" s="18">
        <f t="shared" si="6"/>
        <v>0</v>
      </c>
      <c r="BG75" s="15"/>
      <c r="BH75" s="15"/>
      <c r="BI75" s="15"/>
      <c r="BJ75" s="12" t="str">
        <f t="shared" ref="BJ75:BK75" si="78">H75</f>
        <v>A</v>
      </c>
      <c r="BK75" s="12" t="str">
        <f t="shared" si="78"/>
        <v>A-10</v>
      </c>
      <c r="BL75" s="32">
        <v>613000.0</v>
      </c>
    </row>
    <row r="76">
      <c r="A76" s="45">
        <f t="shared" si="2"/>
        <v>74</v>
      </c>
      <c r="B76" s="46" t="s">
        <v>2245</v>
      </c>
      <c r="C76" s="45">
        <v>2.024070403E9</v>
      </c>
      <c r="D76" s="46" t="s">
        <v>2246</v>
      </c>
      <c r="E76" s="46" t="s">
        <v>2247</v>
      </c>
      <c r="F76" s="46" t="s">
        <v>49</v>
      </c>
      <c r="G76" s="47" t="s">
        <v>2248</v>
      </c>
      <c r="H76" s="45" t="s">
        <v>34</v>
      </c>
      <c r="I76" s="48" t="s">
        <v>50</v>
      </c>
      <c r="J76" s="47">
        <v>3.0</v>
      </c>
      <c r="K76" s="47" t="s">
        <v>2249</v>
      </c>
      <c r="L76" s="49" t="s">
        <v>2250</v>
      </c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>
        <f t="shared" si="3"/>
        <v>0</v>
      </c>
      <c r="BD76" s="50">
        <f t="shared" si="4"/>
        <v>0</v>
      </c>
      <c r="BE76" s="50">
        <f t="shared" si="5"/>
        <v>0</v>
      </c>
      <c r="BF76" s="50">
        <f t="shared" si="6"/>
        <v>0</v>
      </c>
      <c r="BG76" s="46"/>
      <c r="BH76" s="46"/>
      <c r="BI76" s="46"/>
      <c r="BJ76" s="45" t="str">
        <f t="shared" ref="BJ76:BK76" si="79">H76</f>
        <v>A</v>
      </c>
      <c r="BK76" s="45" t="str">
        <f t="shared" si="79"/>
        <v>A-2</v>
      </c>
      <c r="BL76" s="51">
        <v>613000.0</v>
      </c>
    </row>
    <row r="77">
      <c r="A77" s="12">
        <f t="shared" si="2"/>
        <v>75</v>
      </c>
      <c r="B77" s="15" t="s">
        <v>2251</v>
      </c>
      <c r="C77" s="12">
        <v>2.024070404E9</v>
      </c>
      <c r="D77" s="15" t="s">
        <v>2252</v>
      </c>
      <c r="E77" s="15" t="s">
        <v>2253</v>
      </c>
      <c r="F77" s="15" t="s">
        <v>2254</v>
      </c>
      <c r="G77" s="16" t="s">
        <v>2248</v>
      </c>
      <c r="H77" s="12" t="s">
        <v>34</v>
      </c>
      <c r="I77" s="14" t="s">
        <v>50</v>
      </c>
      <c r="J77" s="16">
        <v>3.0</v>
      </c>
      <c r="K77" s="16" t="s">
        <v>2249</v>
      </c>
      <c r="L77" s="44" t="s">
        <v>2255</v>
      </c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>
        <f t="shared" si="3"/>
        <v>0</v>
      </c>
      <c r="BD77" s="18">
        <f t="shared" si="4"/>
        <v>0</v>
      </c>
      <c r="BE77" s="18">
        <f t="shared" si="5"/>
        <v>0</v>
      </c>
      <c r="BF77" s="18">
        <f t="shared" si="6"/>
        <v>0</v>
      </c>
      <c r="BG77" s="15"/>
      <c r="BH77" s="15"/>
      <c r="BI77" s="15"/>
      <c r="BJ77" s="12" t="str">
        <f t="shared" ref="BJ77:BK77" si="80">H77</f>
        <v>A</v>
      </c>
      <c r="BK77" s="12" t="str">
        <f t="shared" si="80"/>
        <v>A-2</v>
      </c>
      <c r="BL77" s="32">
        <v>613000.0</v>
      </c>
    </row>
    <row r="78">
      <c r="A78" s="45">
        <f t="shared" si="2"/>
        <v>76</v>
      </c>
      <c r="B78" s="46" t="s">
        <v>2256</v>
      </c>
      <c r="C78" s="45">
        <v>2.024070306E9</v>
      </c>
      <c r="D78" s="46" t="s">
        <v>2257</v>
      </c>
      <c r="E78" s="46" t="s">
        <v>2258</v>
      </c>
      <c r="F78" s="46" t="s">
        <v>2259</v>
      </c>
      <c r="G78" s="47" t="s">
        <v>2260</v>
      </c>
      <c r="H78" s="45" t="s">
        <v>34</v>
      </c>
      <c r="I78" s="48" t="s">
        <v>2230</v>
      </c>
      <c r="J78" s="47">
        <v>3.0</v>
      </c>
      <c r="K78" s="47" t="s">
        <v>2231</v>
      </c>
      <c r="L78" s="49" t="s">
        <v>2261</v>
      </c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>
        <f t="shared" si="3"/>
        <v>0</v>
      </c>
      <c r="BD78" s="50">
        <f t="shared" si="4"/>
        <v>0</v>
      </c>
      <c r="BE78" s="50">
        <f t="shared" si="5"/>
        <v>0</v>
      </c>
      <c r="BF78" s="50">
        <f t="shared" si="6"/>
        <v>0</v>
      </c>
      <c r="BG78" s="46"/>
      <c r="BH78" s="46"/>
      <c r="BI78" s="46"/>
      <c r="BJ78" s="45" t="str">
        <f t="shared" ref="BJ78:BK78" si="81">H78</f>
        <v>A</v>
      </c>
      <c r="BK78" s="45" t="str">
        <f t="shared" si="81"/>
        <v>A-10</v>
      </c>
      <c r="BL78" s="51">
        <v>613000.0</v>
      </c>
    </row>
    <row r="79">
      <c r="A79" s="12">
        <f t="shared" si="2"/>
        <v>77</v>
      </c>
      <c r="B79" s="15" t="s">
        <v>2262</v>
      </c>
      <c r="C79" s="12">
        <v>2.024070135E9</v>
      </c>
      <c r="D79" s="15" t="s">
        <v>2263</v>
      </c>
      <c r="E79" s="15" t="s">
        <v>2264</v>
      </c>
      <c r="F79" s="15" t="s">
        <v>2265</v>
      </c>
      <c r="G79" s="16" t="s">
        <v>2266</v>
      </c>
      <c r="H79" s="12" t="s">
        <v>34</v>
      </c>
      <c r="I79" s="14" t="s">
        <v>2230</v>
      </c>
      <c r="J79" s="16">
        <v>3.0</v>
      </c>
      <c r="K79" s="16" t="s">
        <v>2231</v>
      </c>
      <c r="L79" s="44" t="s">
        <v>2267</v>
      </c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>
        <f t="shared" si="3"/>
        <v>0</v>
      </c>
      <c r="BD79" s="18">
        <f t="shared" si="4"/>
        <v>0</v>
      </c>
      <c r="BE79" s="18">
        <f t="shared" si="5"/>
        <v>0</v>
      </c>
      <c r="BF79" s="18">
        <f t="shared" si="6"/>
        <v>0</v>
      </c>
      <c r="BG79" s="15"/>
      <c r="BH79" s="15"/>
      <c r="BI79" s="15"/>
      <c r="BJ79" s="12" t="str">
        <f t="shared" ref="BJ79:BK79" si="82">H79</f>
        <v>A</v>
      </c>
      <c r="BK79" s="12" t="str">
        <f t="shared" si="82"/>
        <v>A-10</v>
      </c>
      <c r="BL79" s="32">
        <v>613000.0</v>
      </c>
    </row>
    <row r="80">
      <c r="A80" s="45">
        <f t="shared" si="2"/>
        <v>78</v>
      </c>
      <c r="B80" s="46" t="s">
        <v>2268</v>
      </c>
      <c r="C80" s="45">
        <v>2.024070091E9</v>
      </c>
      <c r="D80" s="46" t="s">
        <v>2269</v>
      </c>
      <c r="E80" s="46" t="s">
        <v>2270</v>
      </c>
      <c r="F80" s="46" t="s">
        <v>2271</v>
      </c>
      <c r="G80" s="47" t="s">
        <v>2272</v>
      </c>
      <c r="H80" s="45" t="s">
        <v>34</v>
      </c>
      <c r="I80" s="48" t="s">
        <v>2230</v>
      </c>
      <c r="J80" s="47">
        <v>3.0</v>
      </c>
      <c r="K80" s="47" t="s">
        <v>2231</v>
      </c>
      <c r="L80" s="49" t="s">
        <v>2273</v>
      </c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>
        <f t="shared" si="3"/>
        <v>0</v>
      </c>
      <c r="BD80" s="50">
        <f t="shared" si="4"/>
        <v>0</v>
      </c>
      <c r="BE80" s="50">
        <f t="shared" si="5"/>
        <v>0</v>
      </c>
      <c r="BF80" s="50">
        <f t="shared" si="6"/>
        <v>0</v>
      </c>
      <c r="BG80" s="46"/>
      <c r="BH80" s="46"/>
      <c r="BI80" s="46"/>
      <c r="BJ80" s="45" t="str">
        <f t="shared" ref="BJ80:BK80" si="83">H80</f>
        <v>A</v>
      </c>
      <c r="BK80" s="45" t="str">
        <f t="shared" si="83"/>
        <v>A-10</v>
      </c>
      <c r="BL80" s="51">
        <v>613000.0</v>
      </c>
    </row>
    <row r="81">
      <c r="A81" s="12">
        <f t="shared" si="2"/>
        <v>79</v>
      </c>
      <c r="B81" s="15" t="s">
        <v>2274</v>
      </c>
      <c r="C81" s="12">
        <v>2.024070718E9</v>
      </c>
      <c r="D81" s="15" t="s">
        <v>2275</v>
      </c>
      <c r="E81" s="15" t="s">
        <v>927</v>
      </c>
      <c r="F81" s="15" t="s">
        <v>2276</v>
      </c>
      <c r="G81" s="16" t="s">
        <v>2277</v>
      </c>
      <c r="H81" s="12" t="s">
        <v>34</v>
      </c>
      <c r="I81" s="14" t="s">
        <v>152</v>
      </c>
      <c r="J81" s="16">
        <v>3.0</v>
      </c>
      <c r="K81" s="12" t="s">
        <v>1918</v>
      </c>
      <c r="L81" s="44" t="s">
        <v>2278</v>
      </c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>
        <v>410000.0</v>
      </c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>
        <f t="shared" si="3"/>
        <v>410000</v>
      </c>
      <c r="BD81" s="18">
        <f t="shared" si="4"/>
        <v>0</v>
      </c>
      <c r="BE81" s="18">
        <f t="shared" si="5"/>
        <v>0</v>
      </c>
      <c r="BF81" s="18">
        <f t="shared" si="6"/>
        <v>410000</v>
      </c>
      <c r="BG81" s="15"/>
      <c r="BH81" s="15"/>
      <c r="BI81" s="15"/>
      <c r="BJ81" s="12" t="str">
        <f t="shared" ref="BJ81:BK81" si="84">H81</f>
        <v>A</v>
      </c>
      <c r="BK81" s="12" t="str">
        <f t="shared" si="84"/>
        <v>A-13</v>
      </c>
      <c r="BL81" s="32">
        <v>546500.0</v>
      </c>
    </row>
    <row r="82">
      <c r="A82" s="45">
        <f t="shared" si="2"/>
        <v>80</v>
      </c>
      <c r="B82" s="46" t="s">
        <v>2279</v>
      </c>
      <c r="C82" s="45">
        <v>2.024070406E9</v>
      </c>
      <c r="D82" s="46" t="s">
        <v>732</v>
      </c>
      <c r="E82" s="46" t="s">
        <v>2280</v>
      </c>
      <c r="F82" s="46" t="s">
        <v>1440</v>
      </c>
      <c r="G82" s="47" t="s">
        <v>2248</v>
      </c>
      <c r="H82" s="45" t="s">
        <v>34</v>
      </c>
      <c r="I82" s="48" t="s">
        <v>50</v>
      </c>
      <c r="J82" s="47">
        <v>3.0</v>
      </c>
      <c r="K82" s="47" t="s">
        <v>2249</v>
      </c>
      <c r="L82" s="49" t="s">
        <v>2281</v>
      </c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>
        <v>450000.0</v>
      </c>
      <c r="AO82" s="50"/>
      <c r="AP82" s="50">
        <v>500000.0</v>
      </c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>
        <f t="shared" si="3"/>
        <v>450000</v>
      </c>
      <c r="BD82" s="50">
        <f t="shared" si="4"/>
        <v>500000</v>
      </c>
      <c r="BE82" s="50">
        <f t="shared" si="5"/>
        <v>0</v>
      </c>
      <c r="BF82" s="50">
        <f t="shared" si="6"/>
        <v>950000</v>
      </c>
      <c r="BG82" s="46"/>
      <c r="BH82" s="46"/>
      <c r="BI82" s="46"/>
      <c r="BJ82" s="45" t="str">
        <f t="shared" ref="BJ82:BK82" si="85">H82</f>
        <v>A</v>
      </c>
      <c r="BK82" s="45" t="str">
        <f t="shared" si="85"/>
        <v>A-2</v>
      </c>
      <c r="BL82" s="51">
        <v>613000.0</v>
      </c>
    </row>
    <row r="83">
      <c r="A83" s="12">
        <f t="shared" si="2"/>
        <v>81</v>
      </c>
      <c r="B83" s="15" t="s">
        <v>2282</v>
      </c>
      <c r="C83" s="12">
        <v>2.024070092E9</v>
      </c>
      <c r="D83" s="15" t="s">
        <v>2283</v>
      </c>
      <c r="E83" s="15" t="s">
        <v>2284</v>
      </c>
      <c r="F83" s="15" t="s">
        <v>2285</v>
      </c>
      <c r="G83" s="16" t="s">
        <v>2272</v>
      </c>
      <c r="H83" s="12" t="s">
        <v>34</v>
      </c>
      <c r="I83" s="14" t="s">
        <v>2230</v>
      </c>
      <c r="J83" s="16">
        <v>3.0</v>
      </c>
      <c r="K83" s="16" t="s">
        <v>2231</v>
      </c>
      <c r="L83" s="44" t="s">
        <v>2286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>
        <v>450000.0</v>
      </c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>
        <f t="shared" si="3"/>
        <v>450000</v>
      </c>
      <c r="BD83" s="18">
        <f t="shared" si="4"/>
        <v>0</v>
      </c>
      <c r="BE83" s="18">
        <f t="shared" si="5"/>
        <v>0</v>
      </c>
      <c r="BF83" s="18">
        <f t="shared" si="6"/>
        <v>450000</v>
      </c>
      <c r="BG83" s="15"/>
      <c r="BH83" s="15"/>
      <c r="BI83" s="15"/>
      <c r="BJ83" s="12" t="str">
        <f t="shared" ref="BJ83:BK83" si="86">H83</f>
        <v>A</v>
      </c>
      <c r="BK83" s="12" t="str">
        <f t="shared" si="86"/>
        <v>A-10</v>
      </c>
      <c r="BL83" s="32">
        <v>613000.0</v>
      </c>
    </row>
    <row r="84">
      <c r="A84" s="45">
        <f t="shared" si="2"/>
        <v>82</v>
      </c>
      <c r="B84" s="46" t="s">
        <v>2287</v>
      </c>
      <c r="C84" s="45">
        <v>2.024070311E9</v>
      </c>
      <c r="D84" s="46" t="s">
        <v>2288</v>
      </c>
      <c r="E84" s="46" t="s">
        <v>2289</v>
      </c>
      <c r="F84" s="46" t="s">
        <v>2290</v>
      </c>
      <c r="G84" s="47" t="s">
        <v>2260</v>
      </c>
      <c r="H84" s="45" t="s">
        <v>34</v>
      </c>
      <c r="I84" s="48" t="s">
        <v>2230</v>
      </c>
      <c r="J84" s="47">
        <v>3.0</v>
      </c>
      <c r="K84" s="47" t="s">
        <v>2231</v>
      </c>
      <c r="L84" s="49" t="s">
        <v>2291</v>
      </c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>
        <f t="shared" si="3"/>
        <v>0</v>
      </c>
      <c r="BD84" s="50">
        <f t="shared" si="4"/>
        <v>0</v>
      </c>
      <c r="BE84" s="50">
        <f t="shared" si="5"/>
        <v>0</v>
      </c>
      <c r="BF84" s="50">
        <f t="shared" si="6"/>
        <v>0</v>
      </c>
      <c r="BG84" s="46"/>
      <c r="BH84" s="46"/>
      <c r="BI84" s="46"/>
      <c r="BJ84" s="45" t="str">
        <f t="shared" ref="BJ84:BK84" si="87">H84</f>
        <v>A</v>
      </c>
      <c r="BK84" s="45" t="str">
        <f t="shared" si="87"/>
        <v>A-10</v>
      </c>
      <c r="BL84" s="51">
        <v>613000.0</v>
      </c>
    </row>
    <row r="85">
      <c r="A85" s="12">
        <f t="shared" si="2"/>
        <v>83</v>
      </c>
      <c r="B85" s="15" t="s">
        <v>2292</v>
      </c>
      <c r="C85" s="12">
        <v>2.024070407E9</v>
      </c>
      <c r="D85" s="15" t="s">
        <v>2293</v>
      </c>
      <c r="E85" s="15" t="s">
        <v>2294</v>
      </c>
      <c r="F85" s="15" t="s">
        <v>2295</v>
      </c>
      <c r="G85" s="16" t="s">
        <v>2243</v>
      </c>
      <c r="H85" s="12" t="s">
        <v>34</v>
      </c>
      <c r="I85" s="14" t="s">
        <v>2230</v>
      </c>
      <c r="J85" s="16">
        <v>3.0</v>
      </c>
      <c r="K85" s="16" t="s">
        <v>2231</v>
      </c>
      <c r="L85" s="44" t="s">
        <v>2296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>
        <v>450000.0</v>
      </c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>
        <f t="shared" si="3"/>
        <v>450000</v>
      </c>
      <c r="BD85" s="18">
        <f t="shared" si="4"/>
        <v>0</v>
      </c>
      <c r="BE85" s="18">
        <f t="shared" si="5"/>
        <v>0</v>
      </c>
      <c r="BF85" s="18">
        <f t="shared" si="6"/>
        <v>450000</v>
      </c>
      <c r="BG85" s="15"/>
      <c r="BH85" s="15"/>
      <c r="BI85" s="15"/>
      <c r="BJ85" s="12" t="str">
        <f t="shared" ref="BJ85:BK85" si="88">H85</f>
        <v>A</v>
      </c>
      <c r="BK85" s="12" t="str">
        <f t="shared" si="88"/>
        <v>A-10</v>
      </c>
      <c r="BL85" s="32">
        <v>613000.0</v>
      </c>
    </row>
    <row r="86">
      <c r="A86" s="45">
        <f t="shared" si="2"/>
        <v>84</v>
      </c>
      <c r="B86" s="46" t="s">
        <v>2297</v>
      </c>
      <c r="C86" s="45">
        <v>2.02407021E9</v>
      </c>
      <c r="D86" s="46" t="s">
        <v>2298</v>
      </c>
      <c r="E86" s="46" t="s">
        <v>2299</v>
      </c>
      <c r="F86" s="46" t="s">
        <v>2300</v>
      </c>
      <c r="G86" s="47" t="s">
        <v>2301</v>
      </c>
      <c r="H86" s="45" t="s">
        <v>34</v>
      </c>
      <c r="I86" s="48" t="s">
        <v>2230</v>
      </c>
      <c r="J86" s="47">
        <v>3.0</v>
      </c>
      <c r="K86" s="47" t="s">
        <v>2231</v>
      </c>
      <c r="L86" s="49" t="s">
        <v>2302</v>
      </c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>
        <f t="shared" si="3"/>
        <v>0</v>
      </c>
      <c r="BD86" s="50">
        <f t="shared" si="4"/>
        <v>0</v>
      </c>
      <c r="BE86" s="50">
        <f t="shared" si="5"/>
        <v>0</v>
      </c>
      <c r="BF86" s="50">
        <f t="shared" si="6"/>
        <v>0</v>
      </c>
      <c r="BG86" s="46"/>
      <c r="BH86" s="46"/>
      <c r="BI86" s="46"/>
      <c r="BJ86" s="45" t="str">
        <f t="shared" ref="BJ86:BK86" si="89">H86</f>
        <v>A</v>
      </c>
      <c r="BK86" s="45" t="str">
        <f t="shared" si="89"/>
        <v>A-10</v>
      </c>
      <c r="BL86" s="51">
        <v>613000.0</v>
      </c>
    </row>
    <row r="87">
      <c r="A87" s="12">
        <f t="shared" si="2"/>
        <v>85</v>
      </c>
      <c r="B87" s="15" t="s">
        <v>2303</v>
      </c>
      <c r="C87" s="12">
        <v>2.024070678E9</v>
      </c>
      <c r="D87" s="15" t="s">
        <v>2304</v>
      </c>
      <c r="E87" s="15" t="s">
        <v>2305</v>
      </c>
      <c r="F87" s="15" t="s">
        <v>2306</v>
      </c>
      <c r="G87" s="16" t="s">
        <v>2229</v>
      </c>
      <c r="H87" s="12" t="s">
        <v>34</v>
      </c>
      <c r="I87" s="14" t="s">
        <v>2230</v>
      </c>
      <c r="J87" s="16">
        <v>3.0</v>
      </c>
      <c r="K87" s="16" t="s">
        <v>2231</v>
      </c>
      <c r="L87" s="44" t="s">
        <v>2307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>
        <v>250000.0</v>
      </c>
      <c r="AB87" s="18"/>
      <c r="AC87" s="18"/>
      <c r="AD87" s="18"/>
      <c r="AE87" s="18"/>
      <c r="AF87" s="18"/>
      <c r="AG87" s="18"/>
      <c r="AH87" s="18">
        <v>270000.0</v>
      </c>
      <c r="AI87" s="18">
        <v>270000.0</v>
      </c>
      <c r="AJ87" s="18">
        <v>270000.0</v>
      </c>
      <c r="AK87" s="18">
        <v>270000.0</v>
      </c>
      <c r="AL87" s="18">
        <v>270000.0</v>
      </c>
      <c r="AM87" s="18">
        <v>270000.0</v>
      </c>
      <c r="AN87" s="18">
        <v>270000.0</v>
      </c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>
        <f t="shared" si="3"/>
        <v>1890000</v>
      </c>
      <c r="BD87" s="18">
        <f t="shared" si="4"/>
        <v>0</v>
      </c>
      <c r="BE87" s="18">
        <f t="shared" si="5"/>
        <v>250000</v>
      </c>
      <c r="BF87" s="18">
        <f t="shared" si="6"/>
        <v>2140000</v>
      </c>
      <c r="BG87" s="15"/>
      <c r="BH87" s="15"/>
      <c r="BI87" s="15"/>
      <c r="BJ87" s="12" t="str">
        <f t="shared" ref="BJ87:BK87" si="90">H87</f>
        <v>A</v>
      </c>
      <c r="BK87" s="12" t="str">
        <f t="shared" si="90"/>
        <v>A-10</v>
      </c>
      <c r="BL87" s="32">
        <v>360000.0</v>
      </c>
    </row>
    <row r="88">
      <c r="A88" s="45">
        <f t="shared" si="2"/>
        <v>86</v>
      </c>
      <c r="B88" s="46" t="s">
        <v>2308</v>
      </c>
      <c r="C88" s="45">
        <v>2.024070676E9</v>
      </c>
      <c r="D88" s="46" t="s">
        <v>1423</v>
      </c>
      <c r="E88" s="46" t="s">
        <v>2309</v>
      </c>
      <c r="F88" s="46" t="s">
        <v>2310</v>
      </c>
      <c r="G88" s="47" t="s">
        <v>2311</v>
      </c>
      <c r="H88" s="45" t="s">
        <v>34</v>
      </c>
      <c r="I88" s="48" t="s">
        <v>2230</v>
      </c>
      <c r="J88" s="47">
        <v>3.0</v>
      </c>
      <c r="K88" s="47" t="s">
        <v>2231</v>
      </c>
      <c r="L88" s="49" t="s">
        <v>2312</v>
      </c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>
        <v>450000.0</v>
      </c>
      <c r="AH88" s="50">
        <v>450000.0</v>
      </c>
      <c r="AI88" s="50">
        <v>450000.0</v>
      </c>
      <c r="AJ88" s="50">
        <v>450000.0</v>
      </c>
      <c r="AK88" s="50">
        <v>450000.0</v>
      </c>
      <c r="AL88" s="50">
        <v>450000.0</v>
      </c>
      <c r="AM88" s="50">
        <v>450000.0</v>
      </c>
      <c r="AN88" s="50">
        <v>450000.0</v>
      </c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>
        <f t="shared" si="3"/>
        <v>3600000</v>
      </c>
      <c r="BD88" s="50">
        <f t="shared" si="4"/>
        <v>0</v>
      </c>
      <c r="BE88" s="50">
        <f t="shared" si="5"/>
        <v>0</v>
      </c>
      <c r="BF88" s="50">
        <f t="shared" si="6"/>
        <v>3600000</v>
      </c>
      <c r="BG88" s="46"/>
      <c r="BH88" s="46"/>
      <c r="BI88" s="46"/>
      <c r="BJ88" s="45" t="str">
        <f t="shared" ref="BJ88:BK88" si="91">H88</f>
        <v>A</v>
      </c>
      <c r="BK88" s="45" t="str">
        <f t="shared" si="91"/>
        <v>A-10</v>
      </c>
      <c r="BL88" s="51">
        <v>613000.0</v>
      </c>
    </row>
    <row r="89">
      <c r="A89" s="12">
        <f t="shared" si="2"/>
        <v>87</v>
      </c>
      <c r="B89" s="15" t="s">
        <v>2313</v>
      </c>
      <c r="C89" s="12">
        <v>2.024070691E9</v>
      </c>
      <c r="D89" s="15" t="s">
        <v>2314</v>
      </c>
      <c r="E89" s="15" t="s">
        <v>2315</v>
      </c>
      <c r="F89" s="15" t="s">
        <v>2316</v>
      </c>
      <c r="G89" s="16" t="s">
        <v>2229</v>
      </c>
      <c r="H89" s="12" t="s">
        <v>34</v>
      </c>
      <c r="I89" s="14" t="s">
        <v>2230</v>
      </c>
      <c r="J89" s="16">
        <v>3.0</v>
      </c>
      <c r="K89" s="16" t="s">
        <v>2231</v>
      </c>
      <c r="L89" s="44" t="s">
        <v>2317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5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>
        <f t="shared" si="3"/>
        <v>0</v>
      </c>
      <c r="BD89" s="18">
        <f t="shared" si="4"/>
        <v>0</v>
      </c>
      <c r="BE89" s="18">
        <f t="shared" si="5"/>
        <v>0</v>
      </c>
      <c r="BF89" s="18">
        <f t="shared" si="6"/>
        <v>0</v>
      </c>
      <c r="BG89" s="15"/>
      <c r="BH89" s="15"/>
      <c r="BI89" s="15"/>
      <c r="BJ89" s="12" t="str">
        <f t="shared" ref="BJ89:BK89" si="92">H89</f>
        <v>A</v>
      </c>
      <c r="BK89" s="12" t="str">
        <f t="shared" si="92"/>
        <v>A-10</v>
      </c>
      <c r="BL89" s="32">
        <v>613000.0</v>
      </c>
    </row>
    <row r="90">
      <c r="A90" s="45">
        <f t="shared" si="2"/>
        <v>88</v>
      </c>
      <c r="B90" s="46" t="s">
        <v>2318</v>
      </c>
      <c r="C90" s="45">
        <v>2.02407068E9</v>
      </c>
      <c r="D90" s="46" t="s">
        <v>2319</v>
      </c>
      <c r="E90" s="46" t="s">
        <v>2320</v>
      </c>
      <c r="F90" s="46" t="s">
        <v>2321</v>
      </c>
      <c r="G90" s="47" t="s">
        <v>2229</v>
      </c>
      <c r="H90" s="45" t="s">
        <v>34</v>
      </c>
      <c r="I90" s="48" t="s">
        <v>2230</v>
      </c>
      <c r="J90" s="47">
        <v>3.0</v>
      </c>
      <c r="K90" s="47" t="s">
        <v>2231</v>
      </c>
      <c r="L90" s="49" t="s">
        <v>2322</v>
      </c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>
        <f t="shared" si="3"/>
        <v>0</v>
      </c>
      <c r="BD90" s="50">
        <f t="shared" si="4"/>
        <v>0</v>
      </c>
      <c r="BE90" s="50">
        <f t="shared" si="5"/>
        <v>0</v>
      </c>
      <c r="BF90" s="50">
        <f t="shared" si="6"/>
        <v>0</v>
      </c>
      <c r="BG90" s="46"/>
      <c r="BH90" s="46"/>
      <c r="BI90" s="46"/>
      <c r="BJ90" s="45" t="str">
        <f t="shared" ref="BJ90:BK90" si="93">H90</f>
        <v>A</v>
      </c>
      <c r="BK90" s="45" t="str">
        <f t="shared" si="93"/>
        <v>A-10</v>
      </c>
      <c r="BL90" s="51">
        <v>613000.0</v>
      </c>
    </row>
    <row r="91">
      <c r="A91" s="12">
        <f t="shared" si="2"/>
        <v>89</v>
      </c>
      <c r="B91" s="15" t="s">
        <v>2323</v>
      </c>
      <c r="C91" s="12">
        <v>2.024070097E9</v>
      </c>
      <c r="D91" s="15" t="s">
        <v>1979</v>
      </c>
      <c r="E91" s="15" t="s">
        <v>2324</v>
      </c>
      <c r="F91" s="15" t="s">
        <v>2325</v>
      </c>
      <c r="G91" s="16" t="s">
        <v>2272</v>
      </c>
      <c r="H91" s="12" t="s">
        <v>34</v>
      </c>
      <c r="I91" s="14" t="s">
        <v>2230</v>
      </c>
      <c r="J91" s="16">
        <v>3.0</v>
      </c>
      <c r="K91" s="16" t="s">
        <v>2231</v>
      </c>
      <c r="L91" s="44" t="s">
        <v>2326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>
        <f t="shared" si="3"/>
        <v>0</v>
      </c>
      <c r="BD91" s="18">
        <f t="shared" si="4"/>
        <v>0</v>
      </c>
      <c r="BE91" s="18">
        <f t="shared" si="5"/>
        <v>0</v>
      </c>
      <c r="BF91" s="18">
        <f t="shared" si="6"/>
        <v>0</v>
      </c>
      <c r="BG91" s="15"/>
      <c r="BH91" s="15"/>
      <c r="BI91" s="15"/>
      <c r="BJ91" s="12" t="str">
        <f t="shared" ref="BJ91:BK91" si="94">H91</f>
        <v>A</v>
      </c>
      <c r="BK91" s="12" t="str">
        <f t="shared" si="94"/>
        <v>A-10</v>
      </c>
      <c r="BL91" s="32">
        <v>360000.0</v>
      </c>
    </row>
    <row r="92">
      <c r="A92" s="45">
        <f t="shared" si="2"/>
        <v>90</v>
      </c>
      <c r="B92" s="46" t="s">
        <v>2327</v>
      </c>
      <c r="C92" s="45">
        <v>2.024070695E9</v>
      </c>
      <c r="D92" s="46" t="s">
        <v>262</v>
      </c>
      <c r="E92" s="46" t="s">
        <v>2328</v>
      </c>
      <c r="F92" s="46" t="s">
        <v>2329</v>
      </c>
      <c r="G92" s="47" t="s">
        <v>2229</v>
      </c>
      <c r="H92" s="45" t="s">
        <v>34</v>
      </c>
      <c r="I92" s="48" t="s">
        <v>2330</v>
      </c>
      <c r="J92" s="47">
        <v>3.0</v>
      </c>
      <c r="K92" s="47" t="s">
        <v>2231</v>
      </c>
      <c r="L92" s="49" t="s">
        <v>2331</v>
      </c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>
        <v>500000.0</v>
      </c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>
        <v>500000.0</v>
      </c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>
        <f t="shared" si="3"/>
        <v>0</v>
      </c>
      <c r="BD92" s="50">
        <f t="shared" si="4"/>
        <v>1000000</v>
      </c>
      <c r="BE92" s="50">
        <f t="shared" si="5"/>
        <v>0</v>
      </c>
      <c r="BF92" s="50">
        <f t="shared" si="6"/>
        <v>1000000</v>
      </c>
      <c r="BG92" s="46"/>
      <c r="BH92" s="46"/>
      <c r="BI92" s="46"/>
      <c r="BJ92" s="45" t="str">
        <f t="shared" ref="BJ92:BK92" si="95">H92</f>
        <v>A</v>
      </c>
      <c r="BK92" s="45" t="str">
        <f t="shared" si="95"/>
        <v>A-12</v>
      </c>
      <c r="BL92" s="51">
        <v>613000.0</v>
      </c>
    </row>
    <row r="93">
      <c r="A93" s="12">
        <f t="shared" si="2"/>
        <v>91</v>
      </c>
      <c r="B93" s="15" t="s">
        <v>2332</v>
      </c>
      <c r="C93" s="12">
        <v>2.024070715E9</v>
      </c>
      <c r="D93" s="15" t="s">
        <v>2333</v>
      </c>
      <c r="E93" s="15" t="s">
        <v>2334</v>
      </c>
      <c r="F93" s="15" t="s">
        <v>2335</v>
      </c>
      <c r="G93" s="16" t="s">
        <v>2336</v>
      </c>
      <c r="H93" s="12" t="s">
        <v>34</v>
      </c>
      <c r="I93" s="14" t="s">
        <v>2230</v>
      </c>
      <c r="J93" s="16">
        <v>3.0</v>
      </c>
      <c r="K93" s="16" t="s">
        <v>2231</v>
      </c>
      <c r="L93" s="44" t="s">
        <v>2337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>
        <v>450000.0</v>
      </c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>
        <f t="shared" si="3"/>
        <v>450000</v>
      </c>
      <c r="BD93" s="18">
        <f t="shared" si="4"/>
        <v>0</v>
      </c>
      <c r="BE93" s="18">
        <f t="shared" si="5"/>
        <v>0</v>
      </c>
      <c r="BF93" s="18">
        <f t="shared" si="6"/>
        <v>450000</v>
      </c>
      <c r="BG93" s="15"/>
      <c r="BH93" s="15"/>
      <c r="BI93" s="15"/>
      <c r="BJ93" s="12" t="str">
        <f t="shared" ref="BJ93:BK93" si="96">H93</f>
        <v>A</v>
      </c>
      <c r="BK93" s="12" t="str">
        <f t="shared" si="96"/>
        <v>A-10</v>
      </c>
      <c r="BL93" s="32">
        <v>613000.0</v>
      </c>
    </row>
    <row r="94">
      <c r="A94" s="45">
        <f t="shared" si="2"/>
        <v>92</v>
      </c>
      <c r="B94" s="46" t="s">
        <v>2338</v>
      </c>
      <c r="C94" s="45">
        <v>2.024070034E9</v>
      </c>
      <c r="D94" s="46" t="s">
        <v>2339</v>
      </c>
      <c r="E94" s="46" t="s">
        <v>2340</v>
      </c>
      <c r="F94" s="46" t="s">
        <v>2341</v>
      </c>
      <c r="G94" s="47" t="s">
        <v>2342</v>
      </c>
      <c r="H94" s="45" t="s">
        <v>34</v>
      </c>
      <c r="I94" s="48" t="s">
        <v>35</v>
      </c>
      <c r="J94" s="47">
        <v>3.0</v>
      </c>
      <c r="K94" s="47" t="s">
        <v>2231</v>
      </c>
      <c r="L94" s="49" t="s">
        <v>2343</v>
      </c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>
        <f t="shared" si="3"/>
        <v>0</v>
      </c>
      <c r="BD94" s="50">
        <f t="shared" si="4"/>
        <v>0</v>
      </c>
      <c r="BE94" s="50">
        <f t="shared" si="5"/>
        <v>0</v>
      </c>
      <c r="BF94" s="50">
        <f t="shared" si="6"/>
        <v>0</v>
      </c>
      <c r="BG94" s="46"/>
      <c r="BH94" s="46"/>
      <c r="BI94" s="46"/>
      <c r="BJ94" s="45" t="str">
        <f t="shared" ref="BJ94:BK94" si="97">H94</f>
        <v>A</v>
      </c>
      <c r="BK94" s="45" t="str">
        <f t="shared" si="97"/>
        <v>A-4</v>
      </c>
      <c r="BL94" s="51">
        <v>613000.0</v>
      </c>
    </row>
    <row r="95">
      <c r="A95" s="12">
        <f t="shared" si="2"/>
        <v>93</v>
      </c>
      <c r="B95" s="15" t="s">
        <v>2344</v>
      </c>
      <c r="C95" s="12">
        <v>2.024070299E9</v>
      </c>
      <c r="D95" s="15" t="s">
        <v>2345</v>
      </c>
      <c r="E95" s="15" t="s">
        <v>2346</v>
      </c>
      <c r="F95" s="15" t="s">
        <v>2347</v>
      </c>
      <c r="G95" s="16" t="s">
        <v>2243</v>
      </c>
      <c r="H95" s="12" t="s">
        <v>34</v>
      </c>
      <c r="I95" s="14" t="s">
        <v>2230</v>
      </c>
      <c r="J95" s="16">
        <v>3.0</v>
      </c>
      <c r="K95" s="16" t="s">
        <v>2231</v>
      </c>
      <c r="L95" s="44" t="s">
        <v>2348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>
        <v>450000.0</v>
      </c>
      <c r="AO95" s="18"/>
      <c r="AP95" s="18">
        <v>500000.0</v>
      </c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>
        <f t="shared" si="3"/>
        <v>450000</v>
      </c>
      <c r="BD95" s="18">
        <f t="shared" si="4"/>
        <v>500000</v>
      </c>
      <c r="BE95" s="18">
        <f t="shared" si="5"/>
        <v>0</v>
      </c>
      <c r="BF95" s="18">
        <f t="shared" si="6"/>
        <v>950000</v>
      </c>
      <c r="BG95" s="15"/>
      <c r="BH95" s="15"/>
      <c r="BI95" s="15"/>
      <c r="BJ95" s="12" t="str">
        <f t="shared" ref="BJ95:BK95" si="98">H95</f>
        <v>A</v>
      </c>
      <c r="BK95" s="12" t="str">
        <f t="shared" si="98"/>
        <v>A-10</v>
      </c>
      <c r="BL95" s="32">
        <v>613000.0</v>
      </c>
    </row>
    <row r="96">
      <c r="A96" s="45">
        <f t="shared" si="2"/>
        <v>94</v>
      </c>
      <c r="B96" s="46" t="s">
        <v>2349</v>
      </c>
      <c r="C96" s="45">
        <v>2.024070409E9</v>
      </c>
      <c r="D96" s="46" t="s">
        <v>2350</v>
      </c>
      <c r="E96" s="46" t="s">
        <v>2351</v>
      </c>
      <c r="F96" s="46" t="s">
        <v>2352</v>
      </c>
      <c r="G96" s="47" t="s">
        <v>2248</v>
      </c>
      <c r="H96" s="45" t="s">
        <v>34</v>
      </c>
      <c r="I96" s="48" t="s">
        <v>50</v>
      </c>
      <c r="J96" s="47">
        <v>3.0</v>
      </c>
      <c r="K96" s="47" t="s">
        <v>2249</v>
      </c>
      <c r="L96" s="49" t="s">
        <v>2353</v>
      </c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>
        <v>450000.0</v>
      </c>
      <c r="AN96" s="50">
        <v>450000.0</v>
      </c>
      <c r="AO96" s="50"/>
      <c r="AP96" s="50">
        <v>500000.0</v>
      </c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>
        <f t="shared" si="3"/>
        <v>900000</v>
      </c>
      <c r="BD96" s="50">
        <f t="shared" si="4"/>
        <v>500000</v>
      </c>
      <c r="BE96" s="50">
        <f t="shared" si="5"/>
        <v>0</v>
      </c>
      <c r="BF96" s="50">
        <f t="shared" si="6"/>
        <v>1400000</v>
      </c>
      <c r="BG96" s="46"/>
      <c r="BH96" s="46"/>
      <c r="BI96" s="46"/>
      <c r="BJ96" s="45" t="str">
        <f t="shared" ref="BJ96:BK96" si="99">H96</f>
        <v>A</v>
      </c>
      <c r="BK96" s="45" t="str">
        <f t="shared" si="99"/>
        <v>A-2</v>
      </c>
      <c r="BL96" s="51">
        <v>613000.0</v>
      </c>
    </row>
    <row r="97">
      <c r="A97" s="12">
        <f t="shared" si="2"/>
        <v>95</v>
      </c>
      <c r="B97" s="15" t="s">
        <v>2354</v>
      </c>
      <c r="C97" s="12">
        <v>2.024070713E9</v>
      </c>
      <c r="D97" s="15" t="s">
        <v>1754</v>
      </c>
      <c r="E97" s="15" t="s">
        <v>2355</v>
      </c>
      <c r="F97" s="15" t="s">
        <v>2356</v>
      </c>
      <c r="G97" s="16" t="s">
        <v>2229</v>
      </c>
      <c r="H97" s="12" t="s">
        <v>34</v>
      </c>
      <c r="I97" s="14" t="s">
        <v>2230</v>
      </c>
      <c r="J97" s="16">
        <v>3.0</v>
      </c>
      <c r="K97" s="16" t="s">
        <v>2231</v>
      </c>
      <c r="L97" s="44" t="s">
        <v>2357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>
        <f t="shared" si="3"/>
        <v>0</v>
      </c>
      <c r="BD97" s="18">
        <f t="shared" si="4"/>
        <v>0</v>
      </c>
      <c r="BE97" s="18">
        <f t="shared" si="5"/>
        <v>0</v>
      </c>
      <c r="BF97" s="18">
        <f t="shared" si="6"/>
        <v>0</v>
      </c>
      <c r="BG97" s="15"/>
      <c r="BH97" s="15"/>
      <c r="BI97" s="15"/>
      <c r="BJ97" s="12" t="str">
        <f t="shared" ref="BJ97:BK97" si="100">H97</f>
        <v>A</v>
      </c>
      <c r="BK97" s="12" t="str">
        <f t="shared" si="100"/>
        <v>A-10</v>
      </c>
      <c r="BL97" s="32">
        <v>613000.0</v>
      </c>
    </row>
    <row r="98">
      <c r="A98" s="45">
        <f t="shared" si="2"/>
        <v>96</v>
      </c>
      <c r="B98" s="46" t="s">
        <v>2358</v>
      </c>
      <c r="C98" s="45">
        <v>2.02407018E9</v>
      </c>
      <c r="D98" s="46" t="s">
        <v>2359</v>
      </c>
      <c r="E98" s="46" t="s">
        <v>2360</v>
      </c>
      <c r="F98" s="46" t="s">
        <v>2361</v>
      </c>
      <c r="G98" s="47" t="s">
        <v>2362</v>
      </c>
      <c r="H98" s="45" t="s">
        <v>34</v>
      </c>
      <c r="I98" s="48" t="s">
        <v>50</v>
      </c>
      <c r="J98" s="47">
        <v>3.0</v>
      </c>
      <c r="K98" s="47" t="s">
        <v>2231</v>
      </c>
      <c r="L98" s="49" t="s">
        <v>2363</v>
      </c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>
        <f t="shared" si="3"/>
        <v>0</v>
      </c>
      <c r="BD98" s="50">
        <f t="shared" si="4"/>
        <v>0</v>
      </c>
      <c r="BE98" s="50">
        <f t="shared" si="5"/>
        <v>0</v>
      </c>
      <c r="BF98" s="50">
        <f t="shared" si="6"/>
        <v>0</v>
      </c>
      <c r="BG98" s="46"/>
      <c r="BH98" s="46"/>
      <c r="BI98" s="46"/>
      <c r="BJ98" s="45" t="str">
        <f t="shared" ref="BJ98:BK98" si="101">H98</f>
        <v>A</v>
      </c>
      <c r="BK98" s="45" t="str">
        <f t="shared" si="101"/>
        <v>A-2</v>
      </c>
      <c r="BL98" s="51">
        <v>613000.0</v>
      </c>
    </row>
    <row r="99">
      <c r="A99" s="12">
        <f t="shared" si="2"/>
        <v>97</v>
      </c>
      <c r="B99" s="15" t="s">
        <v>2364</v>
      </c>
      <c r="C99" s="12">
        <v>2.024070181E9</v>
      </c>
      <c r="D99" s="15" t="s">
        <v>38</v>
      </c>
      <c r="E99" s="15" t="s">
        <v>2018</v>
      </c>
      <c r="F99" s="15" t="s">
        <v>2365</v>
      </c>
      <c r="G99" s="16" t="s">
        <v>2362</v>
      </c>
      <c r="H99" s="12" t="s">
        <v>34</v>
      </c>
      <c r="I99" s="14" t="s">
        <v>2230</v>
      </c>
      <c r="J99" s="16">
        <v>3.0</v>
      </c>
      <c r="K99" s="16" t="s">
        <v>2231</v>
      </c>
      <c r="L99" s="44" t="s">
        <v>2366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>
        <f t="shared" si="3"/>
        <v>0</v>
      </c>
      <c r="BD99" s="18">
        <f t="shared" si="4"/>
        <v>0</v>
      </c>
      <c r="BE99" s="18">
        <f t="shared" si="5"/>
        <v>0</v>
      </c>
      <c r="BF99" s="18">
        <f t="shared" si="6"/>
        <v>0</v>
      </c>
      <c r="BG99" s="15"/>
      <c r="BH99" s="15"/>
      <c r="BI99" s="15"/>
      <c r="BJ99" s="12" t="str">
        <f t="shared" ref="BJ99:BK99" si="102">H99</f>
        <v>A</v>
      </c>
      <c r="BK99" s="12" t="str">
        <f t="shared" si="102"/>
        <v>A-10</v>
      </c>
      <c r="BL99" s="32">
        <v>613000.0</v>
      </c>
    </row>
    <row r="100">
      <c r="A100" s="45">
        <f t="shared" si="2"/>
        <v>98</v>
      </c>
      <c r="B100" s="46" t="s">
        <v>2367</v>
      </c>
      <c r="C100" s="45">
        <v>2.024070099E9</v>
      </c>
      <c r="D100" s="46" t="s">
        <v>2368</v>
      </c>
      <c r="E100" s="46" t="s">
        <v>2369</v>
      </c>
      <c r="F100" s="46" t="s">
        <v>2370</v>
      </c>
      <c r="G100" s="47" t="s">
        <v>2272</v>
      </c>
      <c r="H100" s="45" t="s">
        <v>34</v>
      </c>
      <c r="I100" s="48" t="s">
        <v>2230</v>
      </c>
      <c r="J100" s="47">
        <v>3.0</v>
      </c>
      <c r="K100" s="47" t="s">
        <v>2231</v>
      </c>
      <c r="L100" s="49" t="s">
        <v>2371</v>
      </c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>
        <f t="shared" si="3"/>
        <v>0</v>
      </c>
      <c r="BD100" s="50">
        <f t="shared" si="4"/>
        <v>0</v>
      </c>
      <c r="BE100" s="50">
        <f t="shared" si="5"/>
        <v>0</v>
      </c>
      <c r="BF100" s="50">
        <f t="shared" si="6"/>
        <v>0</v>
      </c>
      <c r="BG100" s="46"/>
      <c r="BH100" s="46"/>
      <c r="BI100" s="46"/>
      <c r="BJ100" s="45" t="str">
        <f t="shared" ref="BJ100:BK100" si="103">H100</f>
        <v>A</v>
      </c>
      <c r="BK100" s="45" t="str">
        <f t="shared" si="103"/>
        <v>A-10</v>
      </c>
      <c r="BL100" s="51">
        <v>613000.0</v>
      </c>
    </row>
    <row r="101">
      <c r="A101" s="12">
        <f t="shared" si="2"/>
        <v>99</v>
      </c>
      <c r="B101" s="15" t="s">
        <v>2372</v>
      </c>
      <c r="C101" s="12">
        <v>2.024070145E9</v>
      </c>
      <c r="D101" s="15" t="s">
        <v>2373</v>
      </c>
      <c r="E101" s="15" t="s">
        <v>2374</v>
      </c>
      <c r="F101" s="15" t="s">
        <v>2375</v>
      </c>
      <c r="G101" s="16" t="s">
        <v>2362</v>
      </c>
      <c r="H101" s="12" t="s">
        <v>34</v>
      </c>
      <c r="I101" s="14" t="s">
        <v>2230</v>
      </c>
      <c r="J101" s="16">
        <v>3.0</v>
      </c>
      <c r="K101" s="16" t="s">
        <v>2231</v>
      </c>
      <c r="L101" s="44" t="s">
        <v>2376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>
        <f t="shared" si="3"/>
        <v>0</v>
      </c>
      <c r="BD101" s="18">
        <f t="shared" si="4"/>
        <v>0</v>
      </c>
      <c r="BE101" s="18">
        <f t="shared" si="5"/>
        <v>0</v>
      </c>
      <c r="BF101" s="18">
        <f t="shared" si="6"/>
        <v>0</v>
      </c>
      <c r="BG101" s="15"/>
      <c r="BH101" s="15"/>
      <c r="BI101" s="15"/>
      <c r="BJ101" s="12" t="str">
        <f t="shared" ref="BJ101:BK101" si="104">H101</f>
        <v>A</v>
      </c>
      <c r="BK101" s="12" t="str">
        <f t="shared" si="104"/>
        <v>A-10</v>
      </c>
      <c r="BL101" s="32">
        <v>613000.0</v>
      </c>
    </row>
    <row r="102">
      <c r="A102" s="45">
        <f t="shared" si="2"/>
        <v>100</v>
      </c>
      <c r="B102" s="46" t="s">
        <v>2377</v>
      </c>
      <c r="C102" s="45">
        <v>2.02407041E9</v>
      </c>
      <c r="D102" s="46" t="s">
        <v>2378</v>
      </c>
      <c r="E102" s="46" t="s">
        <v>2379</v>
      </c>
      <c r="F102" s="46" t="s">
        <v>2380</v>
      </c>
      <c r="G102" s="47" t="s">
        <v>2243</v>
      </c>
      <c r="H102" s="45" t="s">
        <v>34</v>
      </c>
      <c r="I102" s="48" t="s">
        <v>2230</v>
      </c>
      <c r="J102" s="47">
        <v>3.0</v>
      </c>
      <c r="K102" s="47" t="s">
        <v>2231</v>
      </c>
      <c r="L102" s="49" t="s">
        <v>2381</v>
      </c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>
        <f t="shared" si="3"/>
        <v>0</v>
      </c>
      <c r="BD102" s="50">
        <f t="shared" si="4"/>
        <v>0</v>
      </c>
      <c r="BE102" s="50">
        <f t="shared" si="5"/>
        <v>0</v>
      </c>
      <c r="BF102" s="50">
        <f t="shared" si="6"/>
        <v>0</v>
      </c>
      <c r="BG102" s="46"/>
      <c r="BH102" s="46"/>
      <c r="BI102" s="46"/>
      <c r="BJ102" s="45" t="str">
        <f t="shared" ref="BJ102:BK102" si="105">H102</f>
        <v>A</v>
      </c>
      <c r="BK102" s="45" t="str">
        <f t="shared" si="105"/>
        <v>A-10</v>
      </c>
      <c r="BL102" s="51">
        <v>613000.0</v>
      </c>
    </row>
    <row r="103">
      <c r="A103" s="12">
        <f t="shared" si="2"/>
        <v>101</v>
      </c>
      <c r="B103" s="15" t="s">
        <v>2382</v>
      </c>
      <c r="C103" s="12">
        <v>2.024070065E9</v>
      </c>
      <c r="D103" s="15" t="s">
        <v>2383</v>
      </c>
      <c r="E103" s="15" t="s">
        <v>2384</v>
      </c>
      <c r="F103" s="15" t="s">
        <v>2385</v>
      </c>
      <c r="G103" s="16" t="s">
        <v>2237</v>
      </c>
      <c r="H103" s="12" t="s">
        <v>34</v>
      </c>
      <c r="I103" s="14" t="s">
        <v>2230</v>
      </c>
      <c r="J103" s="16">
        <v>3.0</v>
      </c>
      <c r="K103" s="16" t="s">
        <v>2231</v>
      </c>
      <c r="L103" s="44" t="s">
        <v>2386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>
        <v>450000.0</v>
      </c>
      <c r="AL103" s="18">
        <v>450000.0</v>
      </c>
      <c r="AM103" s="18">
        <v>450000.0</v>
      </c>
      <c r="AN103" s="18">
        <v>450000.0</v>
      </c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>
        <f t="shared" si="3"/>
        <v>1800000</v>
      </c>
      <c r="BD103" s="18">
        <f t="shared" si="4"/>
        <v>0</v>
      </c>
      <c r="BE103" s="18">
        <f t="shared" si="5"/>
        <v>0</v>
      </c>
      <c r="BF103" s="18">
        <f t="shared" si="6"/>
        <v>1800000</v>
      </c>
      <c r="BG103" s="15"/>
      <c r="BH103" s="15"/>
      <c r="BI103" s="15"/>
      <c r="BJ103" s="12" t="str">
        <f t="shared" ref="BJ103:BK103" si="106">H103</f>
        <v>A</v>
      </c>
      <c r="BK103" s="12" t="str">
        <f t="shared" si="106"/>
        <v>A-10</v>
      </c>
      <c r="BL103" s="32">
        <v>613000.0</v>
      </c>
    </row>
    <row r="104">
      <c r="A104" s="45">
        <f t="shared" si="2"/>
        <v>102</v>
      </c>
      <c r="B104" s="46" t="s">
        <v>2387</v>
      </c>
      <c r="C104" s="45">
        <v>2.024070411E9</v>
      </c>
      <c r="D104" s="46" t="s">
        <v>2388</v>
      </c>
      <c r="E104" s="46" t="s">
        <v>2389</v>
      </c>
      <c r="F104" s="46" t="s">
        <v>2390</v>
      </c>
      <c r="G104" s="47" t="s">
        <v>2248</v>
      </c>
      <c r="H104" s="45" t="s">
        <v>34</v>
      </c>
      <c r="I104" s="48" t="s">
        <v>50</v>
      </c>
      <c r="J104" s="47">
        <v>3.0</v>
      </c>
      <c r="K104" s="47" t="s">
        <v>2249</v>
      </c>
      <c r="L104" s="49" t="s">
        <v>2391</v>
      </c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>
        <v>500000.0</v>
      </c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>
        <f t="shared" si="3"/>
        <v>0</v>
      </c>
      <c r="BD104" s="50">
        <f t="shared" si="4"/>
        <v>500000</v>
      </c>
      <c r="BE104" s="50">
        <f t="shared" si="5"/>
        <v>0</v>
      </c>
      <c r="BF104" s="50">
        <f t="shared" si="6"/>
        <v>500000</v>
      </c>
      <c r="BG104" s="46"/>
      <c r="BH104" s="46"/>
      <c r="BI104" s="46"/>
      <c r="BJ104" s="45" t="str">
        <f t="shared" ref="BJ104:BK104" si="107">H104</f>
        <v>A</v>
      </c>
      <c r="BK104" s="45" t="str">
        <f t="shared" si="107"/>
        <v>A-2</v>
      </c>
      <c r="BL104" s="51">
        <v>613000.0</v>
      </c>
    </row>
    <row r="105">
      <c r="A105" s="12">
        <f t="shared" si="2"/>
        <v>103</v>
      </c>
      <c r="B105" s="15" t="s">
        <v>2392</v>
      </c>
      <c r="C105" s="12">
        <v>2.024070735E9</v>
      </c>
      <c r="D105" s="15" t="s">
        <v>2393</v>
      </c>
      <c r="E105" s="15" t="s">
        <v>2394</v>
      </c>
      <c r="F105" s="15" t="s">
        <v>2048</v>
      </c>
      <c r="G105" s="16" t="s">
        <v>2049</v>
      </c>
      <c r="H105" s="12" t="s">
        <v>592</v>
      </c>
      <c r="I105" s="14" t="s">
        <v>2395</v>
      </c>
      <c r="J105" s="16">
        <v>3.0</v>
      </c>
      <c r="K105" s="16" t="s">
        <v>2396</v>
      </c>
      <c r="L105" s="44" t="s">
        <v>2397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>
        <v>450000.0</v>
      </c>
      <c r="AO105" s="18"/>
      <c r="AP105" s="18">
        <v>500000.0</v>
      </c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>
        <f t="shared" si="3"/>
        <v>450000</v>
      </c>
      <c r="BD105" s="18">
        <f t="shared" si="4"/>
        <v>500000</v>
      </c>
      <c r="BE105" s="18">
        <f t="shared" si="5"/>
        <v>0</v>
      </c>
      <c r="BF105" s="18">
        <f t="shared" si="6"/>
        <v>950000</v>
      </c>
      <c r="BG105" s="15"/>
      <c r="BH105" s="15"/>
      <c r="BI105" s="15"/>
      <c r="BJ105" s="12" t="str">
        <f t="shared" ref="BJ105:BK105" si="108">H105</f>
        <v>B</v>
      </c>
      <c r="BK105" s="12" t="str">
        <f t="shared" si="108"/>
        <v>B-9</v>
      </c>
      <c r="BL105" s="32">
        <v>613000.0</v>
      </c>
    </row>
    <row r="106">
      <c r="A106" s="45">
        <f t="shared" si="2"/>
        <v>104</v>
      </c>
      <c r="B106" s="46" t="s">
        <v>2398</v>
      </c>
      <c r="C106" s="45">
        <v>2.024090773E9</v>
      </c>
      <c r="D106" s="52" t="s">
        <v>2399</v>
      </c>
      <c r="E106" s="52" t="s">
        <v>2400</v>
      </c>
      <c r="F106" s="52" t="s">
        <v>2401</v>
      </c>
      <c r="G106" s="47" t="s">
        <v>1924</v>
      </c>
      <c r="H106" s="45" t="s">
        <v>592</v>
      </c>
      <c r="I106" s="48" t="s">
        <v>2395</v>
      </c>
      <c r="J106" s="47">
        <v>3.0</v>
      </c>
      <c r="K106" s="47" t="s">
        <v>2396</v>
      </c>
      <c r="L106" s="49" t="s">
        <v>2402</v>
      </c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>
        <v>450000.0</v>
      </c>
      <c r="AN106" s="50">
        <v>450000.0</v>
      </c>
      <c r="AO106" s="50"/>
      <c r="AP106" s="50">
        <v>500000.0</v>
      </c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>
        <f t="shared" si="3"/>
        <v>900000</v>
      </c>
      <c r="BD106" s="50">
        <f t="shared" si="4"/>
        <v>500000</v>
      </c>
      <c r="BE106" s="50">
        <f t="shared" si="5"/>
        <v>0</v>
      </c>
      <c r="BF106" s="50">
        <f t="shared" si="6"/>
        <v>1400000</v>
      </c>
      <c r="BG106" s="46"/>
      <c r="BH106" s="46"/>
      <c r="BI106" s="46"/>
      <c r="BJ106" s="45" t="str">
        <f t="shared" ref="BJ106:BK106" si="109">H106</f>
        <v>B</v>
      </c>
      <c r="BK106" s="45" t="str">
        <f t="shared" si="109"/>
        <v>B-9</v>
      </c>
      <c r="BL106" s="51">
        <v>613000.0</v>
      </c>
    </row>
    <row r="107">
      <c r="A107" s="12">
        <f t="shared" si="2"/>
        <v>105</v>
      </c>
      <c r="B107" s="15" t="s">
        <v>2403</v>
      </c>
      <c r="C107" s="12">
        <v>2.024070579E9</v>
      </c>
      <c r="D107" s="15" t="s">
        <v>2404</v>
      </c>
      <c r="E107" s="15" t="s">
        <v>446</v>
      </c>
      <c r="F107" s="15" t="s">
        <v>2405</v>
      </c>
      <c r="G107" s="16" t="s">
        <v>2406</v>
      </c>
      <c r="H107" s="12" t="s">
        <v>592</v>
      </c>
      <c r="I107" s="14" t="s">
        <v>2395</v>
      </c>
      <c r="J107" s="16">
        <v>3.0</v>
      </c>
      <c r="K107" s="16" t="s">
        <v>2407</v>
      </c>
      <c r="L107" s="44" t="s">
        <v>2408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>
        <f t="shared" si="3"/>
        <v>0</v>
      </c>
      <c r="BD107" s="18">
        <f t="shared" si="4"/>
        <v>0</v>
      </c>
      <c r="BE107" s="18">
        <f t="shared" si="5"/>
        <v>0</v>
      </c>
      <c r="BF107" s="18">
        <f t="shared" si="6"/>
        <v>0</v>
      </c>
      <c r="BG107" s="15"/>
      <c r="BH107" s="15"/>
      <c r="BI107" s="15"/>
      <c r="BJ107" s="12" t="str">
        <f t="shared" ref="BJ107:BK107" si="110">H107</f>
        <v>B</v>
      </c>
      <c r="BK107" s="12" t="str">
        <f t="shared" si="110"/>
        <v>B-9</v>
      </c>
      <c r="BL107" s="32">
        <v>613000.0</v>
      </c>
    </row>
    <row r="108">
      <c r="A108" s="45">
        <f t="shared" si="2"/>
        <v>106</v>
      </c>
      <c r="B108" s="46" t="s">
        <v>2409</v>
      </c>
      <c r="C108" s="45">
        <v>2.024070742E9</v>
      </c>
      <c r="D108" s="46" t="s">
        <v>2410</v>
      </c>
      <c r="E108" s="46" t="s">
        <v>2411</v>
      </c>
      <c r="F108" s="46" t="s">
        <v>2412</v>
      </c>
      <c r="G108" s="47" t="s">
        <v>2028</v>
      </c>
      <c r="H108" s="45" t="s">
        <v>592</v>
      </c>
      <c r="I108" s="48" t="s">
        <v>601</v>
      </c>
      <c r="J108" s="47">
        <v>3.0</v>
      </c>
      <c r="K108" s="47" t="s">
        <v>2413</v>
      </c>
      <c r="L108" s="49" t="s">
        <v>2414</v>
      </c>
      <c r="M108" s="50"/>
      <c r="N108" s="50"/>
      <c r="O108" s="50"/>
      <c r="P108" s="50"/>
      <c r="Q108" s="50"/>
      <c r="R108" s="50"/>
      <c r="S108" s="50">
        <v>450000.0</v>
      </c>
      <c r="T108" s="50">
        <v>450000.0</v>
      </c>
      <c r="U108" s="50">
        <v>450000.0</v>
      </c>
      <c r="V108" s="50">
        <v>450000.0</v>
      </c>
      <c r="W108" s="50">
        <v>450000.0</v>
      </c>
      <c r="X108" s="50">
        <v>450000.0</v>
      </c>
      <c r="Y108" s="50">
        <v>450000.0</v>
      </c>
      <c r="Z108" s="50">
        <v>450000.0</v>
      </c>
      <c r="AA108" s="50"/>
      <c r="AB108" s="50">
        <v>500000.0</v>
      </c>
      <c r="AC108" s="50">
        <v>450000.0</v>
      </c>
      <c r="AD108" s="50">
        <v>450000.0</v>
      </c>
      <c r="AE108" s="50">
        <v>450000.0</v>
      </c>
      <c r="AF108" s="50">
        <v>450000.0</v>
      </c>
      <c r="AG108" s="50">
        <v>450000.0</v>
      </c>
      <c r="AH108" s="50">
        <v>450000.0</v>
      </c>
      <c r="AI108" s="50">
        <v>450000.0</v>
      </c>
      <c r="AJ108" s="50">
        <v>450000.0</v>
      </c>
      <c r="AK108" s="50">
        <v>450000.0</v>
      </c>
      <c r="AL108" s="50">
        <v>450000.0</v>
      </c>
      <c r="AM108" s="50">
        <v>450000.0</v>
      </c>
      <c r="AN108" s="50">
        <v>450000.0</v>
      </c>
      <c r="AO108" s="50"/>
      <c r="AP108" s="50">
        <v>500000.0</v>
      </c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>
        <f t="shared" si="3"/>
        <v>9000000</v>
      </c>
      <c r="BD108" s="50">
        <f t="shared" si="4"/>
        <v>1000000</v>
      </c>
      <c r="BE108" s="50">
        <f t="shared" si="5"/>
        <v>0</v>
      </c>
      <c r="BF108" s="50">
        <f t="shared" si="6"/>
        <v>10000000</v>
      </c>
      <c r="BG108" s="46"/>
      <c r="BH108" s="46"/>
      <c r="BI108" s="46"/>
      <c r="BJ108" s="45" t="str">
        <f t="shared" ref="BJ108:BK108" si="111">H108</f>
        <v>B</v>
      </c>
      <c r="BK108" s="45" t="str">
        <f t="shared" si="111"/>
        <v>B-10</v>
      </c>
      <c r="BL108" s="51">
        <v>613000.0</v>
      </c>
    </row>
    <row r="109">
      <c r="A109" s="12">
        <f t="shared" si="2"/>
        <v>107</v>
      </c>
      <c r="B109" s="15" t="s">
        <v>2415</v>
      </c>
      <c r="C109" s="12">
        <v>2.024070758E9</v>
      </c>
      <c r="D109" s="15" t="s">
        <v>2416</v>
      </c>
      <c r="E109" s="15" t="s">
        <v>2417</v>
      </c>
      <c r="F109" s="15" t="s">
        <v>2418</v>
      </c>
      <c r="G109" s="16" t="s">
        <v>2049</v>
      </c>
      <c r="H109" s="12" t="s">
        <v>592</v>
      </c>
      <c r="I109" s="14" t="s">
        <v>2395</v>
      </c>
      <c r="J109" s="16">
        <v>3.0</v>
      </c>
      <c r="K109" s="16" t="s">
        <v>2407</v>
      </c>
      <c r="L109" s="44" t="s">
        <v>2419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>
        <v>450000.0</v>
      </c>
      <c r="AO109" s="18"/>
      <c r="AP109" s="18">
        <v>500000.0</v>
      </c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>
        <f t="shared" si="3"/>
        <v>450000</v>
      </c>
      <c r="BD109" s="18">
        <f t="shared" si="4"/>
        <v>500000</v>
      </c>
      <c r="BE109" s="18">
        <f t="shared" si="5"/>
        <v>0</v>
      </c>
      <c r="BF109" s="18">
        <f t="shared" si="6"/>
        <v>950000</v>
      </c>
      <c r="BG109" s="15"/>
      <c r="BH109" s="15"/>
      <c r="BI109" s="15"/>
      <c r="BJ109" s="12" t="str">
        <f t="shared" ref="BJ109:BK109" si="112">H109</f>
        <v>B</v>
      </c>
      <c r="BK109" s="12" t="str">
        <f t="shared" si="112"/>
        <v>B-9</v>
      </c>
      <c r="BL109" s="32">
        <v>613000.0</v>
      </c>
    </row>
    <row r="110">
      <c r="A110" s="45">
        <f t="shared" si="2"/>
        <v>108</v>
      </c>
      <c r="B110" s="46" t="s">
        <v>2420</v>
      </c>
      <c r="C110" s="45">
        <v>2.024070514E9</v>
      </c>
      <c r="D110" s="46" t="s">
        <v>2421</v>
      </c>
      <c r="E110" s="46" t="s">
        <v>2422</v>
      </c>
      <c r="F110" s="46" t="s">
        <v>2423</v>
      </c>
      <c r="G110" s="47" t="s">
        <v>1924</v>
      </c>
      <c r="H110" s="45" t="s">
        <v>592</v>
      </c>
      <c r="I110" s="48" t="s">
        <v>2395</v>
      </c>
      <c r="J110" s="47">
        <v>3.0</v>
      </c>
      <c r="K110" s="47" t="s">
        <v>2407</v>
      </c>
      <c r="L110" s="49" t="s">
        <v>2424</v>
      </c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>
        <f t="shared" si="3"/>
        <v>0</v>
      </c>
      <c r="BD110" s="50">
        <f t="shared" si="4"/>
        <v>0</v>
      </c>
      <c r="BE110" s="50">
        <f t="shared" si="5"/>
        <v>0</v>
      </c>
      <c r="BF110" s="50">
        <f t="shared" si="6"/>
        <v>0</v>
      </c>
      <c r="BG110" s="46"/>
      <c r="BH110" s="46"/>
      <c r="BI110" s="46"/>
      <c r="BJ110" s="45" t="str">
        <f t="shared" ref="BJ110:BK110" si="113">H110</f>
        <v>B</v>
      </c>
      <c r="BK110" s="45" t="str">
        <f t="shared" si="113"/>
        <v>B-9</v>
      </c>
      <c r="BL110" s="51">
        <v>613000.0</v>
      </c>
    </row>
    <row r="111">
      <c r="A111" s="12">
        <f t="shared" si="2"/>
        <v>109</v>
      </c>
      <c r="B111" s="15" t="s">
        <v>2425</v>
      </c>
      <c r="C111" s="12">
        <v>2.024070507E9</v>
      </c>
      <c r="D111" s="15" t="s">
        <v>2426</v>
      </c>
      <c r="E111" s="15" t="s">
        <v>2427</v>
      </c>
      <c r="F111" s="15" t="s">
        <v>2428</v>
      </c>
      <c r="G111" s="16" t="s">
        <v>2429</v>
      </c>
      <c r="H111" s="12" t="s">
        <v>592</v>
      </c>
      <c r="I111" s="14" t="s">
        <v>2395</v>
      </c>
      <c r="J111" s="16">
        <v>3.0</v>
      </c>
      <c r="K111" s="16" t="s">
        <v>2407</v>
      </c>
      <c r="L111" s="44" t="s">
        <v>2430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>
        <v>500000.0</v>
      </c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>
        <f t="shared" si="3"/>
        <v>0</v>
      </c>
      <c r="BD111" s="18">
        <f t="shared" si="4"/>
        <v>500000</v>
      </c>
      <c r="BE111" s="18">
        <f t="shared" si="5"/>
        <v>0</v>
      </c>
      <c r="BF111" s="18">
        <f t="shared" si="6"/>
        <v>500000</v>
      </c>
      <c r="BG111" s="15"/>
      <c r="BH111" s="15"/>
      <c r="BI111" s="15"/>
      <c r="BJ111" s="12" t="str">
        <f t="shared" ref="BJ111:BK111" si="114">H111</f>
        <v>B</v>
      </c>
      <c r="BK111" s="12" t="str">
        <f t="shared" si="114"/>
        <v>B-9</v>
      </c>
      <c r="BL111" s="32">
        <v>613000.0</v>
      </c>
    </row>
    <row r="112">
      <c r="A112" s="45">
        <f t="shared" si="2"/>
        <v>110</v>
      </c>
      <c r="B112" s="46" t="s">
        <v>2431</v>
      </c>
      <c r="C112" s="45">
        <v>2.024070515E9</v>
      </c>
      <c r="D112" s="46" t="s">
        <v>2432</v>
      </c>
      <c r="E112" s="46" t="s">
        <v>2433</v>
      </c>
      <c r="F112" s="46" t="s">
        <v>2434</v>
      </c>
      <c r="G112" s="47" t="s">
        <v>1946</v>
      </c>
      <c r="H112" s="45" t="s">
        <v>592</v>
      </c>
      <c r="I112" s="48" t="s">
        <v>2395</v>
      </c>
      <c r="J112" s="47">
        <v>3.0</v>
      </c>
      <c r="K112" s="47" t="s">
        <v>2407</v>
      </c>
      <c r="L112" s="49" t="s">
        <v>2435</v>
      </c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>
        <f t="shared" si="3"/>
        <v>0</v>
      </c>
      <c r="BD112" s="50">
        <f t="shared" si="4"/>
        <v>0</v>
      </c>
      <c r="BE112" s="50">
        <f t="shared" si="5"/>
        <v>0</v>
      </c>
      <c r="BF112" s="50">
        <f t="shared" si="6"/>
        <v>0</v>
      </c>
      <c r="BG112" s="46"/>
      <c r="BH112" s="46"/>
      <c r="BI112" s="46"/>
      <c r="BJ112" s="45" t="str">
        <f t="shared" ref="BJ112:BK112" si="115">H112</f>
        <v>B</v>
      </c>
      <c r="BK112" s="45" t="str">
        <f t="shared" si="115"/>
        <v>B-9</v>
      </c>
      <c r="BL112" s="51">
        <v>613000.0</v>
      </c>
    </row>
    <row r="113">
      <c r="A113" s="12">
        <f t="shared" si="2"/>
        <v>111</v>
      </c>
      <c r="B113" s="15" t="s">
        <v>2436</v>
      </c>
      <c r="C113" s="12">
        <v>2.024070723E9</v>
      </c>
      <c r="D113" s="15" t="s">
        <v>2437</v>
      </c>
      <c r="E113" s="15" t="s">
        <v>2438</v>
      </c>
      <c r="F113" s="15" t="s">
        <v>2439</v>
      </c>
      <c r="G113" s="16" t="s">
        <v>2028</v>
      </c>
      <c r="H113" s="12" t="s">
        <v>592</v>
      </c>
      <c r="I113" s="14" t="s">
        <v>601</v>
      </c>
      <c r="J113" s="16">
        <v>3.0</v>
      </c>
      <c r="K113" s="16" t="s">
        <v>2413</v>
      </c>
      <c r="L113" s="44" t="s">
        <v>2440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>
        <f t="shared" si="3"/>
        <v>0</v>
      </c>
      <c r="BD113" s="18">
        <f t="shared" si="4"/>
        <v>0</v>
      </c>
      <c r="BE113" s="18">
        <f t="shared" si="5"/>
        <v>0</v>
      </c>
      <c r="BF113" s="18">
        <f t="shared" si="6"/>
        <v>0</v>
      </c>
      <c r="BG113" s="15"/>
      <c r="BH113" s="15"/>
      <c r="BI113" s="15"/>
      <c r="BJ113" s="12" t="str">
        <f t="shared" ref="BJ113:BK113" si="116">H113</f>
        <v>B</v>
      </c>
      <c r="BK113" s="12" t="str">
        <f t="shared" si="116"/>
        <v>B-10</v>
      </c>
      <c r="BL113" s="32">
        <v>613000.0</v>
      </c>
    </row>
    <row r="114">
      <c r="A114" s="45">
        <f t="shared" si="2"/>
        <v>112</v>
      </c>
      <c r="B114" s="46" t="s">
        <v>2441</v>
      </c>
      <c r="C114" s="45">
        <v>2.0240705E9</v>
      </c>
      <c r="D114" s="46" t="s">
        <v>835</v>
      </c>
      <c r="E114" s="46" t="s">
        <v>836</v>
      </c>
      <c r="F114" s="46" t="s">
        <v>837</v>
      </c>
      <c r="G114" s="47" t="s">
        <v>1946</v>
      </c>
      <c r="H114" s="45" t="s">
        <v>592</v>
      </c>
      <c r="I114" s="48" t="s">
        <v>2395</v>
      </c>
      <c r="J114" s="47">
        <v>3.0</v>
      </c>
      <c r="K114" s="47" t="s">
        <v>2407</v>
      </c>
      <c r="L114" s="49" t="s">
        <v>2442</v>
      </c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>
        <v>450000.0</v>
      </c>
      <c r="AN114" s="50">
        <v>450000.0</v>
      </c>
      <c r="AO114" s="50"/>
      <c r="AP114" s="50">
        <v>500000.0</v>
      </c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>
        <f t="shared" si="3"/>
        <v>900000</v>
      </c>
      <c r="BD114" s="50">
        <f t="shared" si="4"/>
        <v>500000</v>
      </c>
      <c r="BE114" s="50">
        <f t="shared" si="5"/>
        <v>0</v>
      </c>
      <c r="BF114" s="50">
        <f t="shared" si="6"/>
        <v>1400000</v>
      </c>
      <c r="BG114" s="46"/>
      <c r="BH114" s="46"/>
      <c r="BI114" s="46"/>
      <c r="BJ114" s="45" t="str">
        <f t="shared" ref="BJ114:BK114" si="117">H114</f>
        <v>B</v>
      </c>
      <c r="BK114" s="45" t="str">
        <f t="shared" si="117"/>
        <v>B-9</v>
      </c>
      <c r="BL114" s="51">
        <v>613000.0</v>
      </c>
    </row>
    <row r="115">
      <c r="A115" s="12">
        <f t="shared" si="2"/>
        <v>113</v>
      </c>
      <c r="B115" s="15" t="s">
        <v>2443</v>
      </c>
      <c r="C115" s="12">
        <v>2.024070752E9</v>
      </c>
      <c r="D115" s="15" t="s">
        <v>1709</v>
      </c>
      <c r="E115" s="15" t="s">
        <v>1710</v>
      </c>
      <c r="F115" s="15" t="s">
        <v>1711</v>
      </c>
      <c r="G115" s="16" t="s">
        <v>2028</v>
      </c>
      <c r="H115" s="12" t="s">
        <v>592</v>
      </c>
      <c r="I115" s="14" t="s">
        <v>601</v>
      </c>
      <c r="J115" s="16">
        <v>3.0</v>
      </c>
      <c r="K115" s="16" t="s">
        <v>2413</v>
      </c>
      <c r="L115" s="44" t="s">
        <v>2444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>
        <f t="shared" si="3"/>
        <v>0</v>
      </c>
      <c r="BD115" s="18">
        <f t="shared" si="4"/>
        <v>0</v>
      </c>
      <c r="BE115" s="18">
        <f t="shared" si="5"/>
        <v>0</v>
      </c>
      <c r="BF115" s="18">
        <f t="shared" si="6"/>
        <v>0</v>
      </c>
      <c r="BG115" s="15"/>
      <c r="BH115" s="15"/>
      <c r="BI115" s="15"/>
      <c r="BJ115" s="12" t="str">
        <f t="shared" ref="BJ115:BK115" si="118">H115</f>
        <v>B</v>
      </c>
      <c r="BK115" s="12" t="str">
        <f t="shared" si="118"/>
        <v>B-10</v>
      </c>
      <c r="BL115" s="32">
        <v>613000.0</v>
      </c>
    </row>
    <row r="116">
      <c r="A116" s="45">
        <f t="shared" si="2"/>
        <v>114</v>
      </c>
      <c r="B116" s="46" t="s">
        <v>2445</v>
      </c>
      <c r="C116" s="45">
        <v>2.024070642E9</v>
      </c>
      <c r="D116" s="46" t="s">
        <v>2446</v>
      </c>
      <c r="E116" s="46" t="s">
        <v>2447</v>
      </c>
      <c r="F116" s="46" t="s">
        <v>2448</v>
      </c>
      <c r="G116" s="47" t="s">
        <v>2406</v>
      </c>
      <c r="H116" s="45" t="s">
        <v>592</v>
      </c>
      <c r="I116" s="48" t="s">
        <v>2395</v>
      </c>
      <c r="J116" s="47">
        <v>3.0</v>
      </c>
      <c r="K116" s="47" t="s">
        <v>2396</v>
      </c>
      <c r="L116" s="49" t="s">
        <v>2449</v>
      </c>
      <c r="M116" s="50"/>
      <c r="N116" s="50"/>
      <c r="O116" s="50"/>
      <c r="P116" s="50"/>
      <c r="Q116" s="50"/>
      <c r="R116" s="50"/>
      <c r="S116" s="50"/>
      <c r="T116" s="50"/>
      <c r="U116" s="50">
        <v>450000.0</v>
      </c>
      <c r="V116" s="50">
        <v>450000.0</v>
      </c>
      <c r="W116" s="50">
        <v>450000.0</v>
      </c>
      <c r="X116" s="50">
        <v>450000.0</v>
      </c>
      <c r="Y116" s="50">
        <v>450000.0</v>
      </c>
      <c r="Z116" s="50">
        <v>450000.0</v>
      </c>
      <c r="AA116" s="50">
        <v>350000.0</v>
      </c>
      <c r="AB116" s="50">
        <v>500000.0</v>
      </c>
      <c r="AC116" s="50">
        <v>450000.0</v>
      </c>
      <c r="AD116" s="50">
        <v>450000.0</v>
      </c>
      <c r="AE116" s="50">
        <v>450000.0</v>
      </c>
      <c r="AF116" s="50">
        <v>450000.0</v>
      </c>
      <c r="AG116" s="50">
        <v>450000.0</v>
      </c>
      <c r="AH116" s="50">
        <v>450000.0</v>
      </c>
      <c r="AI116" s="50">
        <v>450000.0</v>
      </c>
      <c r="AJ116" s="50">
        <v>450000.0</v>
      </c>
      <c r="AK116" s="50">
        <v>450000.0</v>
      </c>
      <c r="AL116" s="50">
        <v>450000.0</v>
      </c>
      <c r="AM116" s="50">
        <v>450000.0</v>
      </c>
      <c r="AN116" s="50">
        <v>450000.0</v>
      </c>
      <c r="AO116" s="50"/>
      <c r="AP116" s="50">
        <v>500000.0</v>
      </c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>
        <f t="shared" si="3"/>
        <v>8100000</v>
      </c>
      <c r="BD116" s="50">
        <f t="shared" si="4"/>
        <v>1000000</v>
      </c>
      <c r="BE116" s="50">
        <f t="shared" si="5"/>
        <v>350000</v>
      </c>
      <c r="BF116" s="50">
        <f t="shared" si="6"/>
        <v>9450000</v>
      </c>
      <c r="BG116" s="46"/>
      <c r="BH116" s="46"/>
      <c r="BI116" s="46"/>
      <c r="BJ116" s="45" t="str">
        <f t="shared" ref="BJ116:BK116" si="119">H116</f>
        <v>B</v>
      </c>
      <c r="BK116" s="45" t="str">
        <f t="shared" si="119"/>
        <v>B-9</v>
      </c>
      <c r="BL116" s="51">
        <v>613000.0</v>
      </c>
    </row>
    <row r="117">
      <c r="A117" s="12">
        <f t="shared" si="2"/>
        <v>115</v>
      </c>
      <c r="B117" s="15" t="s">
        <v>2450</v>
      </c>
      <c r="C117" s="12">
        <v>2.024070641E9</v>
      </c>
      <c r="D117" s="15" t="s">
        <v>2451</v>
      </c>
      <c r="E117" s="15" t="s">
        <v>2452</v>
      </c>
      <c r="F117" s="15" t="s">
        <v>2453</v>
      </c>
      <c r="G117" s="16" t="s">
        <v>2406</v>
      </c>
      <c r="H117" s="12" t="s">
        <v>592</v>
      </c>
      <c r="I117" s="14" t="s">
        <v>2395</v>
      </c>
      <c r="J117" s="16">
        <v>3.0</v>
      </c>
      <c r="K117" s="16" t="s">
        <v>2407</v>
      </c>
      <c r="L117" s="44" t="s">
        <v>2454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>
        <v>450000.0</v>
      </c>
      <c r="AO117" s="18"/>
      <c r="AP117" s="18">
        <v>500000.0</v>
      </c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>
        <f t="shared" si="3"/>
        <v>450000</v>
      </c>
      <c r="BD117" s="18">
        <f t="shared" si="4"/>
        <v>500000</v>
      </c>
      <c r="BE117" s="18">
        <f t="shared" si="5"/>
        <v>0</v>
      </c>
      <c r="BF117" s="18">
        <f t="shared" si="6"/>
        <v>950000</v>
      </c>
      <c r="BG117" s="15"/>
      <c r="BH117" s="15"/>
      <c r="BI117" s="15"/>
      <c r="BJ117" s="12" t="str">
        <f t="shared" ref="BJ117:BK117" si="120">H117</f>
        <v>B</v>
      </c>
      <c r="BK117" s="12" t="str">
        <f t="shared" si="120"/>
        <v>B-9</v>
      </c>
      <c r="BL117" s="32">
        <v>613000.0</v>
      </c>
    </row>
    <row r="118">
      <c r="A118" s="45">
        <f t="shared" si="2"/>
        <v>116</v>
      </c>
      <c r="B118" s="46" t="s">
        <v>2455</v>
      </c>
      <c r="C118" s="45">
        <v>2.024070726E9</v>
      </c>
      <c r="D118" s="46" t="s">
        <v>2456</v>
      </c>
      <c r="E118" s="46" t="s">
        <v>2457</v>
      </c>
      <c r="F118" s="46" t="s">
        <v>2458</v>
      </c>
      <c r="G118" s="47" t="s">
        <v>2028</v>
      </c>
      <c r="H118" s="45" t="s">
        <v>592</v>
      </c>
      <c r="I118" s="48" t="s">
        <v>601</v>
      </c>
      <c r="J118" s="47">
        <v>3.0</v>
      </c>
      <c r="K118" s="47" t="s">
        <v>2413</v>
      </c>
      <c r="L118" s="49" t="s">
        <v>2459</v>
      </c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>
        <v>500000.0</v>
      </c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>
        <f t="shared" si="3"/>
        <v>0</v>
      </c>
      <c r="BD118" s="50">
        <f t="shared" si="4"/>
        <v>500000</v>
      </c>
      <c r="BE118" s="50">
        <f t="shared" si="5"/>
        <v>0</v>
      </c>
      <c r="BF118" s="50">
        <f t="shared" si="6"/>
        <v>500000</v>
      </c>
      <c r="BG118" s="46"/>
      <c r="BH118" s="46"/>
      <c r="BI118" s="46"/>
      <c r="BJ118" s="45" t="str">
        <f t="shared" ref="BJ118:BK118" si="121">H118</f>
        <v>B</v>
      </c>
      <c r="BK118" s="45" t="str">
        <f t="shared" si="121"/>
        <v>B-10</v>
      </c>
      <c r="BL118" s="51">
        <v>613000.0</v>
      </c>
    </row>
    <row r="119">
      <c r="A119" s="12">
        <f t="shared" si="2"/>
        <v>117</v>
      </c>
      <c r="B119" s="15" t="s">
        <v>2460</v>
      </c>
      <c r="C119" s="12">
        <v>2.02407075E9</v>
      </c>
      <c r="D119" s="15" t="s">
        <v>410</v>
      </c>
      <c r="E119" s="15" t="s">
        <v>2461</v>
      </c>
      <c r="F119" s="15" t="s">
        <v>2462</v>
      </c>
      <c r="G119" s="16" t="s">
        <v>2028</v>
      </c>
      <c r="H119" s="12" t="s">
        <v>592</v>
      </c>
      <c r="I119" s="14" t="s">
        <v>601</v>
      </c>
      <c r="J119" s="16">
        <v>3.0</v>
      </c>
      <c r="K119" s="16" t="s">
        <v>2413</v>
      </c>
      <c r="L119" s="44" t="s">
        <v>2463</v>
      </c>
      <c r="M119" s="18">
        <v>600000.0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>
        <v>500000.0</v>
      </c>
      <c r="AC119" s="18"/>
      <c r="AD119" s="18"/>
      <c r="AE119" s="18"/>
      <c r="AF119" s="18"/>
      <c r="AG119" s="18"/>
      <c r="AH119" s="18"/>
      <c r="AI119" s="18"/>
      <c r="AJ119" s="18"/>
      <c r="AK119" s="18">
        <v>450000.0</v>
      </c>
      <c r="AL119" s="18">
        <v>450000.0</v>
      </c>
      <c r="AM119" s="18">
        <v>450000.0</v>
      </c>
      <c r="AN119" s="18">
        <v>450000.0</v>
      </c>
      <c r="AO119" s="18"/>
      <c r="AP119" s="18">
        <v>500000.0</v>
      </c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>
        <f t="shared" si="3"/>
        <v>1800000</v>
      </c>
      <c r="BD119" s="18">
        <f t="shared" si="4"/>
        <v>1600000</v>
      </c>
      <c r="BE119" s="18">
        <f t="shared" si="5"/>
        <v>0</v>
      </c>
      <c r="BF119" s="18">
        <f t="shared" si="6"/>
        <v>3400000</v>
      </c>
      <c r="BG119" s="15"/>
      <c r="BH119" s="15"/>
      <c r="BI119" s="15"/>
      <c r="BJ119" s="12" t="str">
        <f t="shared" ref="BJ119:BK119" si="122">H119</f>
        <v>B</v>
      </c>
      <c r="BK119" s="12" t="str">
        <f t="shared" si="122"/>
        <v>B-10</v>
      </c>
      <c r="BL119" s="32">
        <v>613000.0</v>
      </c>
    </row>
    <row r="120">
      <c r="A120" s="45">
        <f t="shared" si="2"/>
        <v>118</v>
      </c>
      <c r="B120" s="46" t="s">
        <v>2464</v>
      </c>
      <c r="C120" s="45">
        <v>2.024070724E9</v>
      </c>
      <c r="D120" s="46" t="s">
        <v>2465</v>
      </c>
      <c r="E120" s="46" t="s">
        <v>2466</v>
      </c>
      <c r="F120" s="46" t="s">
        <v>599</v>
      </c>
      <c r="G120" s="47" t="s">
        <v>2028</v>
      </c>
      <c r="H120" s="45" t="s">
        <v>592</v>
      </c>
      <c r="I120" s="48" t="s">
        <v>601</v>
      </c>
      <c r="J120" s="47">
        <v>3.0</v>
      </c>
      <c r="K120" s="47" t="s">
        <v>2396</v>
      </c>
      <c r="L120" s="49" t="s">
        <v>2467</v>
      </c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>
        <v>500000.0</v>
      </c>
      <c r="AC120" s="50"/>
      <c r="AD120" s="50"/>
      <c r="AE120" s="50"/>
      <c r="AF120" s="50"/>
      <c r="AG120" s="50"/>
      <c r="AH120" s="50"/>
      <c r="AI120" s="50"/>
      <c r="AJ120" s="50">
        <v>450000.0</v>
      </c>
      <c r="AK120" s="50">
        <v>450000.0</v>
      </c>
      <c r="AL120" s="50">
        <v>450000.0</v>
      </c>
      <c r="AM120" s="50">
        <v>450000.0</v>
      </c>
      <c r="AN120" s="50">
        <v>450000.0</v>
      </c>
      <c r="AO120" s="50"/>
      <c r="AP120" s="50">
        <v>500000.0</v>
      </c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>
        <f t="shared" si="3"/>
        <v>2250000</v>
      </c>
      <c r="BD120" s="50">
        <f t="shared" si="4"/>
        <v>1000000</v>
      </c>
      <c r="BE120" s="50">
        <f t="shared" si="5"/>
        <v>0</v>
      </c>
      <c r="BF120" s="50">
        <f t="shared" si="6"/>
        <v>3250000</v>
      </c>
      <c r="BG120" s="46"/>
      <c r="BH120" s="46"/>
      <c r="BI120" s="46"/>
      <c r="BJ120" s="45" t="str">
        <f t="shared" ref="BJ120:BK120" si="123">H120</f>
        <v>B</v>
      </c>
      <c r="BK120" s="45" t="str">
        <f t="shared" si="123"/>
        <v>B-10</v>
      </c>
      <c r="BL120" s="51">
        <v>613000.0</v>
      </c>
    </row>
    <row r="121">
      <c r="A121" s="12">
        <f t="shared" si="2"/>
        <v>119</v>
      </c>
      <c r="B121" s="15" t="s">
        <v>2468</v>
      </c>
      <c r="C121" s="12">
        <v>2.024070727E9</v>
      </c>
      <c r="D121" s="15" t="s">
        <v>2469</v>
      </c>
      <c r="E121" s="15" t="s">
        <v>2470</v>
      </c>
      <c r="F121" s="15" t="s">
        <v>2471</v>
      </c>
      <c r="G121" s="16" t="s">
        <v>2028</v>
      </c>
      <c r="H121" s="12" t="s">
        <v>592</v>
      </c>
      <c r="I121" s="14" t="s">
        <v>601</v>
      </c>
      <c r="J121" s="16">
        <v>3.0</v>
      </c>
      <c r="K121" s="16" t="s">
        <v>2413</v>
      </c>
      <c r="L121" s="44" t="s">
        <v>2472</v>
      </c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>
        <v>500000.0</v>
      </c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>
        <f t="shared" si="3"/>
        <v>0</v>
      </c>
      <c r="BD121" s="18">
        <f t="shared" si="4"/>
        <v>500000</v>
      </c>
      <c r="BE121" s="18">
        <f t="shared" si="5"/>
        <v>0</v>
      </c>
      <c r="BF121" s="18">
        <f t="shared" si="6"/>
        <v>500000</v>
      </c>
      <c r="BG121" s="15"/>
      <c r="BH121" s="15"/>
      <c r="BI121" s="15"/>
      <c r="BJ121" s="12" t="str">
        <f t="shared" ref="BJ121:BK121" si="124">H121</f>
        <v>B</v>
      </c>
      <c r="BK121" s="12" t="str">
        <f t="shared" si="124"/>
        <v>B-10</v>
      </c>
      <c r="BL121" s="32">
        <v>613000.0</v>
      </c>
    </row>
    <row r="122">
      <c r="A122" s="45">
        <f t="shared" si="2"/>
        <v>120</v>
      </c>
      <c r="B122" s="46" t="s">
        <v>2473</v>
      </c>
      <c r="C122" s="45">
        <v>2.024070563E9</v>
      </c>
      <c r="D122" s="46" t="s">
        <v>2474</v>
      </c>
      <c r="E122" s="46" t="s">
        <v>2475</v>
      </c>
      <c r="F122" s="46" t="s">
        <v>2476</v>
      </c>
      <c r="G122" s="47" t="s">
        <v>1917</v>
      </c>
      <c r="H122" s="45" t="s">
        <v>592</v>
      </c>
      <c r="I122" s="48" t="s">
        <v>601</v>
      </c>
      <c r="J122" s="47">
        <v>3.0</v>
      </c>
      <c r="K122" s="47" t="s">
        <v>2413</v>
      </c>
      <c r="L122" s="49" t="s">
        <v>2477</v>
      </c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>
        <f t="shared" si="3"/>
        <v>0</v>
      </c>
      <c r="BD122" s="50">
        <f t="shared" si="4"/>
        <v>0</v>
      </c>
      <c r="BE122" s="50">
        <f t="shared" si="5"/>
        <v>0</v>
      </c>
      <c r="BF122" s="50">
        <f t="shared" si="6"/>
        <v>0</v>
      </c>
      <c r="BG122" s="46"/>
      <c r="BH122" s="46"/>
      <c r="BI122" s="46"/>
      <c r="BJ122" s="45" t="str">
        <f t="shared" ref="BJ122:BK122" si="125">H122</f>
        <v>B</v>
      </c>
      <c r="BK122" s="45" t="str">
        <f t="shared" si="125"/>
        <v>B-10</v>
      </c>
      <c r="BL122" s="51">
        <v>613000.0</v>
      </c>
    </row>
    <row r="123">
      <c r="A123" s="12">
        <f t="shared" si="2"/>
        <v>121</v>
      </c>
      <c r="B123" s="15" t="s">
        <v>2478</v>
      </c>
      <c r="C123" s="12">
        <v>2.024070675E9</v>
      </c>
      <c r="D123" s="15" t="s">
        <v>2479</v>
      </c>
      <c r="E123" s="15" t="s">
        <v>2480</v>
      </c>
      <c r="F123" s="15" t="s">
        <v>614</v>
      </c>
      <c r="G123" s="16" t="s">
        <v>2481</v>
      </c>
      <c r="H123" s="12" t="s">
        <v>592</v>
      </c>
      <c r="I123" s="14" t="s">
        <v>2482</v>
      </c>
      <c r="J123" s="16">
        <v>3.0</v>
      </c>
      <c r="K123" s="16" t="s">
        <v>2483</v>
      </c>
      <c r="L123" s="44" t="s">
        <v>2484</v>
      </c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>
        <v>450000.0</v>
      </c>
      <c r="AN123" s="18">
        <v>450000.0</v>
      </c>
      <c r="AO123" s="18"/>
      <c r="AP123" s="18">
        <v>500000.0</v>
      </c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>
        <f t="shared" si="3"/>
        <v>900000</v>
      </c>
      <c r="BD123" s="18">
        <f t="shared" si="4"/>
        <v>500000</v>
      </c>
      <c r="BE123" s="18">
        <f t="shared" si="5"/>
        <v>0</v>
      </c>
      <c r="BF123" s="18">
        <f t="shared" si="6"/>
        <v>1400000</v>
      </c>
      <c r="BG123" s="15"/>
      <c r="BH123" s="15"/>
      <c r="BI123" s="15"/>
      <c r="BJ123" s="12" t="str">
        <f t="shared" ref="BJ123:BK123" si="126">H123</f>
        <v>B</v>
      </c>
      <c r="BK123" s="12" t="str">
        <f t="shared" si="126"/>
        <v>B-4</v>
      </c>
      <c r="BL123" s="32">
        <v>613000.0</v>
      </c>
    </row>
    <row r="124">
      <c r="A124" s="45">
        <f t="shared" si="2"/>
        <v>122</v>
      </c>
      <c r="B124" s="46" t="s">
        <v>2485</v>
      </c>
      <c r="C124" s="45">
        <v>2.024070688E9</v>
      </c>
      <c r="D124" s="46" t="s">
        <v>2486</v>
      </c>
      <c r="E124" s="46" t="s">
        <v>2487</v>
      </c>
      <c r="F124" s="46" t="s">
        <v>2488</v>
      </c>
      <c r="G124" s="47" t="s">
        <v>2277</v>
      </c>
      <c r="H124" s="45" t="s">
        <v>592</v>
      </c>
      <c r="I124" s="48" t="s">
        <v>2482</v>
      </c>
      <c r="J124" s="47">
        <v>3.0</v>
      </c>
      <c r="K124" s="47" t="s">
        <v>2483</v>
      </c>
      <c r="L124" s="49" t="s">
        <v>2489</v>
      </c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>
        <v>500000.0</v>
      </c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>
        <f t="shared" si="3"/>
        <v>0</v>
      </c>
      <c r="BD124" s="50">
        <f t="shared" si="4"/>
        <v>500000</v>
      </c>
      <c r="BE124" s="50">
        <f t="shared" si="5"/>
        <v>0</v>
      </c>
      <c r="BF124" s="50">
        <f t="shared" si="6"/>
        <v>500000</v>
      </c>
      <c r="BG124" s="46"/>
      <c r="BH124" s="46"/>
      <c r="BI124" s="46"/>
      <c r="BJ124" s="45" t="str">
        <f t="shared" ref="BJ124:BK124" si="127">H124</f>
        <v>B</v>
      </c>
      <c r="BK124" s="45" t="str">
        <f t="shared" si="127"/>
        <v>B-4</v>
      </c>
      <c r="BL124" s="51">
        <v>613000.0</v>
      </c>
    </row>
    <row r="125">
      <c r="A125" s="12">
        <f t="shared" si="2"/>
        <v>123</v>
      </c>
      <c r="B125" s="15" t="s">
        <v>2490</v>
      </c>
      <c r="C125" s="12">
        <v>2.024070074E9</v>
      </c>
      <c r="D125" s="13" t="s">
        <v>2491</v>
      </c>
      <c r="E125" s="13" t="s">
        <v>344</v>
      </c>
      <c r="F125" s="13" t="s">
        <v>1911</v>
      </c>
      <c r="G125" s="16" t="s">
        <v>2237</v>
      </c>
      <c r="H125" s="14" t="s">
        <v>863</v>
      </c>
      <c r="I125" s="14" t="s">
        <v>2492</v>
      </c>
      <c r="J125" s="16">
        <v>3.0</v>
      </c>
      <c r="K125" s="16" t="s">
        <v>2493</v>
      </c>
      <c r="L125" s="44" t="s">
        <v>2494</v>
      </c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>
        <v>500000.0</v>
      </c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>
        <f t="shared" si="3"/>
        <v>0</v>
      </c>
      <c r="BD125" s="18">
        <f t="shared" si="4"/>
        <v>500000</v>
      </c>
      <c r="BE125" s="18">
        <f t="shared" si="5"/>
        <v>0</v>
      </c>
      <c r="BF125" s="18">
        <f t="shared" si="6"/>
        <v>500000</v>
      </c>
      <c r="BG125" s="15"/>
      <c r="BH125" s="15"/>
      <c r="BI125" s="15"/>
      <c r="BJ125" s="12" t="str">
        <f t="shared" ref="BJ125:BK125" si="128">H125</f>
        <v>C</v>
      </c>
      <c r="BK125" s="12" t="str">
        <f t="shared" si="128"/>
        <v>C-4</v>
      </c>
      <c r="BL125" s="32">
        <v>613000.0</v>
      </c>
    </row>
    <row r="126">
      <c r="A126" s="45">
        <f t="shared" si="2"/>
        <v>124</v>
      </c>
      <c r="B126" s="46" t="s">
        <v>2495</v>
      </c>
      <c r="C126" s="45">
        <v>2.024070564E9</v>
      </c>
      <c r="D126" s="46" t="s">
        <v>2496</v>
      </c>
      <c r="E126" s="46" t="s">
        <v>2497</v>
      </c>
      <c r="F126" s="46" t="s">
        <v>2498</v>
      </c>
      <c r="G126" s="47" t="s">
        <v>2429</v>
      </c>
      <c r="H126" s="45" t="s">
        <v>592</v>
      </c>
      <c r="I126" s="48" t="s">
        <v>2395</v>
      </c>
      <c r="J126" s="47">
        <v>3.0</v>
      </c>
      <c r="K126" s="47" t="s">
        <v>2413</v>
      </c>
      <c r="L126" s="49" t="s">
        <v>2499</v>
      </c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>
        <v>450000.0</v>
      </c>
      <c r="AN126" s="50">
        <v>450000.0</v>
      </c>
      <c r="AO126" s="50"/>
      <c r="AP126" s="50">
        <v>500000.0</v>
      </c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>
        <f t="shared" si="3"/>
        <v>900000</v>
      </c>
      <c r="BD126" s="50">
        <f t="shared" si="4"/>
        <v>500000</v>
      </c>
      <c r="BE126" s="50">
        <f t="shared" si="5"/>
        <v>0</v>
      </c>
      <c r="BF126" s="50">
        <f t="shared" si="6"/>
        <v>1400000</v>
      </c>
      <c r="BG126" s="46"/>
      <c r="BH126" s="46"/>
      <c r="BI126" s="46"/>
      <c r="BJ126" s="45" t="str">
        <f t="shared" ref="BJ126:BK126" si="129">H126</f>
        <v>B</v>
      </c>
      <c r="BK126" s="45" t="str">
        <f t="shared" si="129"/>
        <v>B-9</v>
      </c>
      <c r="BL126" s="51">
        <v>613000.0</v>
      </c>
    </row>
    <row r="127">
      <c r="A127" s="12">
        <f t="shared" si="2"/>
        <v>125</v>
      </c>
      <c r="B127" s="15" t="s">
        <v>2500</v>
      </c>
      <c r="C127" s="12">
        <v>2.024070716E9</v>
      </c>
      <c r="D127" s="15" t="s">
        <v>2501</v>
      </c>
      <c r="E127" s="15" t="s">
        <v>2502</v>
      </c>
      <c r="F127" s="15" t="s">
        <v>2503</v>
      </c>
      <c r="G127" s="16" t="s">
        <v>2481</v>
      </c>
      <c r="H127" s="12" t="s">
        <v>592</v>
      </c>
      <c r="I127" s="14" t="s">
        <v>2482</v>
      </c>
      <c r="J127" s="16">
        <v>3.0</v>
      </c>
      <c r="K127" s="16" t="s">
        <v>2483</v>
      </c>
      <c r="L127" s="44" t="s">
        <v>2504</v>
      </c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>
        <f t="shared" si="3"/>
        <v>0</v>
      </c>
      <c r="BD127" s="18">
        <f t="shared" si="4"/>
        <v>0</v>
      </c>
      <c r="BE127" s="18">
        <f t="shared" si="5"/>
        <v>0</v>
      </c>
      <c r="BF127" s="18">
        <f t="shared" si="6"/>
        <v>0</v>
      </c>
      <c r="BG127" s="15"/>
      <c r="BH127" s="15"/>
      <c r="BI127" s="15"/>
      <c r="BJ127" s="12" t="str">
        <f t="shared" ref="BJ127:BK127" si="130">H127</f>
        <v>B</v>
      </c>
      <c r="BK127" s="12" t="str">
        <f t="shared" si="130"/>
        <v>B-4</v>
      </c>
      <c r="BL127" s="32">
        <v>613000.0</v>
      </c>
    </row>
    <row r="128">
      <c r="A128" s="45">
        <f t="shared" si="2"/>
        <v>126</v>
      </c>
      <c r="B128" s="46" t="s">
        <v>2505</v>
      </c>
      <c r="C128" s="45">
        <v>2.024070161E9</v>
      </c>
      <c r="D128" s="46" t="s">
        <v>2506</v>
      </c>
      <c r="E128" s="46" t="s">
        <v>2507</v>
      </c>
      <c r="F128" s="46" t="s">
        <v>2508</v>
      </c>
      <c r="G128" s="47" t="s">
        <v>2266</v>
      </c>
      <c r="H128" s="45" t="s">
        <v>592</v>
      </c>
      <c r="I128" s="48" t="s">
        <v>2509</v>
      </c>
      <c r="J128" s="47">
        <v>3.0</v>
      </c>
      <c r="K128" s="47" t="s">
        <v>2483</v>
      </c>
      <c r="L128" s="49" t="s">
        <v>2510</v>
      </c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>
        <v>500000.0</v>
      </c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>
        <f t="shared" si="3"/>
        <v>0</v>
      </c>
      <c r="BD128" s="50">
        <f t="shared" si="4"/>
        <v>500000</v>
      </c>
      <c r="BE128" s="50">
        <f t="shared" si="5"/>
        <v>0</v>
      </c>
      <c r="BF128" s="50">
        <f t="shared" si="6"/>
        <v>500000</v>
      </c>
      <c r="BG128" s="46"/>
      <c r="BH128" s="46"/>
      <c r="BI128" s="46"/>
      <c r="BJ128" s="45" t="str">
        <f t="shared" ref="BJ128:BK128" si="131">H128</f>
        <v>B</v>
      </c>
      <c r="BK128" s="45" t="str">
        <f t="shared" si="131"/>
        <v>B-5</v>
      </c>
      <c r="BL128" s="51">
        <v>613000.0</v>
      </c>
    </row>
    <row r="129">
      <c r="A129" s="12">
        <f t="shared" si="2"/>
        <v>127</v>
      </c>
      <c r="B129" s="15" t="s">
        <v>2511</v>
      </c>
      <c r="C129" s="12">
        <v>2.024070082E9</v>
      </c>
      <c r="D129" s="15" t="s">
        <v>2512</v>
      </c>
      <c r="E129" s="15" t="s">
        <v>2513</v>
      </c>
      <c r="F129" s="15" t="s">
        <v>668</v>
      </c>
      <c r="G129" s="16" t="s">
        <v>2237</v>
      </c>
      <c r="H129" s="12" t="s">
        <v>592</v>
      </c>
      <c r="I129" s="14" t="s">
        <v>2509</v>
      </c>
      <c r="J129" s="16">
        <v>3.0</v>
      </c>
      <c r="K129" s="16" t="s">
        <v>2493</v>
      </c>
      <c r="L129" s="44" t="s">
        <v>2514</v>
      </c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>
        <f t="shared" si="3"/>
        <v>0</v>
      </c>
      <c r="BD129" s="18">
        <f t="shared" si="4"/>
        <v>0</v>
      </c>
      <c r="BE129" s="18">
        <f t="shared" si="5"/>
        <v>0</v>
      </c>
      <c r="BF129" s="18">
        <f t="shared" si="6"/>
        <v>0</v>
      </c>
      <c r="BG129" s="15"/>
      <c r="BH129" s="15"/>
      <c r="BI129" s="15"/>
      <c r="BJ129" s="12" t="str">
        <f t="shared" ref="BJ129:BK129" si="132">H129</f>
        <v>B</v>
      </c>
      <c r="BK129" s="12" t="str">
        <f t="shared" si="132"/>
        <v>B-5</v>
      </c>
      <c r="BL129" s="32">
        <v>613000.0</v>
      </c>
    </row>
    <row r="130">
      <c r="A130" s="45">
        <f t="shared" si="2"/>
        <v>128</v>
      </c>
      <c r="B130" s="46" t="s">
        <v>2515</v>
      </c>
      <c r="C130" s="45">
        <v>2.024070196E9</v>
      </c>
      <c r="D130" s="46" t="s">
        <v>2516</v>
      </c>
      <c r="E130" s="46" t="s">
        <v>2517</v>
      </c>
      <c r="F130" s="46" t="s">
        <v>668</v>
      </c>
      <c r="G130" s="47" t="s">
        <v>2266</v>
      </c>
      <c r="H130" s="45" t="s">
        <v>592</v>
      </c>
      <c r="I130" s="48" t="s">
        <v>2509</v>
      </c>
      <c r="J130" s="47">
        <v>3.0</v>
      </c>
      <c r="K130" s="47" t="s">
        <v>2493</v>
      </c>
      <c r="L130" s="49" t="s">
        <v>2518</v>
      </c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>
        <f t="shared" si="3"/>
        <v>0</v>
      </c>
      <c r="BD130" s="50">
        <f t="shared" si="4"/>
        <v>0</v>
      </c>
      <c r="BE130" s="50">
        <f t="shared" si="5"/>
        <v>0</v>
      </c>
      <c r="BF130" s="50">
        <f t="shared" si="6"/>
        <v>0</v>
      </c>
      <c r="BG130" s="46"/>
      <c r="BH130" s="46"/>
      <c r="BI130" s="46"/>
      <c r="BJ130" s="45" t="str">
        <f t="shared" ref="BJ130:BK130" si="133">H130</f>
        <v>B</v>
      </c>
      <c r="BK130" s="45" t="str">
        <f t="shared" si="133"/>
        <v>B-5</v>
      </c>
      <c r="BL130" s="51">
        <v>613000.0</v>
      </c>
    </row>
    <row r="131">
      <c r="A131" s="12">
        <f t="shared" si="2"/>
        <v>129</v>
      </c>
      <c r="B131" s="15" t="s">
        <v>2519</v>
      </c>
      <c r="C131" s="12">
        <v>2.024070578E9</v>
      </c>
      <c r="D131" s="15" t="s">
        <v>2520</v>
      </c>
      <c r="E131" s="15" t="s">
        <v>2521</v>
      </c>
      <c r="F131" s="15" t="s">
        <v>2522</v>
      </c>
      <c r="G131" s="16" t="s">
        <v>2406</v>
      </c>
      <c r="H131" s="12" t="s">
        <v>592</v>
      </c>
      <c r="I131" s="14" t="s">
        <v>2395</v>
      </c>
      <c r="J131" s="16">
        <v>3.0</v>
      </c>
      <c r="K131" s="16" t="s">
        <v>2407</v>
      </c>
      <c r="L131" s="44" t="s">
        <v>2523</v>
      </c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>
        <v>500000.0</v>
      </c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>
        <f t="shared" si="3"/>
        <v>0</v>
      </c>
      <c r="BD131" s="18">
        <f t="shared" si="4"/>
        <v>500000</v>
      </c>
      <c r="BE131" s="18">
        <f t="shared" si="5"/>
        <v>0</v>
      </c>
      <c r="BF131" s="18">
        <f t="shared" si="6"/>
        <v>500000</v>
      </c>
      <c r="BG131" s="15"/>
      <c r="BH131" s="15"/>
      <c r="BI131" s="15"/>
      <c r="BJ131" s="12" t="str">
        <f t="shared" ref="BJ131:BK131" si="134">H131</f>
        <v>B</v>
      </c>
      <c r="BK131" s="12" t="str">
        <f t="shared" si="134"/>
        <v>B-9</v>
      </c>
      <c r="BL131" s="32">
        <v>613000.0</v>
      </c>
    </row>
    <row r="132">
      <c r="A132" s="45">
        <f t="shared" si="2"/>
        <v>130</v>
      </c>
      <c r="B132" s="46" t="s">
        <v>2524</v>
      </c>
      <c r="C132" s="45">
        <v>2.024070436E9</v>
      </c>
      <c r="D132" s="46" t="s">
        <v>2525</v>
      </c>
      <c r="E132" s="46" t="s">
        <v>2526</v>
      </c>
      <c r="F132" s="46" t="s">
        <v>2527</v>
      </c>
      <c r="G132" s="47" t="s">
        <v>2248</v>
      </c>
      <c r="H132" s="45" t="s">
        <v>592</v>
      </c>
      <c r="I132" s="48" t="s">
        <v>695</v>
      </c>
      <c r="J132" s="47">
        <v>3.0</v>
      </c>
      <c r="K132" s="47" t="s">
        <v>2528</v>
      </c>
      <c r="L132" s="49" t="s">
        <v>2529</v>
      </c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>
        <v>500000.0</v>
      </c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>
        <v>450000.0</v>
      </c>
      <c r="AO132" s="50"/>
      <c r="AP132" s="50">
        <v>500000.0</v>
      </c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>
        <f t="shared" si="3"/>
        <v>450000</v>
      </c>
      <c r="BD132" s="50">
        <f t="shared" si="4"/>
        <v>1000000</v>
      </c>
      <c r="BE132" s="50">
        <f t="shared" si="5"/>
        <v>0</v>
      </c>
      <c r="BF132" s="50">
        <f t="shared" si="6"/>
        <v>1450000</v>
      </c>
      <c r="BG132" s="46"/>
      <c r="BH132" s="46"/>
      <c r="BI132" s="46"/>
      <c r="BJ132" s="45" t="str">
        <f t="shared" ref="BJ132:BK132" si="135">H132</f>
        <v>B</v>
      </c>
      <c r="BK132" s="45" t="str">
        <f t="shared" si="135"/>
        <v>B-7</v>
      </c>
      <c r="BL132" s="51">
        <v>613000.0</v>
      </c>
    </row>
    <row r="133">
      <c r="A133" s="12">
        <f t="shared" si="2"/>
        <v>131</v>
      </c>
      <c r="B133" s="15" t="s">
        <v>2530</v>
      </c>
      <c r="C133" s="12">
        <v>2.024070698E9</v>
      </c>
      <c r="D133" s="15" t="s">
        <v>2531</v>
      </c>
      <c r="E133" s="15" t="s">
        <v>2532</v>
      </c>
      <c r="F133" s="15" t="s">
        <v>2533</v>
      </c>
      <c r="G133" s="16" t="s">
        <v>2336</v>
      </c>
      <c r="H133" s="12" t="s">
        <v>592</v>
      </c>
      <c r="I133" s="14" t="s">
        <v>2482</v>
      </c>
      <c r="J133" s="16">
        <v>3.0</v>
      </c>
      <c r="K133" s="16" t="s">
        <v>2483</v>
      </c>
      <c r="L133" s="44" t="s">
        <v>2534</v>
      </c>
      <c r="M133" s="18"/>
      <c r="N133" s="18"/>
      <c r="O133" s="18"/>
      <c r="P133" s="18"/>
      <c r="Q133" s="18"/>
      <c r="R133" s="18"/>
      <c r="S133" s="18"/>
      <c r="T133" s="18"/>
      <c r="U133" s="18"/>
      <c r="V133" s="18">
        <v>450000.0</v>
      </c>
      <c r="W133" s="18">
        <v>450000.0</v>
      </c>
      <c r="X133" s="18">
        <v>450000.0</v>
      </c>
      <c r="Y133" s="18">
        <v>450000.0</v>
      </c>
      <c r="Z133" s="18">
        <v>450000.0</v>
      </c>
      <c r="AA133" s="18">
        <v>350000.0</v>
      </c>
      <c r="AB133" s="18">
        <v>500000.0</v>
      </c>
      <c r="AC133" s="18">
        <v>450000.0</v>
      </c>
      <c r="AD133" s="18">
        <v>450000.0</v>
      </c>
      <c r="AE133" s="18">
        <v>450000.0</v>
      </c>
      <c r="AF133" s="18">
        <v>450000.0</v>
      </c>
      <c r="AG133" s="18">
        <v>450000.0</v>
      </c>
      <c r="AH133" s="18">
        <v>450000.0</v>
      </c>
      <c r="AI133" s="18">
        <v>450000.0</v>
      </c>
      <c r="AJ133" s="18">
        <v>450000.0</v>
      </c>
      <c r="AK133" s="18">
        <v>450000.0</v>
      </c>
      <c r="AL133" s="18">
        <v>450000.0</v>
      </c>
      <c r="AM133" s="18">
        <v>450000.0</v>
      </c>
      <c r="AN133" s="18">
        <v>450000.0</v>
      </c>
      <c r="AO133" s="18"/>
      <c r="AP133" s="18">
        <v>500000.0</v>
      </c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>
        <f t="shared" si="3"/>
        <v>7650000</v>
      </c>
      <c r="BD133" s="18">
        <f t="shared" si="4"/>
        <v>1000000</v>
      </c>
      <c r="BE133" s="18">
        <f t="shared" si="5"/>
        <v>350000</v>
      </c>
      <c r="BF133" s="18">
        <f t="shared" si="6"/>
        <v>9000000</v>
      </c>
      <c r="BG133" s="15"/>
      <c r="BH133" s="15"/>
      <c r="BI133" s="15"/>
      <c r="BJ133" s="12" t="str">
        <f t="shared" ref="BJ133:BK133" si="136">H133</f>
        <v>B</v>
      </c>
      <c r="BK133" s="12" t="str">
        <f t="shared" si="136"/>
        <v>B-4</v>
      </c>
      <c r="BL133" s="32">
        <v>613000.0</v>
      </c>
    </row>
    <row r="134">
      <c r="A134" s="45">
        <f t="shared" si="2"/>
        <v>132</v>
      </c>
      <c r="B134" s="46" t="s">
        <v>2535</v>
      </c>
      <c r="C134" s="45">
        <v>2.024070084E9</v>
      </c>
      <c r="D134" s="46" t="s">
        <v>2536</v>
      </c>
      <c r="E134" s="46" t="s">
        <v>2537</v>
      </c>
      <c r="F134" s="46" t="s">
        <v>2476</v>
      </c>
      <c r="G134" s="47" t="s">
        <v>2237</v>
      </c>
      <c r="H134" s="45" t="s">
        <v>592</v>
      </c>
      <c r="I134" s="48" t="s">
        <v>2509</v>
      </c>
      <c r="J134" s="47">
        <v>3.0</v>
      </c>
      <c r="K134" s="47" t="s">
        <v>2493</v>
      </c>
      <c r="L134" s="49" t="s">
        <v>2538</v>
      </c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>
        <f t="shared" si="3"/>
        <v>0</v>
      </c>
      <c r="BD134" s="50">
        <f t="shared" si="4"/>
        <v>0</v>
      </c>
      <c r="BE134" s="50">
        <f t="shared" si="5"/>
        <v>0</v>
      </c>
      <c r="BF134" s="50">
        <f t="shared" si="6"/>
        <v>0</v>
      </c>
      <c r="BG134" s="46"/>
      <c r="BH134" s="46"/>
      <c r="BI134" s="46"/>
      <c r="BJ134" s="45" t="str">
        <f t="shared" ref="BJ134:BK134" si="137">H134</f>
        <v>B</v>
      </c>
      <c r="BK134" s="45" t="str">
        <f t="shared" si="137"/>
        <v>B-5</v>
      </c>
      <c r="BL134" s="51">
        <v>613000.0</v>
      </c>
    </row>
    <row r="135">
      <c r="A135" s="12">
        <f t="shared" si="2"/>
        <v>133</v>
      </c>
      <c r="B135" s="15" t="s">
        <v>2539</v>
      </c>
      <c r="C135" s="12">
        <v>2.024070438E9</v>
      </c>
      <c r="D135" s="15" t="s">
        <v>2540</v>
      </c>
      <c r="E135" s="15" t="s">
        <v>2541</v>
      </c>
      <c r="F135" s="15" t="s">
        <v>2542</v>
      </c>
      <c r="G135" s="16" t="s">
        <v>2248</v>
      </c>
      <c r="H135" s="12" t="s">
        <v>592</v>
      </c>
      <c r="I135" s="14" t="s">
        <v>695</v>
      </c>
      <c r="J135" s="16">
        <v>3.0</v>
      </c>
      <c r="K135" s="16" t="s">
        <v>2528</v>
      </c>
      <c r="L135" s="44" t="s">
        <v>2543</v>
      </c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>
        <v>500000.0</v>
      </c>
      <c r="AC135" s="18"/>
      <c r="AD135" s="18"/>
      <c r="AE135" s="18"/>
      <c r="AF135" s="18"/>
      <c r="AG135" s="18"/>
      <c r="AH135" s="18">
        <v>450000.0</v>
      </c>
      <c r="AI135" s="18">
        <v>450000.0</v>
      </c>
      <c r="AJ135" s="18">
        <v>450000.0</v>
      </c>
      <c r="AK135" s="18">
        <v>450000.0</v>
      </c>
      <c r="AL135" s="18">
        <v>450000.0</v>
      </c>
      <c r="AM135" s="18">
        <v>450000.0</v>
      </c>
      <c r="AN135" s="18">
        <v>450000.0</v>
      </c>
      <c r="AO135" s="18"/>
      <c r="AP135" s="18">
        <v>500000.0</v>
      </c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>
        <f t="shared" si="3"/>
        <v>3150000</v>
      </c>
      <c r="BD135" s="18">
        <f t="shared" si="4"/>
        <v>1000000</v>
      </c>
      <c r="BE135" s="18">
        <f t="shared" si="5"/>
        <v>0</v>
      </c>
      <c r="BF135" s="18">
        <f t="shared" si="6"/>
        <v>4150000</v>
      </c>
      <c r="BG135" s="15"/>
      <c r="BH135" s="15"/>
      <c r="BI135" s="15"/>
      <c r="BJ135" s="12" t="str">
        <f t="shared" ref="BJ135:BK135" si="138">H135</f>
        <v>B</v>
      </c>
      <c r="BK135" s="12" t="str">
        <f t="shared" si="138"/>
        <v>B-7</v>
      </c>
      <c r="BL135" s="32">
        <v>613000.0</v>
      </c>
    </row>
    <row r="136">
      <c r="A136" s="45">
        <f t="shared" si="2"/>
        <v>134</v>
      </c>
      <c r="B136" s="46" t="s">
        <v>2544</v>
      </c>
      <c r="C136" s="45">
        <v>2.02407044E9</v>
      </c>
      <c r="D136" s="46" t="s">
        <v>2545</v>
      </c>
      <c r="E136" s="46" t="s">
        <v>2546</v>
      </c>
      <c r="F136" s="46" t="s">
        <v>2547</v>
      </c>
      <c r="G136" s="47" t="s">
        <v>2248</v>
      </c>
      <c r="H136" s="45" t="s">
        <v>592</v>
      </c>
      <c r="I136" s="48" t="s">
        <v>695</v>
      </c>
      <c r="J136" s="47">
        <v>3.0</v>
      </c>
      <c r="K136" s="47" t="s">
        <v>2528</v>
      </c>
      <c r="L136" s="49" t="s">
        <v>2548</v>
      </c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>
        <v>500000.0</v>
      </c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>
        <f t="shared" si="3"/>
        <v>0</v>
      </c>
      <c r="BD136" s="50">
        <f t="shared" si="4"/>
        <v>500000</v>
      </c>
      <c r="BE136" s="50">
        <f t="shared" si="5"/>
        <v>0</v>
      </c>
      <c r="BF136" s="50">
        <f t="shared" si="6"/>
        <v>500000</v>
      </c>
      <c r="BG136" s="46"/>
      <c r="BH136" s="46"/>
      <c r="BI136" s="46"/>
      <c r="BJ136" s="45" t="str">
        <f t="shared" ref="BJ136:BK136" si="139">H136</f>
        <v>B</v>
      </c>
      <c r="BK136" s="45" t="str">
        <f t="shared" si="139"/>
        <v>B-7</v>
      </c>
      <c r="BL136" s="51">
        <v>613000.0</v>
      </c>
    </row>
    <row r="137">
      <c r="A137" s="12">
        <f t="shared" si="2"/>
        <v>135</v>
      </c>
      <c r="B137" s="15" t="s">
        <v>2549</v>
      </c>
      <c r="C137" s="12">
        <v>2.024070441E9</v>
      </c>
      <c r="D137" s="15" t="s">
        <v>2550</v>
      </c>
      <c r="E137" s="15" t="s">
        <v>2551</v>
      </c>
      <c r="F137" s="15" t="s">
        <v>2552</v>
      </c>
      <c r="G137" s="16" t="s">
        <v>2248</v>
      </c>
      <c r="H137" s="12" t="s">
        <v>592</v>
      </c>
      <c r="I137" s="14" t="s">
        <v>695</v>
      </c>
      <c r="J137" s="16">
        <v>3.0</v>
      </c>
      <c r="K137" s="16" t="s">
        <v>2528</v>
      </c>
      <c r="L137" s="44" t="s">
        <v>2553</v>
      </c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>
        <v>350000.0</v>
      </c>
      <c r="AB137" s="18"/>
      <c r="AC137" s="18"/>
      <c r="AD137" s="18"/>
      <c r="AE137" s="18"/>
      <c r="AF137" s="18"/>
      <c r="AG137" s="18"/>
      <c r="AH137" s="18"/>
      <c r="AI137" s="18"/>
      <c r="AJ137" s="18"/>
      <c r="AK137" s="18">
        <v>450000.0</v>
      </c>
      <c r="AL137" s="18">
        <v>450000.0</v>
      </c>
      <c r="AM137" s="18">
        <v>450000.0</v>
      </c>
      <c r="AN137" s="18">
        <v>450000.0</v>
      </c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>
        <f t="shared" si="3"/>
        <v>1800000</v>
      </c>
      <c r="BD137" s="18">
        <f t="shared" si="4"/>
        <v>0</v>
      </c>
      <c r="BE137" s="18">
        <f t="shared" si="5"/>
        <v>350000</v>
      </c>
      <c r="BF137" s="18">
        <f t="shared" si="6"/>
        <v>2150000</v>
      </c>
      <c r="BG137" s="15"/>
      <c r="BH137" s="15"/>
      <c r="BI137" s="15"/>
      <c r="BJ137" s="12" t="str">
        <f t="shared" ref="BJ137:BK137" si="140">H137</f>
        <v>B</v>
      </c>
      <c r="BK137" s="12" t="str">
        <f t="shared" si="140"/>
        <v>B-7</v>
      </c>
      <c r="BL137" s="32">
        <v>613000.0</v>
      </c>
    </row>
    <row r="138">
      <c r="A138" s="45">
        <f t="shared" si="2"/>
        <v>136</v>
      </c>
      <c r="B138" s="46" t="s">
        <v>2554</v>
      </c>
      <c r="C138" s="45">
        <v>2.02407056E9</v>
      </c>
      <c r="D138" s="46" t="s">
        <v>2555</v>
      </c>
      <c r="E138" s="46" t="s">
        <v>2556</v>
      </c>
      <c r="F138" s="46" t="s">
        <v>2557</v>
      </c>
      <c r="G138" s="47" t="s">
        <v>1924</v>
      </c>
      <c r="H138" s="45" t="s">
        <v>592</v>
      </c>
      <c r="I138" s="48" t="s">
        <v>2395</v>
      </c>
      <c r="J138" s="47">
        <v>3.0</v>
      </c>
      <c r="K138" s="47" t="s">
        <v>2396</v>
      </c>
      <c r="L138" s="49" t="s">
        <v>2558</v>
      </c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>
        <v>500000.0</v>
      </c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>
        <f t="shared" si="3"/>
        <v>0</v>
      </c>
      <c r="BD138" s="50">
        <f t="shared" si="4"/>
        <v>500000</v>
      </c>
      <c r="BE138" s="50">
        <f t="shared" si="5"/>
        <v>0</v>
      </c>
      <c r="BF138" s="50">
        <f t="shared" si="6"/>
        <v>500000</v>
      </c>
      <c r="BG138" s="46"/>
      <c r="BH138" s="46"/>
      <c r="BI138" s="46"/>
      <c r="BJ138" s="45" t="str">
        <f t="shared" ref="BJ138:BK138" si="141">H138</f>
        <v>B</v>
      </c>
      <c r="BK138" s="45" t="str">
        <f t="shared" si="141"/>
        <v>B-9</v>
      </c>
      <c r="BL138" s="51">
        <v>613000.0</v>
      </c>
    </row>
    <row r="139">
      <c r="A139" s="12">
        <f t="shared" si="2"/>
        <v>137</v>
      </c>
      <c r="B139" s="15" t="s">
        <v>2559</v>
      </c>
      <c r="C139" s="12">
        <v>2.024070492E9</v>
      </c>
      <c r="D139" s="15" t="s">
        <v>915</v>
      </c>
      <c r="E139" s="15" t="s">
        <v>2560</v>
      </c>
      <c r="F139" s="15" t="s">
        <v>2561</v>
      </c>
      <c r="G139" s="16" t="s">
        <v>2406</v>
      </c>
      <c r="H139" s="12" t="s">
        <v>863</v>
      </c>
      <c r="I139" s="14" t="s">
        <v>881</v>
      </c>
      <c r="J139" s="16">
        <v>3.0</v>
      </c>
      <c r="K139" s="16" t="s">
        <v>2413</v>
      </c>
      <c r="L139" s="44" t="s">
        <v>2562</v>
      </c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>
        <v>500000.0</v>
      </c>
      <c r="AC139" s="18"/>
      <c r="AD139" s="18"/>
      <c r="AE139" s="18"/>
      <c r="AF139" s="18"/>
      <c r="AG139" s="18"/>
      <c r="AH139" s="18"/>
      <c r="AI139" s="18"/>
      <c r="AJ139" s="18"/>
      <c r="AK139" s="18">
        <v>450000.0</v>
      </c>
      <c r="AL139" s="18">
        <v>450000.0</v>
      </c>
      <c r="AM139" s="18">
        <v>450000.0</v>
      </c>
      <c r="AN139" s="18">
        <v>450000.0</v>
      </c>
      <c r="AO139" s="18"/>
      <c r="AP139" s="18">
        <v>500000.0</v>
      </c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>
        <f t="shared" si="3"/>
        <v>1800000</v>
      </c>
      <c r="BD139" s="18">
        <f t="shared" si="4"/>
        <v>1000000</v>
      </c>
      <c r="BE139" s="18">
        <f t="shared" si="5"/>
        <v>0</v>
      </c>
      <c r="BF139" s="18">
        <f t="shared" si="6"/>
        <v>2800000</v>
      </c>
      <c r="BG139" s="15"/>
      <c r="BH139" s="15"/>
      <c r="BI139" s="15"/>
      <c r="BJ139" s="12" t="str">
        <f t="shared" ref="BJ139:BK139" si="142">H139</f>
        <v>C</v>
      </c>
      <c r="BK139" s="12" t="str">
        <f t="shared" si="142"/>
        <v>C-12</v>
      </c>
      <c r="BL139" s="32">
        <v>613000.0</v>
      </c>
    </row>
    <row r="140">
      <c r="A140" s="45">
        <f t="shared" si="2"/>
        <v>138</v>
      </c>
      <c r="B140" s="46" t="s">
        <v>2563</v>
      </c>
      <c r="C140" s="45">
        <v>2.02407064E9</v>
      </c>
      <c r="D140" s="46" t="s">
        <v>2564</v>
      </c>
      <c r="E140" s="46" t="s">
        <v>2565</v>
      </c>
      <c r="F140" s="46" t="s">
        <v>2566</v>
      </c>
      <c r="G140" s="47" t="s">
        <v>2406</v>
      </c>
      <c r="H140" s="45" t="s">
        <v>863</v>
      </c>
      <c r="I140" s="48" t="s">
        <v>892</v>
      </c>
      <c r="J140" s="47">
        <v>3.0</v>
      </c>
      <c r="K140" s="47" t="s">
        <v>2396</v>
      </c>
      <c r="L140" s="49" t="s">
        <v>2567</v>
      </c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>
        <f t="shared" si="3"/>
        <v>0</v>
      </c>
      <c r="BD140" s="50">
        <f t="shared" si="4"/>
        <v>0</v>
      </c>
      <c r="BE140" s="50">
        <f t="shared" si="5"/>
        <v>0</v>
      </c>
      <c r="BF140" s="50">
        <f t="shared" si="6"/>
        <v>0</v>
      </c>
      <c r="BG140" s="46"/>
      <c r="BH140" s="46"/>
      <c r="BI140" s="46"/>
      <c r="BJ140" s="45" t="str">
        <f t="shared" ref="BJ140:BK140" si="143">H140</f>
        <v>C</v>
      </c>
      <c r="BK140" s="45" t="str">
        <f t="shared" si="143"/>
        <v>C-13</v>
      </c>
      <c r="BL140" s="51">
        <v>613000.0</v>
      </c>
    </row>
    <row r="141">
      <c r="A141" s="12">
        <f t="shared" si="2"/>
        <v>139</v>
      </c>
      <c r="B141" s="15" t="s">
        <v>2568</v>
      </c>
      <c r="C141" s="12">
        <v>2.024070495E9</v>
      </c>
      <c r="D141" s="15" t="s">
        <v>2569</v>
      </c>
      <c r="E141" s="15" t="s">
        <v>2570</v>
      </c>
      <c r="F141" s="15" t="s">
        <v>2571</v>
      </c>
      <c r="G141" s="16" t="s">
        <v>1946</v>
      </c>
      <c r="H141" s="12" t="s">
        <v>863</v>
      </c>
      <c r="I141" s="14" t="s">
        <v>881</v>
      </c>
      <c r="J141" s="16">
        <v>3.0</v>
      </c>
      <c r="K141" s="16" t="s">
        <v>2396</v>
      </c>
      <c r="L141" s="44" t="s">
        <v>2572</v>
      </c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>
        <v>500000.0</v>
      </c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>
        <f t="shared" si="3"/>
        <v>0</v>
      </c>
      <c r="BD141" s="18">
        <f t="shared" si="4"/>
        <v>500000</v>
      </c>
      <c r="BE141" s="18">
        <f t="shared" si="5"/>
        <v>0</v>
      </c>
      <c r="BF141" s="18">
        <f t="shared" si="6"/>
        <v>500000</v>
      </c>
      <c r="BG141" s="15"/>
      <c r="BH141" s="15"/>
      <c r="BI141" s="15"/>
      <c r="BJ141" s="12" t="str">
        <f t="shared" ref="BJ141:BK141" si="144">H141</f>
        <v>C</v>
      </c>
      <c r="BK141" s="12" t="str">
        <f t="shared" si="144"/>
        <v>C-12</v>
      </c>
      <c r="BL141" s="32">
        <v>613000.0</v>
      </c>
    </row>
    <row r="142">
      <c r="A142" s="45">
        <f t="shared" si="2"/>
        <v>140</v>
      </c>
      <c r="B142" s="46" t="s">
        <v>2573</v>
      </c>
      <c r="C142" s="45">
        <v>2.024070611E9</v>
      </c>
      <c r="D142" s="46" t="s">
        <v>2574</v>
      </c>
      <c r="E142" s="46" t="s">
        <v>2575</v>
      </c>
      <c r="F142" s="46" t="s">
        <v>442</v>
      </c>
      <c r="G142" s="47" t="s">
        <v>1917</v>
      </c>
      <c r="H142" s="45" t="s">
        <v>863</v>
      </c>
      <c r="I142" s="48" t="s">
        <v>2576</v>
      </c>
      <c r="J142" s="47">
        <v>3.0</v>
      </c>
      <c r="K142" s="47" t="s">
        <v>2396</v>
      </c>
      <c r="L142" s="49" t="s">
        <v>2577</v>
      </c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>
        <v>450000.0</v>
      </c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>
        <f t="shared" si="3"/>
        <v>450000</v>
      </c>
      <c r="BD142" s="50">
        <f t="shared" si="4"/>
        <v>0</v>
      </c>
      <c r="BE142" s="50">
        <f t="shared" si="5"/>
        <v>0</v>
      </c>
      <c r="BF142" s="50">
        <f t="shared" si="6"/>
        <v>450000</v>
      </c>
      <c r="BG142" s="46"/>
      <c r="BH142" s="46"/>
      <c r="BI142" s="46"/>
      <c r="BJ142" s="45" t="str">
        <f t="shared" ref="BJ142:BK142" si="145">H142</f>
        <v>C</v>
      </c>
      <c r="BK142" s="45" t="str">
        <f t="shared" si="145"/>
        <v>C-3</v>
      </c>
      <c r="BL142" s="51">
        <v>613000.0</v>
      </c>
    </row>
    <row r="143">
      <c r="A143" s="12">
        <f t="shared" si="2"/>
        <v>141</v>
      </c>
      <c r="B143" s="15" t="s">
        <v>2578</v>
      </c>
      <c r="C143" s="12">
        <v>2.024070488E9</v>
      </c>
      <c r="D143" s="15" t="s">
        <v>2579</v>
      </c>
      <c r="E143" s="15" t="s">
        <v>2580</v>
      </c>
      <c r="F143" s="15" t="s">
        <v>2581</v>
      </c>
      <c r="G143" s="16" t="s">
        <v>2406</v>
      </c>
      <c r="H143" s="12" t="s">
        <v>863</v>
      </c>
      <c r="I143" s="14" t="s">
        <v>881</v>
      </c>
      <c r="J143" s="16">
        <v>3.0</v>
      </c>
      <c r="K143" s="16" t="s">
        <v>2407</v>
      </c>
      <c r="L143" s="44" t="s">
        <v>2582</v>
      </c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>
        <f t="shared" si="3"/>
        <v>0</v>
      </c>
      <c r="BD143" s="18">
        <f t="shared" si="4"/>
        <v>0</v>
      </c>
      <c r="BE143" s="18">
        <f t="shared" si="5"/>
        <v>0</v>
      </c>
      <c r="BF143" s="18">
        <f t="shared" si="6"/>
        <v>0</v>
      </c>
      <c r="BG143" s="15"/>
      <c r="BH143" s="15"/>
      <c r="BI143" s="15"/>
      <c r="BJ143" s="12" t="str">
        <f t="shared" ref="BJ143:BK143" si="146">H143</f>
        <v>C</v>
      </c>
      <c r="BK143" s="12" t="str">
        <f t="shared" si="146"/>
        <v>C-12</v>
      </c>
      <c r="BL143" s="32">
        <v>613000.0</v>
      </c>
    </row>
    <row r="144">
      <c r="A144" s="45">
        <f t="shared" si="2"/>
        <v>142</v>
      </c>
      <c r="B144" s="46" t="s">
        <v>2583</v>
      </c>
      <c r="C144" s="45">
        <v>2.024070527E9</v>
      </c>
      <c r="D144" s="46" t="s">
        <v>2584</v>
      </c>
      <c r="E144" s="46" t="s">
        <v>2585</v>
      </c>
      <c r="F144" s="46" t="s">
        <v>2586</v>
      </c>
      <c r="G144" s="47" t="s">
        <v>1924</v>
      </c>
      <c r="H144" s="45" t="s">
        <v>863</v>
      </c>
      <c r="I144" s="48" t="s">
        <v>881</v>
      </c>
      <c r="J144" s="47">
        <v>3.0</v>
      </c>
      <c r="K144" s="45" t="s">
        <v>1918</v>
      </c>
      <c r="L144" s="49" t="s">
        <v>2587</v>
      </c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>
        <v>450000.0</v>
      </c>
      <c r="AO144" s="50"/>
      <c r="AP144" s="50">
        <v>500000.0</v>
      </c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>
        <f t="shared" si="3"/>
        <v>450000</v>
      </c>
      <c r="BD144" s="50">
        <f t="shared" si="4"/>
        <v>500000</v>
      </c>
      <c r="BE144" s="50">
        <f t="shared" si="5"/>
        <v>0</v>
      </c>
      <c r="BF144" s="50">
        <f t="shared" si="6"/>
        <v>950000</v>
      </c>
      <c r="BG144" s="46"/>
      <c r="BH144" s="46"/>
      <c r="BI144" s="46"/>
      <c r="BJ144" s="45" t="str">
        <f t="shared" ref="BJ144:BK144" si="147">H144</f>
        <v>C</v>
      </c>
      <c r="BK144" s="45" t="str">
        <f t="shared" si="147"/>
        <v>C-12</v>
      </c>
      <c r="BL144" s="51">
        <v>613000.0</v>
      </c>
    </row>
    <row r="145">
      <c r="A145" s="12">
        <f t="shared" si="2"/>
        <v>143</v>
      </c>
      <c r="B145" s="15" t="s">
        <v>2588</v>
      </c>
      <c r="C145" s="12">
        <v>2.02407052E9</v>
      </c>
      <c r="D145" s="15" t="s">
        <v>2589</v>
      </c>
      <c r="E145" s="15" t="s">
        <v>2590</v>
      </c>
      <c r="F145" s="15" t="s">
        <v>2591</v>
      </c>
      <c r="G145" s="16" t="s">
        <v>1924</v>
      </c>
      <c r="H145" s="12" t="s">
        <v>863</v>
      </c>
      <c r="I145" s="14" t="s">
        <v>892</v>
      </c>
      <c r="J145" s="16">
        <v>3.0</v>
      </c>
      <c r="K145" s="16" t="s">
        <v>2407</v>
      </c>
      <c r="L145" s="44" t="s">
        <v>2592</v>
      </c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>
        <v>500000.0</v>
      </c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>
        <v>500000.0</v>
      </c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>
        <f t="shared" si="3"/>
        <v>0</v>
      </c>
      <c r="BD145" s="18">
        <f t="shared" si="4"/>
        <v>1000000</v>
      </c>
      <c r="BE145" s="18">
        <f t="shared" si="5"/>
        <v>0</v>
      </c>
      <c r="BF145" s="18">
        <f t="shared" si="6"/>
        <v>1000000</v>
      </c>
      <c r="BG145" s="15"/>
      <c r="BH145" s="15"/>
      <c r="BI145" s="15"/>
      <c r="BJ145" s="12" t="str">
        <f t="shared" ref="BJ145:BK145" si="148">H145</f>
        <v>C</v>
      </c>
      <c r="BK145" s="12" t="str">
        <f t="shared" si="148"/>
        <v>C-13</v>
      </c>
      <c r="BL145" s="32">
        <v>613000.0</v>
      </c>
    </row>
    <row r="146">
      <c r="A146" s="45">
        <f t="shared" si="2"/>
        <v>144</v>
      </c>
      <c r="B146" s="46" t="s">
        <v>2593</v>
      </c>
      <c r="C146" s="45">
        <v>2.024070631E9</v>
      </c>
      <c r="D146" s="46" t="s">
        <v>2594</v>
      </c>
      <c r="E146" s="46" t="s">
        <v>2595</v>
      </c>
      <c r="F146" s="46" t="s">
        <v>2596</v>
      </c>
      <c r="G146" s="47" t="s">
        <v>1917</v>
      </c>
      <c r="H146" s="45" t="s">
        <v>863</v>
      </c>
      <c r="I146" s="48" t="s">
        <v>2576</v>
      </c>
      <c r="J146" s="47">
        <v>3.0</v>
      </c>
      <c r="K146" s="45" t="s">
        <v>1918</v>
      </c>
      <c r="L146" s="49" t="s">
        <v>2597</v>
      </c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>
        <v>500000.0</v>
      </c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>
        <f t="shared" si="3"/>
        <v>0</v>
      </c>
      <c r="BD146" s="50">
        <f t="shared" si="4"/>
        <v>500000</v>
      </c>
      <c r="BE146" s="50">
        <f t="shared" si="5"/>
        <v>0</v>
      </c>
      <c r="BF146" s="50">
        <f t="shared" si="6"/>
        <v>500000</v>
      </c>
      <c r="BG146" s="46"/>
      <c r="BH146" s="46"/>
      <c r="BI146" s="46"/>
      <c r="BJ146" s="45" t="str">
        <f t="shared" ref="BJ146:BK146" si="149">H146</f>
        <v>C</v>
      </c>
      <c r="BK146" s="45" t="str">
        <f t="shared" si="149"/>
        <v>C-3</v>
      </c>
      <c r="BL146" s="51">
        <v>613000.0</v>
      </c>
    </row>
    <row r="147">
      <c r="A147" s="12">
        <f t="shared" si="2"/>
        <v>145</v>
      </c>
      <c r="B147" s="15" t="s">
        <v>2598</v>
      </c>
      <c r="C147" s="12">
        <v>2.024070605E9</v>
      </c>
      <c r="D147" s="15" t="s">
        <v>2599</v>
      </c>
      <c r="E147" s="15" t="s">
        <v>2600</v>
      </c>
      <c r="F147" s="15" t="s">
        <v>2601</v>
      </c>
      <c r="G147" s="16" t="s">
        <v>1897</v>
      </c>
      <c r="H147" s="12" t="s">
        <v>863</v>
      </c>
      <c r="I147" s="14" t="s">
        <v>2576</v>
      </c>
      <c r="J147" s="16">
        <v>3.0</v>
      </c>
      <c r="K147" s="16" t="s">
        <v>2413</v>
      </c>
      <c r="L147" s="44" t="s">
        <v>2602</v>
      </c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>
        <f t="shared" si="3"/>
        <v>0</v>
      </c>
      <c r="BD147" s="18">
        <f t="shared" si="4"/>
        <v>0</v>
      </c>
      <c r="BE147" s="18">
        <f t="shared" si="5"/>
        <v>0</v>
      </c>
      <c r="BF147" s="18">
        <f t="shared" si="6"/>
        <v>0</v>
      </c>
      <c r="BG147" s="15"/>
      <c r="BH147" s="15"/>
      <c r="BI147" s="15"/>
      <c r="BJ147" s="12" t="str">
        <f t="shared" ref="BJ147:BK147" si="150">H147</f>
        <v>C</v>
      </c>
      <c r="BK147" s="12" t="str">
        <f t="shared" si="150"/>
        <v>C-3</v>
      </c>
      <c r="BL147" s="32">
        <v>613000.0</v>
      </c>
    </row>
    <row r="148">
      <c r="A148" s="45">
        <f t="shared" si="2"/>
        <v>146</v>
      </c>
      <c r="B148" s="46" t="s">
        <v>2603</v>
      </c>
      <c r="C148" s="45">
        <v>2.02407049E9</v>
      </c>
      <c r="D148" s="46" t="s">
        <v>2604</v>
      </c>
      <c r="E148" s="46" t="s">
        <v>2605</v>
      </c>
      <c r="F148" s="46" t="s">
        <v>2606</v>
      </c>
      <c r="G148" s="47" t="s">
        <v>1946</v>
      </c>
      <c r="H148" s="45" t="s">
        <v>863</v>
      </c>
      <c r="I148" s="48" t="s">
        <v>881</v>
      </c>
      <c r="J148" s="47">
        <v>3.0</v>
      </c>
      <c r="K148" s="47" t="s">
        <v>2413</v>
      </c>
      <c r="L148" s="49" t="s">
        <v>2607</v>
      </c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>
        <f t="shared" si="3"/>
        <v>0</v>
      </c>
      <c r="BD148" s="50">
        <f t="shared" si="4"/>
        <v>0</v>
      </c>
      <c r="BE148" s="50">
        <f t="shared" si="5"/>
        <v>0</v>
      </c>
      <c r="BF148" s="50">
        <f t="shared" si="6"/>
        <v>0</v>
      </c>
      <c r="BG148" s="46"/>
      <c r="BH148" s="46"/>
      <c r="BI148" s="46"/>
      <c r="BJ148" s="45" t="str">
        <f t="shared" ref="BJ148:BK148" si="151">H148</f>
        <v>C</v>
      </c>
      <c r="BK148" s="45" t="str">
        <f t="shared" si="151"/>
        <v>C-12</v>
      </c>
      <c r="BL148" s="51">
        <v>613000.0</v>
      </c>
    </row>
    <row r="149">
      <c r="A149" s="12">
        <f t="shared" si="2"/>
        <v>147</v>
      </c>
      <c r="B149" s="15" t="s">
        <v>2608</v>
      </c>
      <c r="C149" s="12">
        <v>2.024070489E9</v>
      </c>
      <c r="D149" s="15" t="s">
        <v>2609</v>
      </c>
      <c r="E149" s="15" t="s">
        <v>514</v>
      </c>
      <c r="F149" s="15" t="s">
        <v>2610</v>
      </c>
      <c r="G149" s="16" t="s">
        <v>2406</v>
      </c>
      <c r="H149" s="12" t="s">
        <v>863</v>
      </c>
      <c r="I149" s="14" t="s">
        <v>892</v>
      </c>
      <c r="J149" s="16">
        <v>3.0</v>
      </c>
      <c r="K149" s="16" t="s">
        <v>2413</v>
      </c>
      <c r="L149" s="44" t="s">
        <v>2611</v>
      </c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>
        <f t="shared" si="3"/>
        <v>0</v>
      </c>
      <c r="BD149" s="18">
        <f t="shared" si="4"/>
        <v>0</v>
      </c>
      <c r="BE149" s="18">
        <f t="shared" si="5"/>
        <v>0</v>
      </c>
      <c r="BF149" s="18">
        <f t="shared" si="6"/>
        <v>0</v>
      </c>
      <c r="BG149" s="15"/>
      <c r="BH149" s="15"/>
      <c r="BI149" s="15"/>
      <c r="BJ149" s="12" t="str">
        <f t="shared" ref="BJ149:BK149" si="152">H149</f>
        <v>C</v>
      </c>
      <c r="BK149" s="12" t="str">
        <f t="shared" si="152"/>
        <v>C-13</v>
      </c>
      <c r="BL149" s="32">
        <v>613000.0</v>
      </c>
    </row>
    <row r="150">
      <c r="A150" s="45">
        <f t="shared" si="2"/>
        <v>148</v>
      </c>
      <c r="B150" s="46" t="s">
        <v>2612</v>
      </c>
      <c r="C150" s="45">
        <v>2.024070633E9</v>
      </c>
      <c r="D150" s="46" t="s">
        <v>2613</v>
      </c>
      <c r="E150" s="46" t="s">
        <v>2614</v>
      </c>
      <c r="F150" s="46" t="s">
        <v>998</v>
      </c>
      <c r="G150" s="47" t="s">
        <v>1924</v>
      </c>
      <c r="H150" s="45" t="s">
        <v>863</v>
      </c>
      <c r="I150" s="48" t="s">
        <v>881</v>
      </c>
      <c r="J150" s="47">
        <v>3.0</v>
      </c>
      <c r="K150" s="45" t="s">
        <v>1918</v>
      </c>
      <c r="L150" s="49" t="s">
        <v>2615</v>
      </c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>
        <v>500000.0</v>
      </c>
      <c r="AC150" s="50"/>
      <c r="AD150" s="50"/>
      <c r="AE150" s="50"/>
      <c r="AF150" s="50"/>
      <c r="AG150" s="50"/>
      <c r="AH150" s="50"/>
      <c r="AI150" s="50"/>
      <c r="AJ150" s="50">
        <v>450000.0</v>
      </c>
      <c r="AK150" s="50">
        <v>450000.0</v>
      </c>
      <c r="AL150" s="50">
        <v>450000.0</v>
      </c>
      <c r="AM150" s="50">
        <v>450000.0</v>
      </c>
      <c r="AN150" s="50">
        <v>450000.0</v>
      </c>
      <c r="AO150" s="50"/>
      <c r="AP150" s="50">
        <v>500000.0</v>
      </c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>
        <f t="shared" si="3"/>
        <v>2250000</v>
      </c>
      <c r="BD150" s="50">
        <f t="shared" si="4"/>
        <v>1000000</v>
      </c>
      <c r="BE150" s="50">
        <f t="shared" si="5"/>
        <v>0</v>
      </c>
      <c r="BF150" s="50">
        <f t="shared" si="6"/>
        <v>3250000</v>
      </c>
      <c r="BG150" s="46"/>
      <c r="BH150" s="46"/>
      <c r="BI150" s="46"/>
      <c r="BJ150" s="45" t="str">
        <f t="shared" ref="BJ150:BK150" si="153">H150</f>
        <v>C</v>
      </c>
      <c r="BK150" s="45" t="str">
        <f t="shared" si="153"/>
        <v>C-12</v>
      </c>
      <c r="BL150" s="51">
        <v>613000.0</v>
      </c>
    </row>
    <row r="151">
      <c r="A151" s="12">
        <f t="shared" si="2"/>
        <v>149</v>
      </c>
      <c r="B151" s="15" t="s">
        <v>2616</v>
      </c>
      <c r="C151" s="12">
        <v>2.024070497E9</v>
      </c>
      <c r="D151" s="15" t="s">
        <v>2617</v>
      </c>
      <c r="E151" s="15" t="s">
        <v>2618</v>
      </c>
      <c r="F151" s="15" t="s">
        <v>2571</v>
      </c>
      <c r="G151" s="16" t="s">
        <v>1946</v>
      </c>
      <c r="H151" s="12" t="s">
        <v>863</v>
      </c>
      <c r="I151" s="14" t="s">
        <v>881</v>
      </c>
      <c r="J151" s="16">
        <v>3.0</v>
      </c>
      <c r="K151" s="16" t="s">
        <v>2407</v>
      </c>
      <c r="L151" s="44" t="s">
        <v>2619</v>
      </c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>
        <v>450000.0</v>
      </c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>
        <f t="shared" si="3"/>
        <v>450000</v>
      </c>
      <c r="BD151" s="18">
        <f t="shared" si="4"/>
        <v>0</v>
      </c>
      <c r="BE151" s="18">
        <f t="shared" si="5"/>
        <v>0</v>
      </c>
      <c r="BF151" s="18">
        <f t="shared" si="6"/>
        <v>450000</v>
      </c>
      <c r="BG151" s="15"/>
      <c r="BH151" s="15"/>
      <c r="BI151" s="15"/>
      <c r="BJ151" s="12" t="str">
        <f t="shared" ref="BJ151:BK151" si="154">H151</f>
        <v>C</v>
      </c>
      <c r="BK151" s="12" t="str">
        <f t="shared" si="154"/>
        <v>C-12</v>
      </c>
      <c r="BL151" s="32">
        <v>613000.0</v>
      </c>
    </row>
    <row r="152">
      <c r="A152" s="45">
        <f t="shared" si="2"/>
        <v>150</v>
      </c>
      <c r="B152" s="46" t="s">
        <v>2620</v>
      </c>
      <c r="C152" s="45">
        <v>2.024070636E9</v>
      </c>
      <c r="D152" s="46" t="s">
        <v>262</v>
      </c>
      <c r="E152" s="46" t="s">
        <v>2621</v>
      </c>
      <c r="F152" s="46" t="s">
        <v>2622</v>
      </c>
      <c r="G152" s="47" t="s">
        <v>2429</v>
      </c>
      <c r="H152" s="45" t="s">
        <v>863</v>
      </c>
      <c r="I152" s="48" t="s">
        <v>881</v>
      </c>
      <c r="J152" s="47">
        <v>3.0</v>
      </c>
      <c r="K152" s="47" t="s">
        <v>2396</v>
      </c>
      <c r="L152" s="49" t="s">
        <v>2623</v>
      </c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>
        <v>500000.0</v>
      </c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>
        <f t="shared" si="3"/>
        <v>0</v>
      </c>
      <c r="BD152" s="50">
        <f t="shared" si="4"/>
        <v>500000</v>
      </c>
      <c r="BE152" s="50">
        <f t="shared" si="5"/>
        <v>0</v>
      </c>
      <c r="BF152" s="50">
        <f t="shared" si="6"/>
        <v>500000</v>
      </c>
      <c r="BG152" s="46"/>
      <c r="BH152" s="46"/>
      <c r="BI152" s="46"/>
      <c r="BJ152" s="45" t="str">
        <f t="shared" ref="BJ152:BK152" si="155">H152</f>
        <v>C</v>
      </c>
      <c r="BK152" s="45" t="str">
        <f t="shared" si="155"/>
        <v>C-12</v>
      </c>
      <c r="BL152" s="51">
        <v>613000.0</v>
      </c>
    </row>
    <row r="153">
      <c r="A153" s="12">
        <f t="shared" si="2"/>
        <v>151</v>
      </c>
      <c r="B153" s="15" t="s">
        <v>2624</v>
      </c>
      <c r="C153" s="12">
        <v>2.024070609E9</v>
      </c>
      <c r="D153" s="15" t="s">
        <v>2125</v>
      </c>
      <c r="E153" s="15" t="s">
        <v>2625</v>
      </c>
      <c r="F153" s="15" t="s">
        <v>1172</v>
      </c>
      <c r="G153" s="16" t="s">
        <v>1946</v>
      </c>
      <c r="H153" s="12" t="s">
        <v>863</v>
      </c>
      <c r="I153" s="14" t="s">
        <v>881</v>
      </c>
      <c r="J153" s="16">
        <v>3.0</v>
      </c>
      <c r="K153" s="16" t="s">
        <v>2396</v>
      </c>
      <c r="L153" s="44" t="s">
        <v>2626</v>
      </c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>
        <v>500000.0</v>
      </c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>
        <f t="shared" si="3"/>
        <v>0</v>
      </c>
      <c r="BD153" s="18">
        <f t="shared" si="4"/>
        <v>500000</v>
      </c>
      <c r="BE153" s="18">
        <f t="shared" si="5"/>
        <v>0</v>
      </c>
      <c r="BF153" s="18">
        <f t="shared" si="6"/>
        <v>500000</v>
      </c>
      <c r="BG153" s="15"/>
      <c r="BH153" s="15"/>
      <c r="BI153" s="15"/>
      <c r="BJ153" s="12" t="str">
        <f t="shared" ref="BJ153:BK153" si="156">H153</f>
        <v>C</v>
      </c>
      <c r="BK153" s="12" t="str">
        <f t="shared" si="156"/>
        <v>C-12</v>
      </c>
      <c r="BL153" s="32">
        <v>613000.0</v>
      </c>
    </row>
    <row r="154">
      <c r="A154" s="45">
        <f t="shared" si="2"/>
        <v>152</v>
      </c>
      <c r="B154" s="46" t="s">
        <v>2627</v>
      </c>
      <c r="C154" s="45">
        <v>2.024070465E9</v>
      </c>
      <c r="D154" s="46" t="s">
        <v>2628</v>
      </c>
      <c r="E154" s="46" t="s">
        <v>2629</v>
      </c>
      <c r="F154" s="46" t="s">
        <v>2630</v>
      </c>
      <c r="G154" s="47" t="s">
        <v>1946</v>
      </c>
      <c r="H154" s="45" t="s">
        <v>863</v>
      </c>
      <c r="I154" s="48" t="s">
        <v>2576</v>
      </c>
      <c r="J154" s="47">
        <v>3.0</v>
      </c>
      <c r="K154" s="47" t="s">
        <v>2396</v>
      </c>
      <c r="L154" s="49" t="s">
        <v>2631</v>
      </c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>
        <f t="shared" si="3"/>
        <v>0</v>
      </c>
      <c r="BD154" s="50">
        <f t="shared" si="4"/>
        <v>0</v>
      </c>
      <c r="BE154" s="50">
        <f t="shared" si="5"/>
        <v>0</v>
      </c>
      <c r="BF154" s="50">
        <f t="shared" si="6"/>
        <v>0</v>
      </c>
      <c r="BG154" s="46"/>
      <c r="BH154" s="46"/>
      <c r="BI154" s="46"/>
      <c r="BJ154" s="45" t="str">
        <f t="shared" ref="BJ154:BK154" si="157">H154</f>
        <v>C</v>
      </c>
      <c r="BK154" s="45" t="str">
        <f t="shared" si="157"/>
        <v>C-3</v>
      </c>
      <c r="BL154" s="51">
        <v>613000.0</v>
      </c>
    </row>
    <row r="155">
      <c r="A155" s="12">
        <f t="shared" si="2"/>
        <v>153</v>
      </c>
      <c r="B155" s="15" t="s">
        <v>2632</v>
      </c>
      <c r="C155" s="12">
        <v>2.024070732E9</v>
      </c>
      <c r="D155" s="15" t="s">
        <v>2633</v>
      </c>
      <c r="E155" s="15" t="s">
        <v>514</v>
      </c>
      <c r="F155" s="15" t="s">
        <v>2634</v>
      </c>
      <c r="G155" s="16" t="s">
        <v>2049</v>
      </c>
      <c r="H155" s="12" t="s">
        <v>863</v>
      </c>
      <c r="I155" s="14" t="s">
        <v>2576</v>
      </c>
      <c r="J155" s="16">
        <v>3.0</v>
      </c>
      <c r="K155" s="16" t="s">
        <v>2396</v>
      </c>
      <c r="L155" s="44" t="s">
        <v>2635</v>
      </c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>
        <v>450000.0</v>
      </c>
      <c r="AN155" s="18">
        <v>450000.0</v>
      </c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>
        <f t="shared" si="3"/>
        <v>900000</v>
      </c>
      <c r="BD155" s="18">
        <f t="shared" si="4"/>
        <v>0</v>
      </c>
      <c r="BE155" s="18">
        <f t="shared" si="5"/>
        <v>0</v>
      </c>
      <c r="BF155" s="18">
        <f t="shared" si="6"/>
        <v>900000</v>
      </c>
      <c r="BG155" s="15"/>
      <c r="BH155" s="15"/>
      <c r="BI155" s="15"/>
      <c r="BJ155" s="12" t="str">
        <f t="shared" ref="BJ155:BK155" si="158">H155</f>
        <v>C</v>
      </c>
      <c r="BK155" s="12" t="str">
        <f t="shared" si="158"/>
        <v>C-3</v>
      </c>
      <c r="BL155" s="32">
        <v>613000.0</v>
      </c>
    </row>
    <row r="156">
      <c r="A156" s="45">
        <f t="shared" si="2"/>
        <v>154</v>
      </c>
      <c r="B156" s="46" t="s">
        <v>2636</v>
      </c>
      <c r="C156" s="45">
        <v>2.024070509E9</v>
      </c>
      <c r="D156" s="46" t="s">
        <v>2637</v>
      </c>
      <c r="E156" s="46" t="s">
        <v>2638</v>
      </c>
      <c r="F156" s="46" t="s">
        <v>2639</v>
      </c>
      <c r="G156" s="47" t="s">
        <v>2429</v>
      </c>
      <c r="H156" s="45" t="s">
        <v>863</v>
      </c>
      <c r="I156" s="48" t="s">
        <v>892</v>
      </c>
      <c r="J156" s="47">
        <v>3.0</v>
      </c>
      <c r="K156" s="47" t="s">
        <v>2396</v>
      </c>
      <c r="L156" s="49" t="s">
        <v>2640</v>
      </c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>
        <f t="shared" si="3"/>
        <v>0</v>
      </c>
      <c r="BD156" s="50">
        <f t="shared" si="4"/>
        <v>0</v>
      </c>
      <c r="BE156" s="50">
        <f t="shared" si="5"/>
        <v>0</v>
      </c>
      <c r="BF156" s="50">
        <f t="shared" si="6"/>
        <v>0</v>
      </c>
      <c r="BG156" s="46"/>
      <c r="BH156" s="46"/>
      <c r="BI156" s="46"/>
      <c r="BJ156" s="45" t="str">
        <f t="shared" ref="BJ156:BK156" si="159">H156</f>
        <v>C</v>
      </c>
      <c r="BK156" s="45" t="str">
        <f t="shared" si="159"/>
        <v>C-13</v>
      </c>
      <c r="BL156" s="51">
        <v>613000.0</v>
      </c>
    </row>
    <row r="157">
      <c r="A157" s="12">
        <f t="shared" si="2"/>
        <v>155</v>
      </c>
      <c r="B157" s="15" t="s">
        <v>2641</v>
      </c>
      <c r="C157" s="12">
        <v>2.024070623E9</v>
      </c>
      <c r="D157" s="15" t="s">
        <v>2642</v>
      </c>
      <c r="E157" s="15" t="s">
        <v>2643</v>
      </c>
      <c r="F157" s="15" t="s">
        <v>2644</v>
      </c>
      <c r="G157" s="16" t="s">
        <v>2429</v>
      </c>
      <c r="H157" s="12" t="s">
        <v>863</v>
      </c>
      <c r="I157" s="14" t="s">
        <v>881</v>
      </c>
      <c r="J157" s="16">
        <v>3.0</v>
      </c>
      <c r="K157" s="12" t="s">
        <v>1918</v>
      </c>
      <c r="L157" s="44" t="s">
        <v>2645</v>
      </c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>
        <f t="shared" si="3"/>
        <v>0</v>
      </c>
      <c r="BD157" s="18">
        <f t="shared" si="4"/>
        <v>0</v>
      </c>
      <c r="BE157" s="18">
        <f t="shared" si="5"/>
        <v>0</v>
      </c>
      <c r="BF157" s="18">
        <f t="shared" si="6"/>
        <v>0</v>
      </c>
      <c r="BG157" s="15"/>
      <c r="BH157" s="15"/>
      <c r="BI157" s="15"/>
      <c r="BJ157" s="12" t="str">
        <f t="shared" ref="BJ157:BK157" si="160">H157</f>
        <v>C</v>
      </c>
      <c r="BK157" s="12" t="str">
        <f t="shared" si="160"/>
        <v>C-12</v>
      </c>
      <c r="BL157" s="32">
        <v>613000.0</v>
      </c>
    </row>
    <row r="158">
      <c r="A158" s="45">
        <f t="shared" si="2"/>
        <v>156</v>
      </c>
      <c r="B158" s="46" t="s">
        <v>2646</v>
      </c>
      <c r="C158" s="45">
        <v>2.024070608E9</v>
      </c>
      <c r="D158" s="46" t="s">
        <v>2647</v>
      </c>
      <c r="E158" s="46" t="s">
        <v>2648</v>
      </c>
      <c r="F158" s="46" t="s">
        <v>199</v>
      </c>
      <c r="G158" s="47" t="s">
        <v>1946</v>
      </c>
      <c r="H158" s="45" t="s">
        <v>863</v>
      </c>
      <c r="I158" s="48" t="s">
        <v>881</v>
      </c>
      <c r="J158" s="47">
        <v>3.0</v>
      </c>
      <c r="K158" s="45" t="s">
        <v>1918</v>
      </c>
      <c r="L158" s="49" t="s">
        <v>2649</v>
      </c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>
        <f t="shared" si="3"/>
        <v>0</v>
      </c>
      <c r="BD158" s="50">
        <f t="shared" si="4"/>
        <v>0</v>
      </c>
      <c r="BE158" s="50">
        <f t="shared" si="5"/>
        <v>0</v>
      </c>
      <c r="BF158" s="50">
        <f t="shared" si="6"/>
        <v>0</v>
      </c>
      <c r="BG158" s="46"/>
      <c r="BH158" s="46"/>
      <c r="BI158" s="46"/>
      <c r="BJ158" s="45" t="str">
        <f t="shared" ref="BJ158:BK158" si="161">H158</f>
        <v>C</v>
      </c>
      <c r="BK158" s="45" t="str">
        <f t="shared" si="161"/>
        <v>C-12</v>
      </c>
      <c r="BL158" s="51">
        <v>613000.0</v>
      </c>
    </row>
    <row r="159">
      <c r="A159" s="12">
        <f t="shared" si="2"/>
        <v>157</v>
      </c>
      <c r="B159" s="15" t="s">
        <v>2650</v>
      </c>
      <c r="C159" s="12">
        <v>2.024070528E9</v>
      </c>
      <c r="D159" s="15" t="s">
        <v>2651</v>
      </c>
      <c r="E159" s="15" t="s">
        <v>2652</v>
      </c>
      <c r="F159" s="15" t="s">
        <v>2653</v>
      </c>
      <c r="G159" s="16" t="s">
        <v>1924</v>
      </c>
      <c r="H159" s="12" t="s">
        <v>863</v>
      </c>
      <c r="I159" s="14" t="s">
        <v>881</v>
      </c>
      <c r="J159" s="16">
        <v>3.0</v>
      </c>
      <c r="K159" s="16" t="s">
        <v>2407</v>
      </c>
      <c r="L159" s="44" t="s">
        <v>2654</v>
      </c>
      <c r="M159" s="18"/>
      <c r="N159" s="18"/>
      <c r="O159" s="18"/>
      <c r="P159" s="18"/>
      <c r="Q159" s="18"/>
      <c r="R159" s="18"/>
      <c r="S159" s="18"/>
      <c r="T159" s="18"/>
      <c r="U159" s="18"/>
      <c r="V159" s="18">
        <v>450000.0</v>
      </c>
      <c r="W159" s="18">
        <v>450000.0</v>
      </c>
      <c r="X159" s="18">
        <v>450000.0</v>
      </c>
      <c r="Y159" s="18">
        <v>450000.0</v>
      </c>
      <c r="Z159" s="18">
        <v>450000.0</v>
      </c>
      <c r="AA159" s="18">
        <v>350000.0</v>
      </c>
      <c r="AB159" s="18">
        <v>500000.0</v>
      </c>
      <c r="AC159" s="18">
        <v>450000.0</v>
      </c>
      <c r="AD159" s="18">
        <v>450000.0</v>
      </c>
      <c r="AE159" s="18">
        <v>450000.0</v>
      </c>
      <c r="AF159" s="18">
        <v>450000.0</v>
      </c>
      <c r="AG159" s="18">
        <v>450000.0</v>
      </c>
      <c r="AH159" s="18">
        <v>450000.0</v>
      </c>
      <c r="AI159" s="18">
        <v>450000.0</v>
      </c>
      <c r="AJ159" s="18">
        <v>450000.0</v>
      </c>
      <c r="AK159" s="18">
        <v>450000.0</v>
      </c>
      <c r="AL159" s="18">
        <v>450000.0</v>
      </c>
      <c r="AM159" s="18">
        <v>450000.0</v>
      </c>
      <c r="AN159" s="18">
        <v>450000.0</v>
      </c>
      <c r="AO159" s="18"/>
      <c r="AP159" s="18">
        <v>500000.0</v>
      </c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>
        <f t="shared" si="3"/>
        <v>7650000</v>
      </c>
      <c r="BD159" s="18">
        <f t="shared" si="4"/>
        <v>1000000</v>
      </c>
      <c r="BE159" s="18">
        <f t="shared" si="5"/>
        <v>350000</v>
      </c>
      <c r="BF159" s="18">
        <f t="shared" si="6"/>
        <v>9000000</v>
      </c>
      <c r="BG159" s="15"/>
      <c r="BH159" s="15"/>
      <c r="BI159" s="15"/>
      <c r="BJ159" s="12" t="str">
        <f t="shared" ref="BJ159:BK159" si="162">H159</f>
        <v>C</v>
      </c>
      <c r="BK159" s="12" t="str">
        <f t="shared" si="162"/>
        <v>C-12</v>
      </c>
      <c r="BL159" s="32">
        <v>613000.0</v>
      </c>
    </row>
    <row r="160">
      <c r="A160" s="45">
        <f t="shared" si="2"/>
        <v>158</v>
      </c>
      <c r="B160" s="46" t="s">
        <v>2655</v>
      </c>
      <c r="C160" s="45">
        <v>2.024070584E9</v>
      </c>
      <c r="D160" s="46" t="s">
        <v>2656</v>
      </c>
      <c r="E160" s="46" t="s">
        <v>2657</v>
      </c>
      <c r="F160" s="46" t="s">
        <v>1063</v>
      </c>
      <c r="G160" s="47" t="s">
        <v>2406</v>
      </c>
      <c r="H160" s="45" t="s">
        <v>863</v>
      </c>
      <c r="I160" s="48" t="s">
        <v>892</v>
      </c>
      <c r="J160" s="47">
        <v>3.0</v>
      </c>
      <c r="K160" s="47" t="s">
        <v>2413</v>
      </c>
      <c r="L160" s="49" t="s">
        <v>2658</v>
      </c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>
        <f t="shared" si="3"/>
        <v>0</v>
      </c>
      <c r="BD160" s="50">
        <f t="shared" si="4"/>
        <v>0</v>
      </c>
      <c r="BE160" s="50">
        <f t="shared" si="5"/>
        <v>0</v>
      </c>
      <c r="BF160" s="50">
        <f t="shared" si="6"/>
        <v>0</v>
      </c>
      <c r="BG160" s="46"/>
      <c r="BH160" s="46"/>
      <c r="BI160" s="46"/>
      <c r="BJ160" s="45" t="str">
        <f t="shared" ref="BJ160:BK160" si="163">H160</f>
        <v>C</v>
      </c>
      <c r="BK160" s="45" t="str">
        <f t="shared" si="163"/>
        <v>C-13</v>
      </c>
      <c r="BL160" s="51">
        <v>613000.0</v>
      </c>
    </row>
    <row r="161">
      <c r="A161" s="12">
        <f t="shared" si="2"/>
        <v>159</v>
      </c>
      <c r="B161" s="15" t="s">
        <v>2659</v>
      </c>
      <c r="C161" s="12">
        <v>2.024070526E9</v>
      </c>
      <c r="D161" s="15" t="s">
        <v>2660</v>
      </c>
      <c r="E161" s="15" t="s">
        <v>2661</v>
      </c>
      <c r="F161" s="15" t="s">
        <v>2662</v>
      </c>
      <c r="G161" s="16" t="s">
        <v>1946</v>
      </c>
      <c r="H161" s="12" t="s">
        <v>863</v>
      </c>
      <c r="I161" s="14" t="s">
        <v>881</v>
      </c>
      <c r="J161" s="16">
        <v>3.0</v>
      </c>
      <c r="K161" s="16" t="s">
        <v>2413</v>
      </c>
      <c r="L161" s="44" t="s">
        <v>2663</v>
      </c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>
        <f t="shared" si="3"/>
        <v>0</v>
      </c>
      <c r="BD161" s="18">
        <f t="shared" si="4"/>
        <v>0</v>
      </c>
      <c r="BE161" s="18">
        <f t="shared" si="5"/>
        <v>0</v>
      </c>
      <c r="BF161" s="18">
        <f t="shared" si="6"/>
        <v>0</v>
      </c>
      <c r="BG161" s="15"/>
      <c r="BH161" s="15"/>
      <c r="BI161" s="15"/>
      <c r="BJ161" s="12" t="str">
        <f t="shared" ref="BJ161:BK161" si="164">H161</f>
        <v>C</v>
      </c>
      <c r="BK161" s="12" t="str">
        <f t="shared" si="164"/>
        <v>C-12</v>
      </c>
      <c r="BL161" s="32">
        <v>613000.0</v>
      </c>
    </row>
    <row r="162">
      <c r="A162" s="45">
        <f t="shared" si="2"/>
        <v>160</v>
      </c>
      <c r="B162" s="46" t="s">
        <v>2664</v>
      </c>
      <c r="C162" s="45">
        <v>2.02407058E9</v>
      </c>
      <c r="D162" s="46" t="s">
        <v>2665</v>
      </c>
      <c r="E162" s="46" t="s">
        <v>2666</v>
      </c>
      <c r="F162" s="46" t="s">
        <v>2667</v>
      </c>
      <c r="G162" s="47" t="s">
        <v>1917</v>
      </c>
      <c r="H162" s="45" t="s">
        <v>863</v>
      </c>
      <c r="I162" s="48" t="s">
        <v>2576</v>
      </c>
      <c r="J162" s="47">
        <v>3.0</v>
      </c>
      <c r="K162" s="47" t="s">
        <v>2407</v>
      </c>
      <c r="L162" s="49" t="s">
        <v>2668</v>
      </c>
      <c r="M162" s="50"/>
      <c r="N162" s="50">
        <v>200000.0</v>
      </c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>
        <v>500000.0</v>
      </c>
      <c r="AC162" s="50"/>
      <c r="AD162" s="50"/>
      <c r="AE162" s="50">
        <v>450000.0</v>
      </c>
      <c r="AF162" s="50">
        <v>450000.0</v>
      </c>
      <c r="AG162" s="50">
        <v>450000.0</v>
      </c>
      <c r="AH162" s="50">
        <v>450000.0</v>
      </c>
      <c r="AI162" s="50">
        <v>450000.0</v>
      </c>
      <c r="AJ162" s="50">
        <v>450000.0</v>
      </c>
      <c r="AK162" s="50">
        <v>450000.0</v>
      </c>
      <c r="AL162" s="50">
        <v>450000.0</v>
      </c>
      <c r="AM162" s="50">
        <v>450000.0</v>
      </c>
      <c r="AN162" s="50">
        <v>450000.0</v>
      </c>
      <c r="AO162" s="50"/>
      <c r="AP162" s="50">
        <v>500000.0</v>
      </c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>
        <f t="shared" si="3"/>
        <v>4500000</v>
      </c>
      <c r="BD162" s="50">
        <f t="shared" si="4"/>
        <v>1000000</v>
      </c>
      <c r="BE162" s="50">
        <f t="shared" si="5"/>
        <v>0</v>
      </c>
      <c r="BF162" s="50">
        <f t="shared" si="6"/>
        <v>5500000</v>
      </c>
      <c r="BG162" s="46"/>
      <c r="BH162" s="46"/>
      <c r="BI162" s="46"/>
      <c r="BJ162" s="45" t="str">
        <f t="shared" ref="BJ162:BK162" si="165">H162</f>
        <v>C</v>
      </c>
      <c r="BK162" s="45" t="str">
        <f t="shared" si="165"/>
        <v>C-3</v>
      </c>
      <c r="BL162" s="51">
        <v>613000.0</v>
      </c>
    </row>
    <row r="163">
      <c r="A163" s="12">
        <f t="shared" si="2"/>
        <v>161</v>
      </c>
      <c r="B163" s="15" t="s">
        <v>2669</v>
      </c>
      <c r="C163" s="12">
        <v>2.024070493E9</v>
      </c>
      <c r="D163" s="15" t="s">
        <v>2670</v>
      </c>
      <c r="E163" s="15" t="s">
        <v>2671</v>
      </c>
      <c r="F163" s="15" t="s">
        <v>2672</v>
      </c>
      <c r="G163" s="16" t="s">
        <v>1946</v>
      </c>
      <c r="H163" s="12" t="s">
        <v>863</v>
      </c>
      <c r="I163" s="14" t="s">
        <v>892</v>
      </c>
      <c r="J163" s="16">
        <v>3.0</v>
      </c>
      <c r="K163" s="16" t="s">
        <v>2396</v>
      </c>
      <c r="L163" s="44" t="s">
        <v>2673</v>
      </c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>
        <v>500000.0</v>
      </c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>
        <f t="shared" si="3"/>
        <v>0</v>
      </c>
      <c r="BD163" s="18">
        <f t="shared" si="4"/>
        <v>500000</v>
      </c>
      <c r="BE163" s="18">
        <f t="shared" si="5"/>
        <v>0</v>
      </c>
      <c r="BF163" s="18">
        <f t="shared" si="6"/>
        <v>500000</v>
      </c>
      <c r="BG163" s="15"/>
      <c r="BH163" s="15"/>
      <c r="BI163" s="15"/>
      <c r="BJ163" s="12" t="str">
        <f t="shared" ref="BJ163:BK163" si="166">H163</f>
        <v>C</v>
      </c>
      <c r="BK163" s="12" t="str">
        <f t="shared" si="166"/>
        <v>C-13</v>
      </c>
      <c r="BL163" s="32">
        <v>613000.0</v>
      </c>
    </row>
    <row r="164">
      <c r="A164" s="45">
        <f t="shared" si="2"/>
        <v>162</v>
      </c>
      <c r="B164" s="46" t="s">
        <v>2674</v>
      </c>
      <c r="C164" s="45">
        <v>2.024070632E9</v>
      </c>
      <c r="D164" s="46" t="s">
        <v>2675</v>
      </c>
      <c r="E164" s="46" t="s">
        <v>2676</v>
      </c>
      <c r="F164" s="46" t="s">
        <v>1172</v>
      </c>
      <c r="G164" s="47" t="s">
        <v>2429</v>
      </c>
      <c r="H164" s="45" t="s">
        <v>863</v>
      </c>
      <c r="I164" s="48" t="s">
        <v>2576</v>
      </c>
      <c r="J164" s="47">
        <v>3.0</v>
      </c>
      <c r="K164" s="45" t="s">
        <v>1918</v>
      </c>
      <c r="L164" s="49" t="s">
        <v>2677</v>
      </c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>
        <v>450000.0</v>
      </c>
      <c r="AL164" s="50">
        <v>450000.0</v>
      </c>
      <c r="AM164" s="50">
        <v>450000.0</v>
      </c>
      <c r="AN164" s="50">
        <v>450000.0</v>
      </c>
      <c r="AO164" s="50"/>
      <c r="AP164" s="50">
        <v>500000.0</v>
      </c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>
        <f t="shared" si="3"/>
        <v>1800000</v>
      </c>
      <c r="BD164" s="50">
        <f t="shared" si="4"/>
        <v>500000</v>
      </c>
      <c r="BE164" s="50">
        <f t="shared" si="5"/>
        <v>0</v>
      </c>
      <c r="BF164" s="50">
        <f t="shared" si="6"/>
        <v>2300000</v>
      </c>
      <c r="BG164" s="46"/>
      <c r="BH164" s="46"/>
      <c r="BI164" s="46"/>
      <c r="BJ164" s="45" t="str">
        <f t="shared" ref="BJ164:BK164" si="167">H164</f>
        <v>C</v>
      </c>
      <c r="BK164" s="45" t="str">
        <f t="shared" si="167"/>
        <v>C-3</v>
      </c>
      <c r="BL164" s="51">
        <v>613000.0</v>
      </c>
    </row>
    <row r="165">
      <c r="A165" s="12">
        <f t="shared" si="2"/>
        <v>163</v>
      </c>
      <c r="B165" s="15" t="s">
        <v>2678</v>
      </c>
      <c r="C165" s="12">
        <v>2.024070511E9</v>
      </c>
      <c r="D165" s="15" t="s">
        <v>2679</v>
      </c>
      <c r="E165" s="15" t="s">
        <v>2680</v>
      </c>
      <c r="F165" s="15" t="s">
        <v>2681</v>
      </c>
      <c r="G165" s="16" t="s">
        <v>2406</v>
      </c>
      <c r="H165" s="12" t="s">
        <v>863</v>
      </c>
      <c r="I165" s="14" t="s">
        <v>881</v>
      </c>
      <c r="J165" s="16">
        <v>3.0</v>
      </c>
      <c r="K165" s="12" t="s">
        <v>1918</v>
      </c>
      <c r="L165" s="44" t="s">
        <v>2682</v>
      </c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>
        <v>450000.0</v>
      </c>
      <c r="AM165" s="18">
        <v>450000.0</v>
      </c>
      <c r="AN165" s="18">
        <v>450000.0</v>
      </c>
      <c r="AO165" s="18"/>
      <c r="AP165" s="18">
        <v>500000.0</v>
      </c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>
        <f t="shared" si="3"/>
        <v>1350000</v>
      </c>
      <c r="BD165" s="18">
        <f t="shared" si="4"/>
        <v>500000</v>
      </c>
      <c r="BE165" s="18">
        <f t="shared" si="5"/>
        <v>0</v>
      </c>
      <c r="BF165" s="18">
        <f t="shared" si="6"/>
        <v>1850000</v>
      </c>
      <c r="BG165" s="15"/>
      <c r="BH165" s="15"/>
      <c r="BI165" s="15"/>
      <c r="BJ165" s="12" t="str">
        <f t="shared" ref="BJ165:BK165" si="168">H165</f>
        <v>C</v>
      </c>
      <c r="BK165" s="12" t="str">
        <f t="shared" si="168"/>
        <v>C-12</v>
      </c>
      <c r="BL165" s="32">
        <v>613000.0</v>
      </c>
    </row>
    <row r="166">
      <c r="A166" s="45">
        <f t="shared" si="2"/>
        <v>164</v>
      </c>
      <c r="B166" s="46" t="s">
        <v>2683</v>
      </c>
      <c r="C166" s="45">
        <v>2.024070455E9</v>
      </c>
      <c r="D166" s="46" t="s">
        <v>2684</v>
      </c>
      <c r="E166" s="46" t="s">
        <v>2685</v>
      </c>
      <c r="F166" s="46" t="s">
        <v>2686</v>
      </c>
      <c r="G166" s="47" t="s">
        <v>2429</v>
      </c>
      <c r="H166" s="45" t="s">
        <v>863</v>
      </c>
      <c r="I166" s="48" t="s">
        <v>881</v>
      </c>
      <c r="J166" s="47">
        <v>3.0</v>
      </c>
      <c r="K166" s="45" t="s">
        <v>1918</v>
      </c>
      <c r="L166" s="49" t="s">
        <v>2687</v>
      </c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>
        <v>500000.0</v>
      </c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>
        <f t="shared" si="3"/>
        <v>0</v>
      </c>
      <c r="BD166" s="50">
        <f t="shared" si="4"/>
        <v>500000</v>
      </c>
      <c r="BE166" s="50">
        <f t="shared" si="5"/>
        <v>0</v>
      </c>
      <c r="BF166" s="50">
        <f t="shared" si="6"/>
        <v>500000</v>
      </c>
      <c r="BG166" s="46"/>
      <c r="BH166" s="46"/>
      <c r="BI166" s="46"/>
      <c r="BJ166" s="45" t="str">
        <f t="shared" ref="BJ166:BK166" si="169">H166</f>
        <v>C</v>
      </c>
      <c r="BK166" s="45" t="str">
        <f t="shared" si="169"/>
        <v>C-12</v>
      </c>
      <c r="BL166" s="51">
        <v>613000.0</v>
      </c>
    </row>
    <row r="167">
      <c r="A167" s="12">
        <f t="shared" si="2"/>
        <v>165</v>
      </c>
      <c r="B167" s="15" t="s">
        <v>2688</v>
      </c>
      <c r="C167" s="12">
        <v>2.02407051E9</v>
      </c>
      <c r="D167" s="15" t="s">
        <v>2689</v>
      </c>
      <c r="E167" s="15" t="s">
        <v>514</v>
      </c>
      <c r="F167" s="15" t="s">
        <v>2690</v>
      </c>
      <c r="G167" s="16" t="s">
        <v>1946</v>
      </c>
      <c r="H167" s="12" t="s">
        <v>863</v>
      </c>
      <c r="I167" s="14" t="s">
        <v>881</v>
      </c>
      <c r="J167" s="16">
        <v>3.0</v>
      </c>
      <c r="K167" s="12" t="s">
        <v>1918</v>
      </c>
      <c r="L167" s="44" t="s">
        <v>2691</v>
      </c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>
        <v>500000.0</v>
      </c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>
        <f t="shared" si="3"/>
        <v>0</v>
      </c>
      <c r="BD167" s="18">
        <f t="shared" si="4"/>
        <v>500000</v>
      </c>
      <c r="BE167" s="18">
        <f t="shared" si="5"/>
        <v>0</v>
      </c>
      <c r="BF167" s="18">
        <f t="shared" si="6"/>
        <v>500000</v>
      </c>
      <c r="BG167" s="15"/>
      <c r="BH167" s="15"/>
      <c r="BI167" s="15"/>
      <c r="BJ167" s="12" t="str">
        <f t="shared" ref="BJ167:BK167" si="170">H167</f>
        <v>C</v>
      </c>
      <c r="BK167" s="12" t="str">
        <f t="shared" si="170"/>
        <v>C-12</v>
      </c>
      <c r="BL167" s="32">
        <v>613000.0</v>
      </c>
    </row>
    <row r="168">
      <c r="A168" s="45">
        <f t="shared" si="2"/>
        <v>166</v>
      </c>
      <c r="B168" s="46" t="s">
        <v>2692</v>
      </c>
      <c r="C168" s="45">
        <v>2.024070607E9</v>
      </c>
      <c r="D168" s="46" t="s">
        <v>2693</v>
      </c>
      <c r="E168" s="46" t="s">
        <v>2166</v>
      </c>
      <c r="F168" s="46" t="s">
        <v>1980</v>
      </c>
      <c r="G168" s="47" t="s">
        <v>1897</v>
      </c>
      <c r="H168" s="45" t="s">
        <v>863</v>
      </c>
      <c r="I168" s="48" t="s">
        <v>881</v>
      </c>
      <c r="J168" s="47">
        <v>3.0</v>
      </c>
      <c r="K168" s="47" t="s">
        <v>2413</v>
      </c>
      <c r="L168" s="49" t="s">
        <v>2694</v>
      </c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>
        <v>450000.0</v>
      </c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>
        <f t="shared" si="3"/>
        <v>450000</v>
      </c>
      <c r="BD168" s="50">
        <f t="shared" si="4"/>
        <v>0</v>
      </c>
      <c r="BE168" s="50">
        <f t="shared" si="5"/>
        <v>0</v>
      </c>
      <c r="BF168" s="50">
        <f t="shared" si="6"/>
        <v>450000</v>
      </c>
      <c r="BG168" s="46"/>
      <c r="BH168" s="46"/>
      <c r="BI168" s="46"/>
      <c r="BJ168" s="45" t="str">
        <f t="shared" ref="BJ168:BK168" si="171">H168</f>
        <v>C</v>
      </c>
      <c r="BK168" s="45" t="str">
        <f t="shared" si="171"/>
        <v>C-12</v>
      </c>
      <c r="BL168" s="51">
        <v>613000.0</v>
      </c>
    </row>
    <row r="169">
      <c r="A169" s="12">
        <f t="shared" si="2"/>
        <v>167</v>
      </c>
      <c r="B169" s="15" t="s">
        <v>2695</v>
      </c>
      <c r="C169" s="12">
        <v>2.025020002E9</v>
      </c>
      <c r="D169" s="13" t="s">
        <v>2696</v>
      </c>
      <c r="E169" s="13" t="s">
        <v>2697</v>
      </c>
      <c r="F169" s="13" t="s">
        <v>2698</v>
      </c>
      <c r="G169" s="16" t="s">
        <v>2406</v>
      </c>
      <c r="H169" s="12" t="s">
        <v>863</v>
      </c>
      <c r="I169" s="14" t="s">
        <v>881</v>
      </c>
      <c r="J169" s="16">
        <v>3.0</v>
      </c>
      <c r="K169" s="12" t="s">
        <v>1918</v>
      </c>
      <c r="L169" s="44" t="s">
        <v>2699</v>
      </c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>
        <v>450000.0</v>
      </c>
      <c r="AO169" s="18"/>
      <c r="AP169" s="18">
        <v>500000.0</v>
      </c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>
        <f t="shared" si="3"/>
        <v>450000</v>
      </c>
      <c r="BD169" s="18">
        <f t="shared" si="4"/>
        <v>500000</v>
      </c>
      <c r="BE169" s="18">
        <f t="shared" si="5"/>
        <v>0</v>
      </c>
      <c r="BF169" s="18">
        <f t="shared" si="6"/>
        <v>950000</v>
      </c>
      <c r="BG169" s="15"/>
      <c r="BH169" s="15"/>
      <c r="BI169" s="15"/>
      <c r="BJ169" s="12" t="str">
        <f t="shared" ref="BJ169:BK169" si="172">H169</f>
        <v>C</v>
      </c>
      <c r="BK169" s="12" t="str">
        <f t="shared" si="172"/>
        <v>C-12</v>
      </c>
      <c r="BL169" s="32">
        <v>613000.0</v>
      </c>
    </row>
    <row r="170">
      <c r="A170" s="45">
        <f t="shared" si="2"/>
        <v>168</v>
      </c>
      <c r="B170" s="46" t="s">
        <v>2700</v>
      </c>
      <c r="C170" s="45">
        <v>2.024070731E9</v>
      </c>
      <c r="D170" s="46" t="s">
        <v>2701</v>
      </c>
      <c r="E170" s="46" t="s">
        <v>2702</v>
      </c>
      <c r="F170" s="46" t="s">
        <v>2634</v>
      </c>
      <c r="G170" s="47" t="s">
        <v>2049</v>
      </c>
      <c r="H170" s="45" t="s">
        <v>863</v>
      </c>
      <c r="I170" s="48" t="s">
        <v>2576</v>
      </c>
      <c r="J170" s="47">
        <v>3.0</v>
      </c>
      <c r="K170" s="45" t="s">
        <v>1918</v>
      </c>
      <c r="L170" s="49" t="s">
        <v>2703</v>
      </c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>
        <v>450000.0</v>
      </c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>
        <f t="shared" si="3"/>
        <v>450000</v>
      </c>
      <c r="BD170" s="50">
        <f t="shared" si="4"/>
        <v>0</v>
      </c>
      <c r="BE170" s="50">
        <f t="shared" si="5"/>
        <v>0</v>
      </c>
      <c r="BF170" s="50">
        <f t="shared" si="6"/>
        <v>450000</v>
      </c>
      <c r="BG170" s="46"/>
      <c r="BH170" s="46"/>
      <c r="BI170" s="46"/>
      <c r="BJ170" s="45" t="str">
        <f t="shared" ref="BJ170:BK170" si="173">H170</f>
        <v>C</v>
      </c>
      <c r="BK170" s="45" t="str">
        <f t="shared" si="173"/>
        <v>C-3</v>
      </c>
      <c r="BL170" s="51">
        <v>613000.0</v>
      </c>
    </row>
    <row r="171">
      <c r="A171" s="12">
        <f t="shared" si="2"/>
        <v>169</v>
      </c>
      <c r="B171" s="15" t="s">
        <v>2704</v>
      </c>
      <c r="C171" s="12">
        <v>2.024070733E9</v>
      </c>
      <c r="D171" s="15" t="s">
        <v>2705</v>
      </c>
      <c r="E171" s="15" t="s">
        <v>2706</v>
      </c>
      <c r="F171" s="15" t="s">
        <v>2707</v>
      </c>
      <c r="G171" s="16" t="s">
        <v>2049</v>
      </c>
      <c r="H171" s="12" t="s">
        <v>863</v>
      </c>
      <c r="I171" s="14" t="s">
        <v>2576</v>
      </c>
      <c r="J171" s="16">
        <v>3.0</v>
      </c>
      <c r="K171" s="16" t="s">
        <v>2407</v>
      </c>
      <c r="L171" s="44" t="s">
        <v>2708</v>
      </c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>
        <v>450000.0</v>
      </c>
      <c r="AN171" s="18">
        <v>450000.0</v>
      </c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>
        <f t="shared" si="3"/>
        <v>900000</v>
      </c>
      <c r="BD171" s="18">
        <f t="shared" si="4"/>
        <v>0</v>
      </c>
      <c r="BE171" s="18">
        <f t="shared" si="5"/>
        <v>0</v>
      </c>
      <c r="BF171" s="18">
        <f t="shared" si="6"/>
        <v>900000</v>
      </c>
      <c r="BG171" s="15"/>
      <c r="BH171" s="15"/>
      <c r="BI171" s="15"/>
      <c r="BJ171" s="12" t="str">
        <f t="shared" ref="BJ171:BK171" si="174">H171</f>
        <v>C</v>
      </c>
      <c r="BK171" s="12" t="str">
        <f t="shared" si="174"/>
        <v>C-3</v>
      </c>
      <c r="BL171" s="32">
        <v>613000.0</v>
      </c>
    </row>
    <row r="172">
      <c r="A172" s="45">
        <f t="shared" si="2"/>
        <v>170</v>
      </c>
      <c r="B172" s="46" t="s">
        <v>2709</v>
      </c>
      <c r="C172" s="45">
        <v>2.024070625E9</v>
      </c>
      <c r="D172" s="46" t="s">
        <v>2701</v>
      </c>
      <c r="E172" s="46" t="s">
        <v>2710</v>
      </c>
      <c r="F172" s="46" t="s">
        <v>973</v>
      </c>
      <c r="G172" s="47" t="s">
        <v>1897</v>
      </c>
      <c r="H172" s="45" t="s">
        <v>863</v>
      </c>
      <c r="I172" s="48" t="s">
        <v>881</v>
      </c>
      <c r="J172" s="47">
        <v>3.0</v>
      </c>
      <c r="K172" s="45" t="s">
        <v>1918</v>
      </c>
      <c r="L172" s="49" t="s">
        <v>2711</v>
      </c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>
        <v>500000.0</v>
      </c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>
        <v>450000.0</v>
      </c>
      <c r="AN172" s="50">
        <v>450000.0</v>
      </c>
      <c r="AO172" s="50"/>
      <c r="AP172" s="50">
        <v>500000.0</v>
      </c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>
        <f t="shared" si="3"/>
        <v>900000</v>
      </c>
      <c r="BD172" s="50">
        <f t="shared" si="4"/>
        <v>1000000</v>
      </c>
      <c r="BE172" s="50">
        <f t="shared" si="5"/>
        <v>0</v>
      </c>
      <c r="BF172" s="50">
        <f t="shared" si="6"/>
        <v>1900000</v>
      </c>
      <c r="BG172" s="46"/>
      <c r="BH172" s="46"/>
      <c r="BI172" s="46"/>
      <c r="BJ172" s="45" t="str">
        <f t="shared" ref="BJ172:BK172" si="175">H172</f>
        <v>C</v>
      </c>
      <c r="BK172" s="45" t="str">
        <f t="shared" si="175"/>
        <v>C-12</v>
      </c>
      <c r="BL172" s="51">
        <v>613000.0</v>
      </c>
    </row>
    <row r="173">
      <c r="A173" s="12">
        <f t="shared" si="2"/>
        <v>171</v>
      </c>
      <c r="B173" s="15" t="s">
        <v>2712</v>
      </c>
      <c r="C173" s="12">
        <v>2.024070484E9</v>
      </c>
      <c r="D173" s="15" t="s">
        <v>2713</v>
      </c>
      <c r="E173" s="15" t="s">
        <v>2714</v>
      </c>
      <c r="F173" s="15" t="s">
        <v>2715</v>
      </c>
      <c r="G173" s="16" t="s">
        <v>2406</v>
      </c>
      <c r="H173" s="12" t="s">
        <v>863</v>
      </c>
      <c r="I173" s="14" t="s">
        <v>2576</v>
      </c>
      <c r="J173" s="16">
        <v>3.0</v>
      </c>
      <c r="K173" s="16" t="s">
        <v>2407</v>
      </c>
      <c r="L173" s="44" t="s">
        <v>2716</v>
      </c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>
        <f t="shared" si="3"/>
        <v>0</v>
      </c>
      <c r="BD173" s="18">
        <f t="shared" si="4"/>
        <v>0</v>
      </c>
      <c r="BE173" s="18">
        <f t="shared" si="5"/>
        <v>0</v>
      </c>
      <c r="BF173" s="18">
        <f t="shared" si="6"/>
        <v>0</v>
      </c>
      <c r="BG173" s="15"/>
      <c r="BH173" s="15"/>
      <c r="BI173" s="15"/>
      <c r="BJ173" s="12" t="str">
        <f t="shared" ref="BJ173:BK173" si="176">H173</f>
        <v>C</v>
      </c>
      <c r="BK173" s="12" t="str">
        <f t="shared" si="176"/>
        <v>C-3</v>
      </c>
      <c r="BL173" s="32">
        <v>613000.0</v>
      </c>
    </row>
    <row r="174">
      <c r="A174" s="45">
        <f t="shared" si="2"/>
        <v>172</v>
      </c>
      <c r="B174" s="46" t="s">
        <v>2717</v>
      </c>
      <c r="C174" s="45">
        <v>2.024070146E9</v>
      </c>
      <c r="D174" s="46" t="s">
        <v>2718</v>
      </c>
      <c r="E174" s="46" t="s">
        <v>2719</v>
      </c>
      <c r="F174" s="46" t="s">
        <v>2720</v>
      </c>
      <c r="G174" s="47" t="s">
        <v>2362</v>
      </c>
      <c r="H174" s="45" t="s">
        <v>863</v>
      </c>
      <c r="I174" s="48" t="s">
        <v>2721</v>
      </c>
      <c r="J174" s="47">
        <v>3.0</v>
      </c>
      <c r="K174" s="47" t="s">
        <v>2493</v>
      </c>
      <c r="L174" s="49" t="s">
        <v>2722</v>
      </c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>
        <v>450000.0</v>
      </c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>
        <f t="shared" si="3"/>
        <v>450000</v>
      </c>
      <c r="BD174" s="50">
        <f t="shared" si="4"/>
        <v>0</v>
      </c>
      <c r="BE174" s="50">
        <f t="shared" si="5"/>
        <v>0</v>
      </c>
      <c r="BF174" s="50">
        <f t="shared" si="6"/>
        <v>450000</v>
      </c>
      <c r="BG174" s="46"/>
      <c r="BH174" s="46"/>
      <c r="BI174" s="46"/>
      <c r="BJ174" s="45" t="str">
        <f t="shared" ref="BJ174:BK174" si="177">H174</f>
        <v>C</v>
      </c>
      <c r="BK174" s="45" t="str">
        <f t="shared" si="177"/>
        <v>C-9</v>
      </c>
      <c r="BL174" s="51">
        <v>613000.0</v>
      </c>
    </row>
    <row r="175">
      <c r="A175" s="12">
        <f t="shared" si="2"/>
        <v>173</v>
      </c>
      <c r="B175" s="15" t="s">
        <v>2723</v>
      </c>
      <c r="C175" s="12">
        <v>2.024070561E9</v>
      </c>
      <c r="D175" s="15" t="s">
        <v>2724</v>
      </c>
      <c r="E175" s="15" t="s">
        <v>2725</v>
      </c>
      <c r="F175" s="15" t="s">
        <v>2726</v>
      </c>
      <c r="G175" s="16" t="s">
        <v>2406</v>
      </c>
      <c r="H175" s="12" t="s">
        <v>863</v>
      </c>
      <c r="I175" s="14" t="s">
        <v>892</v>
      </c>
      <c r="J175" s="16">
        <v>3.0</v>
      </c>
      <c r="K175" s="12" t="s">
        <v>1918</v>
      </c>
      <c r="L175" s="44" t="s">
        <v>2727</v>
      </c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>
        <f t="shared" si="3"/>
        <v>0</v>
      </c>
      <c r="BD175" s="18">
        <f t="shared" si="4"/>
        <v>0</v>
      </c>
      <c r="BE175" s="18">
        <f t="shared" si="5"/>
        <v>0</v>
      </c>
      <c r="BF175" s="18">
        <f t="shared" si="6"/>
        <v>0</v>
      </c>
      <c r="BG175" s="15"/>
      <c r="BH175" s="15"/>
      <c r="BI175" s="15"/>
      <c r="BJ175" s="12" t="str">
        <f t="shared" ref="BJ175:BK175" si="178">H175</f>
        <v>C</v>
      </c>
      <c r="BK175" s="12" t="str">
        <f t="shared" si="178"/>
        <v>C-13</v>
      </c>
      <c r="BL175" s="32">
        <v>613000.0</v>
      </c>
    </row>
    <row r="176">
      <c r="A176" s="45">
        <f t="shared" si="2"/>
        <v>174</v>
      </c>
      <c r="B176" s="46" t="s">
        <v>2728</v>
      </c>
      <c r="C176" s="45">
        <v>2.024070322E9</v>
      </c>
      <c r="D176" s="46" t="s">
        <v>2729</v>
      </c>
      <c r="E176" s="46" t="s">
        <v>2730</v>
      </c>
      <c r="F176" s="46" t="s">
        <v>2731</v>
      </c>
      <c r="G176" s="47" t="s">
        <v>2260</v>
      </c>
      <c r="H176" s="45" t="s">
        <v>863</v>
      </c>
      <c r="I176" s="48" t="s">
        <v>2721</v>
      </c>
      <c r="J176" s="47">
        <v>3.0</v>
      </c>
      <c r="K176" s="45" t="s">
        <v>1918</v>
      </c>
      <c r="L176" s="49" t="s">
        <v>2732</v>
      </c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>
        <f t="shared" si="3"/>
        <v>0</v>
      </c>
      <c r="BD176" s="50">
        <f t="shared" si="4"/>
        <v>0</v>
      </c>
      <c r="BE176" s="50">
        <f t="shared" si="5"/>
        <v>0</v>
      </c>
      <c r="BF176" s="50">
        <f t="shared" si="6"/>
        <v>0</v>
      </c>
      <c r="BG176" s="46"/>
      <c r="BH176" s="46"/>
      <c r="BI176" s="46"/>
      <c r="BJ176" s="45" t="str">
        <f t="shared" ref="BJ176:BK176" si="179">H176</f>
        <v>C</v>
      </c>
      <c r="BK176" s="45" t="str">
        <f t="shared" si="179"/>
        <v>C-9</v>
      </c>
      <c r="BL176" s="51">
        <v>613000.0</v>
      </c>
    </row>
    <row r="177">
      <c r="A177" s="12">
        <f t="shared" si="2"/>
        <v>175</v>
      </c>
      <c r="B177" s="15" t="s">
        <v>2733</v>
      </c>
      <c r="C177" s="12">
        <v>2.024070338E9</v>
      </c>
      <c r="D177" s="15" t="s">
        <v>283</v>
      </c>
      <c r="E177" s="15" t="s">
        <v>2734</v>
      </c>
      <c r="F177" s="15" t="s">
        <v>2735</v>
      </c>
      <c r="G177" s="16" t="s">
        <v>2736</v>
      </c>
      <c r="H177" s="12" t="s">
        <v>863</v>
      </c>
      <c r="I177" s="14" t="s">
        <v>2737</v>
      </c>
      <c r="J177" s="16">
        <v>3.0</v>
      </c>
      <c r="K177" s="16" t="s">
        <v>2483</v>
      </c>
      <c r="L177" s="44" t="s">
        <v>2738</v>
      </c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>
        <v>450000.0</v>
      </c>
      <c r="AO177" s="18"/>
      <c r="AP177" s="18">
        <v>500000.0</v>
      </c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>
        <f t="shared" si="3"/>
        <v>450000</v>
      </c>
      <c r="BD177" s="18">
        <f t="shared" si="4"/>
        <v>500000</v>
      </c>
      <c r="BE177" s="18">
        <f t="shared" si="5"/>
        <v>0</v>
      </c>
      <c r="BF177" s="18">
        <f t="shared" si="6"/>
        <v>950000</v>
      </c>
      <c r="BG177" s="15"/>
      <c r="BH177" s="15"/>
      <c r="BI177" s="15"/>
      <c r="BJ177" s="12" t="str">
        <f t="shared" ref="BJ177:BK177" si="180">H177</f>
        <v>C</v>
      </c>
      <c r="BK177" s="12" t="str">
        <f t="shared" si="180"/>
        <v>C-8</v>
      </c>
      <c r="BL177" s="32">
        <v>613000.0</v>
      </c>
    </row>
    <row r="178">
      <c r="A178" s="45">
        <f t="shared" si="2"/>
        <v>176</v>
      </c>
      <c r="B178" s="46" t="s">
        <v>2739</v>
      </c>
      <c r="C178" s="45">
        <v>2.024070186E9</v>
      </c>
      <c r="D178" s="46" t="s">
        <v>2740</v>
      </c>
      <c r="E178" s="46" t="s">
        <v>2741</v>
      </c>
      <c r="F178" s="46" t="s">
        <v>2742</v>
      </c>
      <c r="G178" s="47" t="s">
        <v>2266</v>
      </c>
      <c r="H178" s="48" t="s">
        <v>1392</v>
      </c>
      <c r="I178" s="48" t="s">
        <v>2743</v>
      </c>
      <c r="J178" s="47">
        <v>3.0</v>
      </c>
      <c r="K178" s="47" t="s">
        <v>2483</v>
      </c>
      <c r="L178" s="49" t="s">
        <v>2744</v>
      </c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>
        <v>500000.0</v>
      </c>
      <c r="AC178" s="50"/>
      <c r="AD178" s="50"/>
      <c r="AE178" s="50"/>
      <c r="AF178" s="50"/>
      <c r="AG178" s="50"/>
      <c r="AH178" s="50"/>
      <c r="AI178" s="50"/>
      <c r="AJ178" s="50"/>
      <c r="AK178" s="50"/>
      <c r="AL178" s="50">
        <v>450000.0</v>
      </c>
      <c r="AM178" s="50">
        <v>450000.0</v>
      </c>
      <c r="AN178" s="50">
        <v>450000.0</v>
      </c>
      <c r="AO178" s="50"/>
      <c r="AP178" s="50">
        <v>500000.0</v>
      </c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>
        <f t="shared" si="3"/>
        <v>1350000</v>
      </c>
      <c r="BD178" s="50">
        <f t="shared" si="4"/>
        <v>1000000</v>
      </c>
      <c r="BE178" s="50">
        <f t="shared" si="5"/>
        <v>0</v>
      </c>
      <c r="BF178" s="50">
        <f t="shared" si="6"/>
        <v>2350000</v>
      </c>
      <c r="BG178" s="46"/>
      <c r="BH178" s="46"/>
      <c r="BI178" s="46"/>
      <c r="BJ178" s="45" t="str">
        <f t="shared" ref="BJ178:BK178" si="181">H178</f>
        <v>D</v>
      </c>
      <c r="BK178" s="45" t="str">
        <f t="shared" si="181"/>
        <v>D-6</v>
      </c>
      <c r="BL178" s="51">
        <v>613000.0</v>
      </c>
    </row>
    <row r="179">
      <c r="A179" s="12">
        <f t="shared" si="2"/>
        <v>177</v>
      </c>
      <c r="B179" s="15" t="s">
        <v>2745</v>
      </c>
      <c r="C179" s="12">
        <v>2.024070003E9</v>
      </c>
      <c r="D179" s="15" t="s">
        <v>2746</v>
      </c>
      <c r="E179" s="15" t="s">
        <v>2747</v>
      </c>
      <c r="F179" s="15" t="s">
        <v>938</v>
      </c>
      <c r="G179" s="16" t="s">
        <v>2748</v>
      </c>
      <c r="H179" s="12" t="s">
        <v>863</v>
      </c>
      <c r="I179" s="14" t="s">
        <v>2749</v>
      </c>
      <c r="J179" s="16">
        <v>3.0</v>
      </c>
      <c r="K179" s="12" t="s">
        <v>1918</v>
      </c>
      <c r="L179" s="44" t="s">
        <v>2750</v>
      </c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>
        <f t="shared" si="3"/>
        <v>0</v>
      </c>
      <c r="BD179" s="18">
        <f t="shared" si="4"/>
        <v>0</v>
      </c>
      <c r="BE179" s="18">
        <f t="shared" si="5"/>
        <v>0</v>
      </c>
      <c r="BF179" s="18">
        <f t="shared" si="6"/>
        <v>0</v>
      </c>
      <c r="BG179" s="15"/>
      <c r="BH179" s="15"/>
      <c r="BI179" s="15"/>
      <c r="BJ179" s="12" t="str">
        <f t="shared" ref="BJ179:BK179" si="182">H179</f>
        <v>C</v>
      </c>
      <c r="BK179" s="12" t="str">
        <f t="shared" si="182"/>
        <v>C-2</v>
      </c>
      <c r="BL179" s="32">
        <v>613000.0</v>
      </c>
    </row>
    <row r="180">
      <c r="A180" s="45">
        <f t="shared" si="2"/>
        <v>178</v>
      </c>
      <c r="B180" s="46" t="s">
        <v>2751</v>
      </c>
      <c r="C180" s="45">
        <v>2.024070544E9</v>
      </c>
      <c r="D180" s="46" t="s">
        <v>2752</v>
      </c>
      <c r="E180" s="46" t="s">
        <v>2753</v>
      </c>
      <c r="F180" s="46" t="s">
        <v>2754</v>
      </c>
      <c r="G180" s="47" t="s">
        <v>2406</v>
      </c>
      <c r="H180" s="45" t="s">
        <v>863</v>
      </c>
      <c r="I180" s="48" t="s">
        <v>2576</v>
      </c>
      <c r="J180" s="47">
        <v>3.0</v>
      </c>
      <c r="K180" s="47" t="s">
        <v>2413</v>
      </c>
      <c r="L180" s="49" t="s">
        <v>2755</v>
      </c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>
        <v>500000.0</v>
      </c>
      <c r="AC180" s="50"/>
      <c r="AD180" s="50"/>
      <c r="AE180" s="50"/>
      <c r="AF180" s="50"/>
      <c r="AG180" s="50"/>
      <c r="AH180" s="50"/>
      <c r="AI180" s="50"/>
      <c r="AJ180" s="50"/>
      <c r="AK180" s="50">
        <v>450000.0</v>
      </c>
      <c r="AL180" s="50">
        <v>450000.0</v>
      </c>
      <c r="AM180" s="50">
        <v>450000.0</v>
      </c>
      <c r="AN180" s="50">
        <v>450000.0</v>
      </c>
      <c r="AO180" s="50"/>
      <c r="AP180" s="50">
        <v>500000.0</v>
      </c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>
        <f t="shared" si="3"/>
        <v>1800000</v>
      </c>
      <c r="BD180" s="50">
        <f t="shared" si="4"/>
        <v>1000000</v>
      </c>
      <c r="BE180" s="50">
        <f t="shared" si="5"/>
        <v>0</v>
      </c>
      <c r="BF180" s="50">
        <f t="shared" si="6"/>
        <v>2800000</v>
      </c>
      <c r="BG180" s="46"/>
      <c r="BH180" s="46"/>
      <c r="BI180" s="46"/>
      <c r="BJ180" s="45" t="str">
        <f t="shared" ref="BJ180:BK180" si="183">H180</f>
        <v>C</v>
      </c>
      <c r="BK180" s="45" t="str">
        <f t="shared" si="183"/>
        <v>C-3</v>
      </c>
      <c r="BL180" s="51">
        <v>613000.0</v>
      </c>
    </row>
    <row r="181">
      <c r="A181" s="12">
        <f t="shared" si="2"/>
        <v>179</v>
      </c>
      <c r="B181" s="15" t="s">
        <v>2756</v>
      </c>
      <c r="C181" s="12">
        <v>2.024070414E9</v>
      </c>
      <c r="D181" s="15" t="s">
        <v>2757</v>
      </c>
      <c r="E181" s="15" t="s">
        <v>2758</v>
      </c>
      <c r="F181" s="15" t="s">
        <v>2759</v>
      </c>
      <c r="G181" s="16" t="s">
        <v>2248</v>
      </c>
      <c r="H181" s="12" t="s">
        <v>863</v>
      </c>
      <c r="I181" s="14" t="s">
        <v>1028</v>
      </c>
      <c r="J181" s="16">
        <v>3.0</v>
      </c>
      <c r="K181" s="16" t="s">
        <v>2528</v>
      </c>
      <c r="L181" s="44" t="s">
        <v>2760</v>
      </c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>
        <f t="shared" si="3"/>
        <v>0</v>
      </c>
      <c r="BD181" s="18">
        <f t="shared" si="4"/>
        <v>0</v>
      </c>
      <c r="BE181" s="18">
        <f t="shared" si="5"/>
        <v>0</v>
      </c>
      <c r="BF181" s="18">
        <f t="shared" si="6"/>
        <v>0</v>
      </c>
      <c r="BG181" s="15"/>
      <c r="BH181" s="15"/>
      <c r="BI181" s="15"/>
      <c r="BJ181" s="12" t="str">
        <f t="shared" ref="BJ181:BK181" si="184">H181</f>
        <v>C</v>
      </c>
      <c r="BK181" s="12" t="str">
        <f t="shared" si="184"/>
        <v>C-7</v>
      </c>
      <c r="BL181" s="32">
        <v>613000.0</v>
      </c>
    </row>
    <row r="182">
      <c r="A182" s="45">
        <f t="shared" si="2"/>
        <v>180</v>
      </c>
      <c r="B182" s="46" t="s">
        <v>2761</v>
      </c>
      <c r="C182" s="45">
        <v>2.024070039E9</v>
      </c>
      <c r="D182" s="46" t="s">
        <v>2762</v>
      </c>
      <c r="E182" s="46" t="s">
        <v>2763</v>
      </c>
      <c r="F182" s="46" t="s">
        <v>2764</v>
      </c>
      <c r="G182" s="47" t="s">
        <v>2342</v>
      </c>
      <c r="H182" s="45" t="s">
        <v>863</v>
      </c>
      <c r="I182" s="48" t="s">
        <v>2737</v>
      </c>
      <c r="J182" s="47">
        <v>3.0</v>
      </c>
      <c r="K182" s="47" t="s">
        <v>2765</v>
      </c>
      <c r="L182" s="49" t="s">
        <v>2766</v>
      </c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>
        <f t="shared" si="3"/>
        <v>0</v>
      </c>
      <c r="BD182" s="50">
        <f t="shared" si="4"/>
        <v>0</v>
      </c>
      <c r="BE182" s="50">
        <f t="shared" si="5"/>
        <v>0</v>
      </c>
      <c r="BF182" s="50">
        <f t="shared" si="6"/>
        <v>0</v>
      </c>
      <c r="BG182" s="46"/>
      <c r="BH182" s="46"/>
      <c r="BI182" s="46"/>
      <c r="BJ182" s="45" t="str">
        <f t="shared" ref="BJ182:BK182" si="185">H182</f>
        <v>C</v>
      </c>
      <c r="BK182" s="45" t="str">
        <f t="shared" si="185"/>
        <v>C-8</v>
      </c>
      <c r="BL182" s="51">
        <v>613000.0</v>
      </c>
    </row>
    <row r="183">
      <c r="A183" s="12">
        <f t="shared" si="2"/>
        <v>181</v>
      </c>
      <c r="B183" s="15" t="s">
        <v>2767</v>
      </c>
      <c r="C183" s="12">
        <v>2.024070703E9</v>
      </c>
      <c r="D183" s="15" t="s">
        <v>278</v>
      </c>
      <c r="E183" s="15" t="s">
        <v>2768</v>
      </c>
      <c r="F183" s="15" t="s">
        <v>2769</v>
      </c>
      <c r="G183" s="16" t="s">
        <v>2277</v>
      </c>
      <c r="H183" s="12" t="s">
        <v>863</v>
      </c>
      <c r="I183" s="14" t="s">
        <v>2492</v>
      </c>
      <c r="J183" s="16">
        <v>3.0</v>
      </c>
      <c r="K183" s="12" t="s">
        <v>1918</v>
      </c>
      <c r="L183" s="44" t="s">
        <v>2770</v>
      </c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>
        <v>500000.0</v>
      </c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>
        <v>450000.0</v>
      </c>
      <c r="AO183" s="18"/>
      <c r="AP183" s="18">
        <v>500000.0</v>
      </c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>
        <f t="shared" si="3"/>
        <v>450000</v>
      </c>
      <c r="BD183" s="18">
        <f t="shared" si="4"/>
        <v>1000000</v>
      </c>
      <c r="BE183" s="18">
        <f t="shared" si="5"/>
        <v>0</v>
      </c>
      <c r="BF183" s="18">
        <f t="shared" si="6"/>
        <v>1450000</v>
      </c>
      <c r="BG183" s="15"/>
      <c r="BH183" s="15"/>
      <c r="BI183" s="15"/>
      <c r="BJ183" s="12" t="str">
        <f t="shared" ref="BJ183:BK183" si="186">H183</f>
        <v>C</v>
      </c>
      <c r="BK183" s="12" t="str">
        <f t="shared" si="186"/>
        <v>C-4</v>
      </c>
      <c r="BL183" s="32">
        <v>613000.0</v>
      </c>
    </row>
    <row r="184">
      <c r="A184" s="45">
        <f t="shared" si="2"/>
        <v>182</v>
      </c>
      <c r="B184" s="46" t="s">
        <v>2771</v>
      </c>
      <c r="C184" s="45">
        <v>2.02407152E9</v>
      </c>
      <c r="D184" s="52" t="s">
        <v>2772</v>
      </c>
      <c r="E184" s="52" t="s">
        <v>1745</v>
      </c>
      <c r="F184" s="52" t="s">
        <v>2773</v>
      </c>
      <c r="G184" s="47" t="s">
        <v>2774</v>
      </c>
      <c r="H184" s="45" t="s">
        <v>863</v>
      </c>
      <c r="I184" s="48" t="s">
        <v>1028</v>
      </c>
      <c r="J184" s="47">
        <v>3.0</v>
      </c>
      <c r="K184" s="45" t="s">
        <v>1918</v>
      </c>
      <c r="L184" s="49" t="s">
        <v>2775</v>
      </c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>
        <v>500000.0</v>
      </c>
      <c r="AC184" s="50"/>
      <c r="AD184" s="50"/>
      <c r="AE184" s="50"/>
      <c r="AF184" s="50"/>
      <c r="AG184" s="50"/>
      <c r="AH184" s="50"/>
      <c r="AI184" s="50"/>
      <c r="AJ184" s="50"/>
      <c r="AK184" s="50"/>
      <c r="AL184" s="50">
        <v>450000.0</v>
      </c>
      <c r="AM184" s="50">
        <v>450000.0</v>
      </c>
      <c r="AN184" s="50">
        <v>450000.0</v>
      </c>
      <c r="AO184" s="50"/>
      <c r="AP184" s="50">
        <v>500000.0</v>
      </c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>
        <f t="shared" si="3"/>
        <v>1350000</v>
      </c>
      <c r="BD184" s="50">
        <f t="shared" si="4"/>
        <v>1000000</v>
      </c>
      <c r="BE184" s="50">
        <f t="shared" si="5"/>
        <v>0</v>
      </c>
      <c r="BF184" s="50">
        <f t="shared" si="6"/>
        <v>2350000</v>
      </c>
      <c r="BG184" s="46"/>
      <c r="BH184" s="46"/>
      <c r="BI184" s="46"/>
      <c r="BJ184" s="45" t="str">
        <f t="shared" ref="BJ184:BK184" si="187">H184</f>
        <v>C</v>
      </c>
      <c r="BK184" s="45" t="str">
        <f t="shared" si="187"/>
        <v>C-7</v>
      </c>
      <c r="BL184" s="51">
        <v>613000.0</v>
      </c>
    </row>
    <row r="185">
      <c r="A185" s="12">
        <f t="shared" si="2"/>
        <v>183</v>
      </c>
      <c r="B185" s="15" t="s">
        <v>2776</v>
      </c>
      <c r="C185" s="12">
        <v>2.024070107E9</v>
      </c>
      <c r="D185" s="15" t="s">
        <v>2777</v>
      </c>
      <c r="E185" s="15" t="s">
        <v>2778</v>
      </c>
      <c r="F185" s="15" t="s">
        <v>525</v>
      </c>
      <c r="G185" s="16" t="s">
        <v>2272</v>
      </c>
      <c r="H185" s="12" t="s">
        <v>863</v>
      </c>
      <c r="I185" s="14" t="s">
        <v>2721</v>
      </c>
      <c r="J185" s="16">
        <v>3.0</v>
      </c>
      <c r="K185" s="12" t="s">
        <v>1918</v>
      </c>
      <c r="L185" s="44" t="s">
        <v>2779</v>
      </c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>
        <f t="shared" si="3"/>
        <v>0</v>
      </c>
      <c r="BD185" s="18">
        <f t="shared" si="4"/>
        <v>0</v>
      </c>
      <c r="BE185" s="18">
        <f t="shared" si="5"/>
        <v>0</v>
      </c>
      <c r="BF185" s="18">
        <f t="shared" si="6"/>
        <v>0</v>
      </c>
      <c r="BG185" s="15"/>
      <c r="BH185" s="15"/>
      <c r="BI185" s="15"/>
      <c r="BJ185" s="12" t="str">
        <f t="shared" ref="BJ185:BK185" si="188">H185</f>
        <v>C</v>
      </c>
      <c r="BK185" s="12" t="str">
        <f t="shared" si="188"/>
        <v>C-9</v>
      </c>
      <c r="BL185" s="32">
        <v>613000.0</v>
      </c>
    </row>
    <row r="186">
      <c r="A186" s="45">
        <f t="shared" si="2"/>
        <v>184</v>
      </c>
      <c r="B186" s="46" t="s">
        <v>2780</v>
      </c>
      <c r="C186" s="45">
        <v>2.024070373E9</v>
      </c>
      <c r="D186" s="46" t="s">
        <v>873</v>
      </c>
      <c r="E186" s="46" t="s">
        <v>2781</v>
      </c>
      <c r="F186" s="46" t="s">
        <v>2782</v>
      </c>
      <c r="G186" s="47" t="s">
        <v>2783</v>
      </c>
      <c r="H186" s="45" t="s">
        <v>863</v>
      </c>
      <c r="I186" s="48" t="s">
        <v>2721</v>
      </c>
      <c r="J186" s="47">
        <v>3.0</v>
      </c>
      <c r="K186" s="47" t="s">
        <v>2765</v>
      </c>
      <c r="L186" s="49" t="s">
        <v>2784</v>
      </c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>
        <v>500000.0</v>
      </c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>
        <f t="shared" si="3"/>
        <v>0</v>
      </c>
      <c r="BD186" s="50">
        <f t="shared" si="4"/>
        <v>500000</v>
      </c>
      <c r="BE186" s="50">
        <f t="shared" si="5"/>
        <v>0</v>
      </c>
      <c r="BF186" s="50">
        <f t="shared" si="6"/>
        <v>500000</v>
      </c>
      <c r="BG186" s="46"/>
      <c r="BH186" s="46"/>
      <c r="BI186" s="46"/>
      <c r="BJ186" s="45" t="str">
        <f t="shared" ref="BJ186:BK186" si="189">H186</f>
        <v>C</v>
      </c>
      <c r="BK186" s="45" t="str">
        <f t="shared" si="189"/>
        <v>C-9</v>
      </c>
      <c r="BL186" s="51">
        <v>613000.0</v>
      </c>
    </row>
    <row r="187">
      <c r="A187" s="12">
        <f t="shared" si="2"/>
        <v>185</v>
      </c>
      <c r="B187" s="15" t="s">
        <v>2785</v>
      </c>
      <c r="C187" s="12">
        <v>2.024070223E9</v>
      </c>
      <c r="D187" s="15" t="s">
        <v>873</v>
      </c>
      <c r="E187" s="15" t="s">
        <v>2786</v>
      </c>
      <c r="F187" s="15" t="s">
        <v>2787</v>
      </c>
      <c r="G187" s="16" t="s">
        <v>2301</v>
      </c>
      <c r="H187" s="12" t="s">
        <v>863</v>
      </c>
      <c r="I187" s="14" t="s">
        <v>2737</v>
      </c>
      <c r="J187" s="16">
        <v>3.0</v>
      </c>
      <c r="K187" s="16" t="s">
        <v>2765</v>
      </c>
      <c r="L187" s="44" t="s">
        <v>2788</v>
      </c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>
        <v>500000.0</v>
      </c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>
        <f t="shared" si="3"/>
        <v>0</v>
      </c>
      <c r="BD187" s="18">
        <f t="shared" si="4"/>
        <v>500000</v>
      </c>
      <c r="BE187" s="18">
        <f t="shared" si="5"/>
        <v>0</v>
      </c>
      <c r="BF187" s="18">
        <f t="shared" si="6"/>
        <v>500000</v>
      </c>
      <c r="BG187" s="15"/>
      <c r="BH187" s="15"/>
      <c r="BI187" s="15"/>
      <c r="BJ187" s="12" t="str">
        <f t="shared" ref="BJ187:BK187" si="190">H187</f>
        <v>C</v>
      </c>
      <c r="BK187" s="12" t="str">
        <f t="shared" si="190"/>
        <v>C-8</v>
      </c>
      <c r="BL187" s="32">
        <v>613000.0</v>
      </c>
    </row>
    <row r="188">
      <c r="A188" s="45">
        <f t="shared" si="2"/>
        <v>186</v>
      </c>
      <c r="B188" s="46" t="s">
        <v>2789</v>
      </c>
      <c r="C188" s="45">
        <v>2.024070006E9</v>
      </c>
      <c r="D188" s="46" t="s">
        <v>2790</v>
      </c>
      <c r="E188" s="46" t="s">
        <v>2791</v>
      </c>
      <c r="F188" s="46" t="s">
        <v>2792</v>
      </c>
      <c r="G188" s="47" t="s">
        <v>2748</v>
      </c>
      <c r="H188" s="45" t="s">
        <v>863</v>
      </c>
      <c r="I188" s="48" t="s">
        <v>2749</v>
      </c>
      <c r="J188" s="47">
        <v>3.0</v>
      </c>
      <c r="K188" s="45" t="s">
        <v>1918</v>
      </c>
      <c r="L188" s="49" t="s">
        <v>2793</v>
      </c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>
        <v>500000.0</v>
      </c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>
        <v>500000.0</v>
      </c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>
        <f t="shared" si="3"/>
        <v>0</v>
      </c>
      <c r="BD188" s="50">
        <f t="shared" si="4"/>
        <v>1000000</v>
      </c>
      <c r="BE188" s="50">
        <f t="shared" si="5"/>
        <v>0</v>
      </c>
      <c r="BF188" s="50">
        <f t="shared" si="6"/>
        <v>1000000</v>
      </c>
      <c r="BG188" s="46"/>
      <c r="BH188" s="46"/>
      <c r="BI188" s="46"/>
      <c r="BJ188" s="45" t="str">
        <f t="shared" ref="BJ188:BK188" si="191">H188</f>
        <v>C</v>
      </c>
      <c r="BK188" s="45" t="str">
        <f t="shared" si="191"/>
        <v>C-2</v>
      </c>
      <c r="BL188" s="51">
        <v>613000.0</v>
      </c>
    </row>
    <row r="189">
      <c r="A189" s="12">
        <f t="shared" si="2"/>
        <v>187</v>
      </c>
      <c r="B189" s="15" t="s">
        <v>2794</v>
      </c>
      <c r="C189" s="12">
        <v>2.024070042E9</v>
      </c>
      <c r="D189" s="15" t="s">
        <v>790</v>
      </c>
      <c r="E189" s="15" t="s">
        <v>1622</v>
      </c>
      <c r="F189" s="15" t="s">
        <v>2795</v>
      </c>
      <c r="G189" s="16" t="s">
        <v>2342</v>
      </c>
      <c r="H189" s="14" t="s">
        <v>592</v>
      </c>
      <c r="I189" s="12"/>
      <c r="J189" s="16">
        <v>3.0</v>
      </c>
      <c r="K189" s="16" t="s">
        <v>2493</v>
      </c>
      <c r="L189" s="44" t="s">
        <v>2796</v>
      </c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>
        <f t="shared" si="3"/>
        <v>0</v>
      </c>
      <c r="BD189" s="18">
        <f t="shared" si="4"/>
        <v>0</v>
      </c>
      <c r="BE189" s="18">
        <f t="shared" si="5"/>
        <v>0</v>
      </c>
      <c r="BF189" s="18">
        <f t="shared" si="6"/>
        <v>0</v>
      </c>
      <c r="BG189" s="15"/>
      <c r="BH189" s="15"/>
      <c r="BI189" s="15"/>
      <c r="BJ189" s="12" t="str">
        <f t="shared" ref="BJ189:BK189" si="192">H189</f>
        <v>B</v>
      </c>
      <c r="BK189" s="12" t="str">
        <f t="shared" si="192"/>
        <v/>
      </c>
      <c r="BL189" s="32">
        <v>613000.0</v>
      </c>
    </row>
    <row r="190">
      <c r="A190" s="45">
        <f t="shared" si="2"/>
        <v>188</v>
      </c>
      <c r="B190" s="46" t="s">
        <v>2797</v>
      </c>
      <c r="C190" s="45">
        <v>2.02407019E9</v>
      </c>
      <c r="D190" s="46" t="s">
        <v>2798</v>
      </c>
      <c r="E190" s="46" t="s">
        <v>2799</v>
      </c>
      <c r="F190" s="46" t="s">
        <v>2800</v>
      </c>
      <c r="G190" s="47" t="s">
        <v>2266</v>
      </c>
      <c r="H190" s="45" t="s">
        <v>863</v>
      </c>
      <c r="I190" s="48" t="s">
        <v>2721</v>
      </c>
      <c r="J190" s="47">
        <v>3.0</v>
      </c>
      <c r="K190" s="47" t="s">
        <v>2493</v>
      </c>
      <c r="L190" s="49" t="s">
        <v>2801</v>
      </c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>
        <v>450000.0</v>
      </c>
      <c r="AJ190" s="50">
        <v>450000.0</v>
      </c>
      <c r="AK190" s="50">
        <v>450000.0</v>
      </c>
      <c r="AL190" s="50">
        <v>450000.0</v>
      </c>
      <c r="AM190" s="50">
        <v>450000.0</v>
      </c>
      <c r="AN190" s="50">
        <v>450000.0</v>
      </c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>
        <f t="shared" si="3"/>
        <v>2700000</v>
      </c>
      <c r="BD190" s="50">
        <f t="shared" si="4"/>
        <v>0</v>
      </c>
      <c r="BE190" s="50">
        <f t="shared" si="5"/>
        <v>0</v>
      </c>
      <c r="BF190" s="50">
        <f t="shared" si="6"/>
        <v>2700000</v>
      </c>
      <c r="BG190" s="46"/>
      <c r="BH190" s="46"/>
      <c r="BI190" s="46"/>
      <c r="BJ190" s="45" t="str">
        <f t="shared" ref="BJ190:BK190" si="193">H190</f>
        <v>C</v>
      </c>
      <c r="BK190" s="45" t="str">
        <f t="shared" si="193"/>
        <v>C-9</v>
      </c>
      <c r="BL190" s="51">
        <v>613000.0</v>
      </c>
    </row>
    <row r="191">
      <c r="A191" s="12">
        <f t="shared" si="2"/>
        <v>189</v>
      </c>
      <c r="B191" s="15" t="s">
        <v>2802</v>
      </c>
      <c r="C191" s="12">
        <v>2.024070112E9</v>
      </c>
      <c r="D191" s="15" t="s">
        <v>2803</v>
      </c>
      <c r="E191" s="15" t="s">
        <v>2804</v>
      </c>
      <c r="F191" s="15" t="s">
        <v>2805</v>
      </c>
      <c r="G191" s="16" t="s">
        <v>2272</v>
      </c>
      <c r="H191" s="12" t="s">
        <v>863</v>
      </c>
      <c r="I191" s="14" t="s">
        <v>2721</v>
      </c>
      <c r="J191" s="16">
        <v>3.0</v>
      </c>
      <c r="K191" s="16" t="s">
        <v>2493</v>
      </c>
      <c r="L191" s="44" t="s">
        <v>2806</v>
      </c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>
        <v>500000.0</v>
      </c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>
        <f t="shared" si="3"/>
        <v>0</v>
      </c>
      <c r="BD191" s="18">
        <f t="shared" si="4"/>
        <v>500000</v>
      </c>
      <c r="BE191" s="18">
        <f t="shared" si="5"/>
        <v>0</v>
      </c>
      <c r="BF191" s="18">
        <f t="shared" si="6"/>
        <v>500000</v>
      </c>
      <c r="BG191" s="15"/>
      <c r="BH191" s="15"/>
      <c r="BI191" s="15"/>
      <c r="BJ191" s="12" t="str">
        <f t="shared" ref="BJ191:BK191" si="194">H191</f>
        <v>C</v>
      </c>
      <c r="BK191" s="12" t="str">
        <f t="shared" si="194"/>
        <v>C-9</v>
      </c>
      <c r="BL191" s="32">
        <v>613000.0</v>
      </c>
    </row>
    <row r="192">
      <c r="A192" s="45">
        <f t="shared" si="2"/>
        <v>190</v>
      </c>
      <c r="B192" s="46" t="s">
        <v>2807</v>
      </c>
      <c r="C192" s="45">
        <v>2.024070346E9</v>
      </c>
      <c r="D192" s="52" t="s">
        <v>2808</v>
      </c>
      <c r="E192" s="52" t="s">
        <v>2809</v>
      </c>
      <c r="F192" s="52" t="s">
        <v>2810</v>
      </c>
      <c r="G192" s="47" t="s">
        <v>2736</v>
      </c>
      <c r="H192" s="45" t="s">
        <v>863</v>
      </c>
      <c r="I192" s="48" t="s">
        <v>2721</v>
      </c>
      <c r="J192" s="47">
        <v>3.0</v>
      </c>
      <c r="K192" s="45" t="s">
        <v>1918</v>
      </c>
      <c r="L192" s="49" t="s">
        <v>2811</v>
      </c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>
        <v>450000.0</v>
      </c>
      <c r="AN192" s="50">
        <v>450000.0</v>
      </c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>
        <f t="shared" si="3"/>
        <v>900000</v>
      </c>
      <c r="BD192" s="50">
        <f t="shared" si="4"/>
        <v>0</v>
      </c>
      <c r="BE192" s="50">
        <f t="shared" si="5"/>
        <v>0</v>
      </c>
      <c r="BF192" s="50">
        <f t="shared" si="6"/>
        <v>900000</v>
      </c>
      <c r="BG192" s="46"/>
      <c r="BH192" s="46"/>
      <c r="BI192" s="46"/>
      <c r="BJ192" s="45" t="str">
        <f t="shared" ref="BJ192:BK192" si="195">H192</f>
        <v>C</v>
      </c>
      <c r="BK192" s="45" t="str">
        <f t="shared" si="195"/>
        <v>C-9</v>
      </c>
      <c r="BL192" s="51">
        <v>613000.0</v>
      </c>
    </row>
    <row r="193">
      <c r="A193" s="12">
        <f t="shared" si="2"/>
        <v>191</v>
      </c>
      <c r="B193" s="15" t="s">
        <v>2812</v>
      </c>
      <c r="C193" s="12">
        <v>2.024070073E9</v>
      </c>
      <c r="D193" s="15" t="s">
        <v>2813</v>
      </c>
      <c r="E193" s="15" t="s">
        <v>2814</v>
      </c>
      <c r="F193" s="15" t="s">
        <v>2815</v>
      </c>
      <c r="G193" s="16" t="s">
        <v>2237</v>
      </c>
      <c r="H193" s="12" t="s">
        <v>863</v>
      </c>
      <c r="I193" s="14" t="s">
        <v>2721</v>
      </c>
      <c r="J193" s="16">
        <v>3.0</v>
      </c>
      <c r="K193" s="16" t="s">
        <v>2765</v>
      </c>
      <c r="L193" s="44" t="s">
        <v>2816</v>
      </c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>
        <v>500000.0</v>
      </c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>
        <v>450000.0</v>
      </c>
      <c r="AO193" s="18"/>
      <c r="AP193" s="18">
        <v>500000.0</v>
      </c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>
        <f t="shared" si="3"/>
        <v>450000</v>
      </c>
      <c r="BD193" s="18">
        <f t="shared" si="4"/>
        <v>1000000</v>
      </c>
      <c r="BE193" s="18">
        <f t="shared" si="5"/>
        <v>0</v>
      </c>
      <c r="BF193" s="18">
        <f t="shared" si="6"/>
        <v>1450000</v>
      </c>
      <c r="BG193" s="15"/>
      <c r="BH193" s="15"/>
      <c r="BI193" s="15"/>
      <c r="BJ193" s="12" t="str">
        <f t="shared" ref="BJ193:BK193" si="196">H193</f>
        <v>C</v>
      </c>
      <c r="BK193" s="12" t="str">
        <f t="shared" si="196"/>
        <v>C-9</v>
      </c>
      <c r="BL193" s="32">
        <v>613000.0</v>
      </c>
    </row>
    <row r="194">
      <c r="A194" s="45">
        <f t="shared" si="2"/>
        <v>192</v>
      </c>
      <c r="B194" s="46" t="s">
        <v>2817</v>
      </c>
      <c r="C194" s="45">
        <v>2.024070419E9</v>
      </c>
      <c r="D194" s="46" t="s">
        <v>2818</v>
      </c>
      <c r="E194" s="46" t="s">
        <v>2819</v>
      </c>
      <c r="F194" s="46" t="s">
        <v>2820</v>
      </c>
      <c r="G194" s="47" t="s">
        <v>2248</v>
      </c>
      <c r="H194" s="45" t="s">
        <v>863</v>
      </c>
      <c r="I194" s="48" t="s">
        <v>1028</v>
      </c>
      <c r="J194" s="47">
        <v>3.0</v>
      </c>
      <c r="K194" s="47" t="s">
        <v>2528</v>
      </c>
      <c r="L194" s="49" t="s">
        <v>2821</v>
      </c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>
        <v>500000.0</v>
      </c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>
        <v>450000.0</v>
      </c>
      <c r="AN194" s="50">
        <v>450000.0</v>
      </c>
      <c r="AO194" s="50"/>
      <c r="AP194" s="50">
        <v>500000.0</v>
      </c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>
        <f t="shared" si="3"/>
        <v>900000</v>
      </c>
      <c r="BD194" s="50">
        <f t="shared" si="4"/>
        <v>1000000</v>
      </c>
      <c r="BE194" s="50">
        <f t="shared" si="5"/>
        <v>0</v>
      </c>
      <c r="BF194" s="50">
        <f t="shared" si="6"/>
        <v>1900000</v>
      </c>
      <c r="BG194" s="46"/>
      <c r="BH194" s="46"/>
      <c r="BI194" s="46"/>
      <c r="BJ194" s="45" t="str">
        <f t="shared" ref="BJ194:BK194" si="197">H194</f>
        <v>C</v>
      </c>
      <c r="BK194" s="45" t="str">
        <f t="shared" si="197"/>
        <v>C-7</v>
      </c>
      <c r="BL194" s="51">
        <v>613000.0</v>
      </c>
    </row>
    <row r="195">
      <c r="A195" s="12">
        <f t="shared" si="2"/>
        <v>193</v>
      </c>
      <c r="B195" s="15" t="s">
        <v>2822</v>
      </c>
      <c r="C195" s="12">
        <v>2.024070043E9</v>
      </c>
      <c r="D195" s="15" t="s">
        <v>2823</v>
      </c>
      <c r="E195" s="15" t="s">
        <v>2824</v>
      </c>
      <c r="F195" s="15" t="s">
        <v>2825</v>
      </c>
      <c r="G195" s="16" t="s">
        <v>2342</v>
      </c>
      <c r="H195" s="12" t="s">
        <v>863</v>
      </c>
      <c r="I195" s="14" t="s">
        <v>2737</v>
      </c>
      <c r="J195" s="16">
        <v>3.0</v>
      </c>
      <c r="K195" s="12" t="s">
        <v>1918</v>
      </c>
      <c r="L195" s="44" t="s">
        <v>2826</v>
      </c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>
        <v>0.0</v>
      </c>
      <c r="AG195" s="18">
        <v>0.0</v>
      </c>
      <c r="AH195" s="18">
        <v>0.0</v>
      </c>
      <c r="AI195" s="18">
        <v>0.0</v>
      </c>
      <c r="AJ195" s="18">
        <v>0.0</v>
      </c>
      <c r="AK195" s="18">
        <v>0.0</v>
      </c>
      <c r="AL195" s="18">
        <v>0.0</v>
      </c>
      <c r="AM195" s="18">
        <v>0.0</v>
      </c>
      <c r="AN195" s="18">
        <v>0.0</v>
      </c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>
        <f t="shared" si="3"/>
        <v>0</v>
      </c>
      <c r="BD195" s="18">
        <f t="shared" si="4"/>
        <v>0</v>
      </c>
      <c r="BE195" s="18">
        <f t="shared" si="5"/>
        <v>0</v>
      </c>
      <c r="BF195" s="18">
        <f t="shared" si="6"/>
        <v>0</v>
      </c>
      <c r="BG195" s="15"/>
      <c r="BH195" s="15"/>
      <c r="BI195" s="15"/>
      <c r="BJ195" s="12" t="str">
        <f t="shared" ref="BJ195:BK195" si="198">H195</f>
        <v>C</v>
      </c>
      <c r="BK195" s="12" t="str">
        <f t="shared" si="198"/>
        <v>C-8</v>
      </c>
      <c r="BL195" s="31">
        <v>0.0</v>
      </c>
    </row>
    <row r="196">
      <c r="A196" s="45">
        <f t="shared" si="2"/>
        <v>194</v>
      </c>
      <c r="B196" s="46" t="s">
        <v>2827</v>
      </c>
      <c r="C196" s="45">
        <v>2.02407042E9</v>
      </c>
      <c r="D196" s="46" t="s">
        <v>2828</v>
      </c>
      <c r="E196" s="46" t="s">
        <v>2829</v>
      </c>
      <c r="F196" s="46" t="s">
        <v>2830</v>
      </c>
      <c r="G196" s="47" t="s">
        <v>2248</v>
      </c>
      <c r="H196" s="45" t="s">
        <v>863</v>
      </c>
      <c r="I196" s="48" t="s">
        <v>1028</v>
      </c>
      <c r="J196" s="47">
        <v>3.0</v>
      </c>
      <c r="K196" s="47" t="s">
        <v>2528</v>
      </c>
      <c r="L196" s="49" t="s">
        <v>2831</v>
      </c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>
        <f t="shared" si="3"/>
        <v>0</v>
      </c>
      <c r="BD196" s="50">
        <f t="shared" si="4"/>
        <v>0</v>
      </c>
      <c r="BE196" s="50">
        <f t="shared" si="5"/>
        <v>0</v>
      </c>
      <c r="BF196" s="50">
        <f t="shared" si="6"/>
        <v>0</v>
      </c>
      <c r="BG196" s="46"/>
      <c r="BH196" s="46"/>
      <c r="BI196" s="46"/>
      <c r="BJ196" s="45" t="str">
        <f t="shared" ref="BJ196:BK196" si="199">H196</f>
        <v>C</v>
      </c>
      <c r="BK196" s="45" t="str">
        <f t="shared" si="199"/>
        <v>C-7</v>
      </c>
      <c r="BL196" s="51">
        <v>613000.0</v>
      </c>
    </row>
    <row r="197">
      <c r="A197" s="12">
        <f t="shared" si="2"/>
        <v>195</v>
      </c>
      <c r="B197" s="15" t="s">
        <v>2832</v>
      </c>
      <c r="C197" s="12">
        <v>2.024070045E9</v>
      </c>
      <c r="D197" s="15" t="s">
        <v>2833</v>
      </c>
      <c r="E197" s="15" t="s">
        <v>2834</v>
      </c>
      <c r="F197" s="15" t="s">
        <v>2835</v>
      </c>
      <c r="G197" s="16" t="s">
        <v>2342</v>
      </c>
      <c r="H197" s="12" t="s">
        <v>863</v>
      </c>
      <c r="I197" s="14" t="s">
        <v>2721</v>
      </c>
      <c r="J197" s="16">
        <v>3.0</v>
      </c>
      <c r="K197" s="12" t="s">
        <v>1918</v>
      </c>
      <c r="L197" s="44" t="s">
        <v>2836</v>
      </c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>
        <v>500000.0</v>
      </c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>
        <v>500000.0</v>
      </c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>
        <f t="shared" si="3"/>
        <v>0</v>
      </c>
      <c r="BD197" s="18">
        <f t="shared" si="4"/>
        <v>1000000</v>
      </c>
      <c r="BE197" s="18">
        <f t="shared" si="5"/>
        <v>0</v>
      </c>
      <c r="BF197" s="18">
        <f t="shared" si="6"/>
        <v>1000000</v>
      </c>
      <c r="BG197" s="15"/>
      <c r="BH197" s="15"/>
      <c r="BI197" s="15"/>
      <c r="BJ197" s="12" t="str">
        <f t="shared" ref="BJ197:BK197" si="200">H197</f>
        <v>C</v>
      </c>
      <c r="BK197" s="12" t="str">
        <f t="shared" si="200"/>
        <v>C-9</v>
      </c>
      <c r="BL197" s="32">
        <v>613000.0</v>
      </c>
    </row>
    <row r="198">
      <c r="A198" s="45">
        <f t="shared" si="2"/>
        <v>196</v>
      </c>
      <c r="B198" s="46" t="s">
        <v>2837</v>
      </c>
      <c r="C198" s="45">
        <v>2.024070549E9</v>
      </c>
      <c r="D198" s="46" t="s">
        <v>2838</v>
      </c>
      <c r="E198" s="46" t="s">
        <v>2839</v>
      </c>
      <c r="F198" s="46" t="s">
        <v>2840</v>
      </c>
      <c r="G198" s="47" t="s">
        <v>2406</v>
      </c>
      <c r="H198" s="45" t="s">
        <v>863</v>
      </c>
      <c r="I198" s="48" t="s">
        <v>881</v>
      </c>
      <c r="J198" s="47">
        <v>3.0</v>
      </c>
      <c r="K198" s="47" t="s">
        <v>2407</v>
      </c>
      <c r="L198" s="49" t="s">
        <v>2841</v>
      </c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>
        <v>450000.0</v>
      </c>
      <c r="AM198" s="50">
        <v>450000.0</v>
      </c>
      <c r="AN198" s="50">
        <v>450000.0</v>
      </c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>
        <f t="shared" si="3"/>
        <v>1350000</v>
      </c>
      <c r="BD198" s="50">
        <f t="shared" si="4"/>
        <v>0</v>
      </c>
      <c r="BE198" s="50">
        <f t="shared" si="5"/>
        <v>0</v>
      </c>
      <c r="BF198" s="50">
        <f t="shared" si="6"/>
        <v>1350000</v>
      </c>
      <c r="BG198" s="46"/>
      <c r="BH198" s="46"/>
      <c r="BI198" s="46"/>
      <c r="BJ198" s="45" t="str">
        <f t="shared" ref="BJ198:BK198" si="201">H198</f>
        <v>C</v>
      </c>
      <c r="BK198" s="45" t="str">
        <f t="shared" si="201"/>
        <v>C-12</v>
      </c>
      <c r="BL198" s="51">
        <v>613000.0</v>
      </c>
    </row>
    <row r="199">
      <c r="A199" s="12">
        <f t="shared" si="2"/>
        <v>197</v>
      </c>
      <c r="B199" s="15" t="s">
        <v>2842</v>
      </c>
      <c r="C199" s="12">
        <v>2.024070421E9</v>
      </c>
      <c r="D199" s="15" t="s">
        <v>2843</v>
      </c>
      <c r="E199" s="15" t="s">
        <v>2844</v>
      </c>
      <c r="F199" s="15" t="s">
        <v>2845</v>
      </c>
      <c r="G199" s="16" t="s">
        <v>2248</v>
      </c>
      <c r="H199" s="12" t="s">
        <v>863</v>
      </c>
      <c r="I199" s="14" t="s">
        <v>1028</v>
      </c>
      <c r="J199" s="16">
        <v>3.0</v>
      </c>
      <c r="K199" s="12" t="s">
        <v>1918</v>
      </c>
      <c r="L199" s="44" t="s">
        <v>2846</v>
      </c>
      <c r="M199" s="18">
        <v>600000.0</v>
      </c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>
        <v>500000.0</v>
      </c>
      <c r="AC199" s="18"/>
      <c r="AD199" s="18"/>
      <c r="AE199" s="18"/>
      <c r="AF199" s="18"/>
      <c r="AG199" s="18">
        <v>450000.0</v>
      </c>
      <c r="AH199" s="18">
        <v>450000.0</v>
      </c>
      <c r="AI199" s="18">
        <v>450000.0</v>
      </c>
      <c r="AJ199" s="18">
        <v>450000.0</v>
      </c>
      <c r="AK199" s="18">
        <v>450000.0</v>
      </c>
      <c r="AL199" s="18">
        <v>450000.0</v>
      </c>
      <c r="AM199" s="18">
        <v>450000.0</v>
      </c>
      <c r="AN199" s="18">
        <v>450000.0</v>
      </c>
      <c r="AO199" s="18"/>
      <c r="AP199" s="18">
        <v>500000.0</v>
      </c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>
        <f t="shared" si="3"/>
        <v>3600000</v>
      </c>
      <c r="BD199" s="18">
        <f t="shared" si="4"/>
        <v>1600000</v>
      </c>
      <c r="BE199" s="18">
        <f t="shared" si="5"/>
        <v>0</v>
      </c>
      <c r="BF199" s="18">
        <f t="shared" si="6"/>
        <v>5200000</v>
      </c>
      <c r="BG199" s="15"/>
      <c r="BH199" s="15"/>
      <c r="BI199" s="15"/>
      <c r="BJ199" s="12" t="str">
        <f t="shared" ref="BJ199:BK199" si="202">H199</f>
        <v>C</v>
      </c>
      <c r="BK199" s="12" t="str">
        <f t="shared" si="202"/>
        <v>C-7</v>
      </c>
      <c r="BL199" s="32">
        <v>613000.0</v>
      </c>
    </row>
    <row r="200">
      <c r="A200" s="45">
        <f t="shared" si="2"/>
        <v>198</v>
      </c>
      <c r="B200" s="46" t="s">
        <v>2847</v>
      </c>
      <c r="C200" s="45">
        <v>2.024070008E9</v>
      </c>
      <c r="D200" s="46" t="s">
        <v>2848</v>
      </c>
      <c r="E200" s="46" t="s">
        <v>2849</v>
      </c>
      <c r="F200" s="46" t="s">
        <v>2850</v>
      </c>
      <c r="G200" s="47" t="s">
        <v>2748</v>
      </c>
      <c r="H200" s="45" t="s">
        <v>863</v>
      </c>
      <c r="I200" s="48" t="s">
        <v>2749</v>
      </c>
      <c r="J200" s="47">
        <v>3.0</v>
      </c>
      <c r="K200" s="45" t="s">
        <v>1918</v>
      </c>
      <c r="L200" s="49" t="s">
        <v>2851</v>
      </c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>
        <v>500000.0</v>
      </c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>
        <v>450000.0</v>
      </c>
      <c r="AN200" s="50">
        <v>450000.0</v>
      </c>
      <c r="AO200" s="50"/>
      <c r="AP200" s="50">
        <v>500000.0</v>
      </c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>
        <f t="shared" si="3"/>
        <v>900000</v>
      </c>
      <c r="BD200" s="50">
        <f t="shared" si="4"/>
        <v>1000000</v>
      </c>
      <c r="BE200" s="50">
        <f t="shared" si="5"/>
        <v>0</v>
      </c>
      <c r="BF200" s="50">
        <f t="shared" si="6"/>
        <v>1900000</v>
      </c>
      <c r="BG200" s="46"/>
      <c r="BH200" s="46"/>
      <c r="BI200" s="46"/>
      <c r="BJ200" s="45" t="str">
        <f t="shared" ref="BJ200:BK200" si="203">H200</f>
        <v>C</v>
      </c>
      <c r="BK200" s="45" t="str">
        <f t="shared" si="203"/>
        <v>C-2</v>
      </c>
      <c r="BL200" s="51">
        <v>613000.0</v>
      </c>
    </row>
    <row r="201">
      <c r="A201" s="12">
        <f t="shared" si="2"/>
        <v>199</v>
      </c>
      <c r="B201" s="15" t="s">
        <v>2852</v>
      </c>
      <c r="C201" s="12">
        <v>2.024070422E9</v>
      </c>
      <c r="D201" s="15" t="s">
        <v>2853</v>
      </c>
      <c r="E201" s="15" t="s">
        <v>2854</v>
      </c>
      <c r="F201" s="15" t="s">
        <v>2855</v>
      </c>
      <c r="G201" s="16" t="s">
        <v>2248</v>
      </c>
      <c r="H201" s="12" t="s">
        <v>863</v>
      </c>
      <c r="I201" s="14" t="s">
        <v>1028</v>
      </c>
      <c r="J201" s="16">
        <v>3.0</v>
      </c>
      <c r="K201" s="16" t="s">
        <v>2528</v>
      </c>
      <c r="L201" s="44" t="s">
        <v>2856</v>
      </c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>
        <v>500000.0</v>
      </c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>
        <v>500000.0</v>
      </c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>
        <f t="shared" si="3"/>
        <v>0</v>
      </c>
      <c r="BD201" s="18">
        <f t="shared" si="4"/>
        <v>1000000</v>
      </c>
      <c r="BE201" s="18">
        <f t="shared" si="5"/>
        <v>0</v>
      </c>
      <c r="BF201" s="18">
        <f t="shared" si="6"/>
        <v>1000000</v>
      </c>
      <c r="BG201" s="15"/>
      <c r="BH201" s="15"/>
      <c r="BI201" s="15"/>
      <c r="BJ201" s="12" t="str">
        <f t="shared" ref="BJ201:BK201" si="204">H201</f>
        <v>C</v>
      </c>
      <c r="BK201" s="12" t="str">
        <f t="shared" si="204"/>
        <v>C-7</v>
      </c>
      <c r="BL201" s="32">
        <v>613000.0</v>
      </c>
    </row>
    <row r="202">
      <c r="A202" s="45">
        <f t="shared" si="2"/>
        <v>200</v>
      </c>
      <c r="B202" s="46" t="s">
        <v>2857</v>
      </c>
      <c r="C202" s="45">
        <v>2.024070423E9</v>
      </c>
      <c r="D202" s="46" t="s">
        <v>2858</v>
      </c>
      <c r="E202" s="46" t="s">
        <v>2859</v>
      </c>
      <c r="F202" s="46" t="s">
        <v>2860</v>
      </c>
      <c r="G202" s="47" t="s">
        <v>2248</v>
      </c>
      <c r="H202" s="45" t="s">
        <v>863</v>
      </c>
      <c r="I202" s="48" t="s">
        <v>1028</v>
      </c>
      <c r="J202" s="47">
        <v>3.0</v>
      </c>
      <c r="K202" s="47" t="s">
        <v>2528</v>
      </c>
      <c r="L202" s="49" t="s">
        <v>2861</v>
      </c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>
        <f t="shared" si="3"/>
        <v>0</v>
      </c>
      <c r="BD202" s="50">
        <f t="shared" si="4"/>
        <v>0</v>
      </c>
      <c r="BE202" s="50">
        <f t="shared" si="5"/>
        <v>0</v>
      </c>
      <c r="BF202" s="50">
        <f t="shared" si="6"/>
        <v>0</v>
      </c>
      <c r="BG202" s="46"/>
      <c r="BH202" s="46"/>
      <c r="BI202" s="46"/>
      <c r="BJ202" s="45" t="str">
        <f t="shared" ref="BJ202:BK202" si="205">H202</f>
        <v>C</v>
      </c>
      <c r="BK202" s="45" t="str">
        <f t="shared" si="205"/>
        <v>C-7</v>
      </c>
      <c r="BL202" s="51">
        <v>613000.0</v>
      </c>
    </row>
    <row r="203">
      <c r="A203" s="12">
        <f t="shared" si="2"/>
        <v>201</v>
      </c>
      <c r="B203" s="15" t="s">
        <v>2862</v>
      </c>
      <c r="C203" s="12">
        <v>2.024070569E9</v>
      </c>
      <c r="D203" s="15" t="s">
        <v>1783</v>
      </c>
      <c r="E203" s="15" t="s">
        <v>1784</v>
      </c>
      <c r="F203" s="15" t="s">
        <v>652</v>
      </c>
      <c r="G203" s="16" t="s">
        <v>1924</v>
      </c>
      <c r="H203" s="12" t="s">
        <v>863</v>
      </c>
      <c r="I203" s="14" t="s">
        <v>2576</v>
      </c>
      <c r="J203" s="16">
        <v>3.0</v>
      </c>
      <c r="K203" s="12" t="s">
        <v>1918</v>
      </c>
      <c r="L203" s="44" t="s">
        <v>1786</v>
      </c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>
        <v>450000.0</v>
      </c>
      <c r="AJ203" s="18">
        <v>450000.0</v>
      </c>
      <c r="AK203" s="18">
        <v>450000.0</v>
      </c>
      <c r="AL203" s="18">
        <v>450000.0</v>
      </c>
      <c r="AM203" s="18">
        <v>450000.0</v>
      </c>
      <c r="AN203" s="18">
        <v>450000.0</v>
      </c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>
        <f t="shared" si="3"/>
        <v>2700000</v>
      </c>
      <c r="BD203" s="18">
        <f t="shared" si="4"/>
        <v>0</v>
      </c>
      <c r="BE203" s="18">
        <f t="shared" si="5"/>
        <v>0</v>
      </c>
      <c r="BF203" s="18">
        <f t="shared" si="6"/>
        <v>2700000</v>
      </c>
      <c r="BG203" s="15"/>
      <c r="BH203" s="15"/>
      <c r="BI203" s="15"/>
      <c r="BJ203" s="12" t="str">
        <f t="shared" ref="BJ203:BK203" si="206">H203</f>
        <v>C</v>
      </c>
      <c r="BK203" s="12" t="str">
        <f t="shared" si="206"/>
        <v>C-3</v>
      </c>
      <c r="BL203" s="32">
        <v>613000.0</v>
      </c>
    </row>
    <row r="204">
      <c r="A204" s="45">
        <f t="shared" si="2"/>
        <v>202</v>
      </c>
      <c r="B204" s="46" t="s">
        <v>2863</v>
      </c>
      <c r="C204" s="45">
        <v>2.024070228E9</v>
      </c>
      <c r="D204" s="46" t="s">
        <v>2864</v>
      </c>
      <c r="E204" s="46" t="s">
        <v>2865</v>
      </c>
      <c r="F204" s="46" t="s">
        <v>2866</v>
      </c>
      <c r="G204" s="47" t="s">
        <v>2301</v>
      </c>
      <c r="H204" s="45" t="s">
        <v>863</v>
      </c>
      <c r="I204" s="48" t="s">
        <v>2721</v>
      </c>
      <c r="J204" s="47">
        <v>3.0</v>
      </c>
      <c r="K204" s="47" t="s">
        <v>2483</v>
      </c>
      <c r="L204" s="49" t="s">
        <v>2867</v>
      </c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>
        <f t="shared" si="3"/>
        <v>0</v>
      </c>
      <c r="BD204" s="50">
        <f t="shared" si="4"/>
        <v>0</v>
      </c>
      <c r="BE204" s="50">
        <f t="shared" si="5"/>
        <v>0</v>
      </c>
      <c r="BF204" s="50">
        <f t="shared" si="6"/>
        <v>0</v>
      </c>
      <c r="BG204" s="46"/>
      <c r="BH204" s="46"/>
      <c r="BI204" s="46"/>
      <c r="BJ204" s="45" t="str">
        <f t="shared" ref="BJ204:BK204" si="207">H204</f>
        <v>C</v>
      </c>
      <c r="BK204" s="45" t="str">
        <f t="shared" si="207"/>
        <v>C-9</v>
      </c>
      <c r="BL204" s="51">
        <v>613000.0</v>
      </c>
    </row>
    <row r="205">
      <c r="A205" s="12">
        <f t="shared" si="2"/>
        <v>203</v>
      </c>
      <c r="B205" s="15" t="s">
        <v>2868</v>
      </c>
      <c r="C205" s="12">
        <v>2.024070076E9</v>
      </c>
      <c r="D205" s="15" t="s">
        <v>2869</v>
      </c>
      <c r="E205" s="15" t="s">
        <v>2280</v>
      </c>
      <c r="F205" s="15" t="s">
        <v>2870</v>
      </c>
      <c r="G205" s="16" t="s">
        <v>2237</v>
      </c>
      <c r="H205" s="12" t="s">
        <v>863</v>
      </c>
      <c r="I205" s="14" t="s">
        <v>2737</v>
      </c>
      <c r="J205" s="16">
        <v>3.0</v>
      </c>
      <c r="K205" s="16" t="s">
        <v>2493</v>
      </c>
      <c r="L205" s="44" t="s">
        <v>2871</v>
      </c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>
        <v>500000.0</v>
      </c>
      <c r="AC205" s="18"/>
      <c r="AD205" s="18"/>
      <c r="AE205" s="18"/>
      <c r="AF205" s="18"/>
      <c r="AG205" s="18"/>
      <c r="AH205" s="18">
        <v>450000.0</v>
      </c>
      <c r="AI205" s="18">
        <v>450000.0</v>
      </c>
      <c r="AJ205" s="18">
        <v>450000.0</v>
      </c>
      <c r="AK205" s="18">
        <v>450000.0</v>
      </c>
      <c r="AL205" s="18">
        <v>450000.0</v>
      </c>
      <c r="AM205" s="18">
        <v>450000.0</v>
      </c>
      <c r="AN205" s="18">
        <v>450000.0</v>
      </c>
      <c r="AO205" s="18"/>
      <c r="AP205" s="18">
        <v>500000.0</v>
      </c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>
        <f t="shared" si="3"/>
        <v>3150000</v>
      </c>
      <c r="BD205" s="18">
        <f t="shared" si="4"/>
        <v>1000000</v>
      </c>
      <c r="BE205" s="18">
        <f t="shared" si="5"/>
        <v>0</v>
      </c>
      <c r="BF205" s="18">
        <f t="shared" si="6"/>
        <v>4150000</v>
      </c>
      <c r="BG205" s="15"/>
      <c r="BH205" s="15"/>
      <c r="BI205" s="15"/>
      <c r="BJ205" s="12" t="str">
        <f t="shared" ref="BJ205:BK205" si="208">H205</f>
        <v>C</v>
      </c>
      <c r="BK205" s="12" t="str">
        <f t="shared" si="208"/>
        <v>C-8</v>
      </c>
      <c r="BL205" s="32">
        <v>613000.0</v>
      </c>
    </row>
    <row r="206">
      <c r="A206" s="45">
        <f t="shared" si="2"/>
        <v>204</v>
      </c>
      <c r="B206" s="46" t="s">
        <v>2872</v>
      </c>
      <c r="C206" s="45">
        <v>2.024070009E9</v>
      </c>
      <c r="D206" s="46" t="s">
        <v>181</v>
      </c>
      <c r="E206" s="46" t="s">
        <v>2873</v>
      </c>
      <c r="F206" s="46" t="s">
        <v>2874</v>
      </c>
      <c r="G206" s="47" t="s">
        <v>2748</v>
      </c>
      <c r="H206" s="45" t="s">
        <v>863</v>
      </c>
      <c r="I206" s="48" t="s">
        <v>2749</v>
      </c>
      <c r="J206" s="47">
        <v>3.0</v>
      </c>
      <c r="K206" s="45" t="s">
        <v>1918</v>
      </c>
      <c r="L206" s="49" t="s">
        <v>2875</v>
      </c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>
        <f t="shared" si="3"/>
        <v>0</v>
      </c>
      <c r="BD206" s="50">
        <f t="shared" si="4"/>
        <v>0</v>
      </c>
      <c r="BE206" s="50">
        <f t="shared" si="5"/>
        <v>0</v>
      </c>
      <c r="BF206" s="50">
        <f t="shared" si="6"/>
        <v>0</v>
      </c>
      <c r="BG206" s="46"/>
      <c r="BH206" s="46"/>
      <c r="BI206" s="46"/>
      <c r="BJ206" s="45" t="str">
        <f t="shared" ref="BJ206:BK206" si="209">H206</f>
        <v>C</v>
      </c>
      <c r="BK206" s="45" t="str">
        <f t="shared" si="209"/>
        <v>C-2</v>
      </c>
      <c r="BL206" s="51">
        <v>613000.0</v>
      </c>
    </row>
    <row r="207">
      <c r="A207" s="12">
        <f t="shared" si="2"/>
        <v>205</v>
      </c>
      <c r="B207" s="15" t="s">
        <v>2876</v>
      </c>
      <c r="C207" s="12">
        <v>2.024070424E9</v>
      </c>
      <c r="D207" s="15" t="s">
        <v>2877</v>
      </c>
      <c r="E207" s="15" t="s">
        <v>446</v>
      </c>
      <c r="F207" s="15" t="s">
        <v>2310</v>
      </c>
      <c r="G207" s="16" t="s">
        <v>2248</v>
      </c>
      <c r="H207" s="12" t="s">
        <v>863</v>
      </c>
      <c r="I207" s="14" t="s">
        <v>1028</v>
      </c>
      <c r="J207" s="16">
        <v>3.0</v>
      </c>
      <c r="K207" s="16" t="s">
        <v>2528</v>
      </c>
      <c r="L207" s="44" t="s">
        <v>2878</v>
      </c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>
        <f t="shared" si="3"/>
        <v>0</v>
      </c>
      <c r="BD207" s="18">
        <f t="shared" si="4"/>
        <v>0</v>
      </c>
      <c r="BE207" s="18">
        <f t="shared" si="5"/>
        <v>0</v>
      </c>
      <c r="BF207" s="18">
        <f t="shared" si="6"/>
        <v>0</v>
      </c>
      <c r="BG207" s="15"/>
      <c r="BH207" s="15"/>
      <c r="BI207" s="15"/>
      <c r="BJ207" s="12" t="str">
        <f t="shared" ref="BJ207:BK207" si="210">H207</f>
        <v>C</v>
      </c>
      <c r="BK207" s="12" t="str">
        <f t="shared" si="210"/>
        <v>C-7</v>
      </c>
      <c r="BL207" s="32">
        <v>613000.0</v>
      </c>
    </row>
    <row r="208">
      <c r="A208" s="45">
        <f t="shared" si="2"/>
        <v>206</v>
      </c>
      <c r="B208" s="46" t="s">
        <v>2879</v>
      </c>
      <c r="C208" s="45">
        <v>2.02407001E9</v>
      </c>
      <c r="D208" s="46" t="s">
        <v>2880</v>
      </c>
      <c r="E208" s="46" t="s">
        <v>1077</v>
      </c>
      <c r="F208" s="46" t="s">
        <v>2881</v>
      </c>
      <c r="G208" s="47" t="s">
        <v>2748</v>
      </c>
      <c r="H208" s="45" t="s">
        <v>863</v>
      </c>
      <c r="I208" s="48" t="s">
        <v>2749</v>
      </c>
      <c r="J208" s="47">
        <v>3.0</v>
      </c>
      <c r="K208" s="45" t="s">
        <v>1918</v>
      </c>
      <c r="L208" s="49" t="s">
        <v>2882</v>
      </c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>
        <f t="shared" si="3"/>
        <v>0</v>
      </c>
      <c r="BD208" s="50">
        <f t="shared" si="4"/>
        <v>0</v>
      </c>
      <c r="BE208" s="50">
        <f t="shared" si="5"/>
        <v>0</v>
      </c>
      <c r="BF208" s="50">
        <f t="shared" si="6"/>
        <v>0</v>
      </c>
      <c r="BG208" s="46"/>
      <c r="BH208" s="46"/>
      <c r="BI208" s="46"/>
      <c r="BJ208" s="45" t="str">
        <f t="shared" ref="BJ208:BK208" si="211">H208</f>
        <v>C</v>
      </c>
      <c r="BK208" s="45" t="str">
        <f t="shared" si="211"/>
        <v>C-2</v>
      </c>
      <c r="BL208" s="51">
        <v>613000.0</v>
      </c>
    </row>
    <row r="209">
      <c r="A209" s="12">
        <f t="shared" si="2"/>
        <v>207</v>
      </c>
      <c r="B209" s="15" t="s">
        <v>2883</v>
      </c>
      <c r="C209" s="12">
        <v>2.024070704E9</v>
      </c>
      <c r="D209" s="15" t="s">
        <v>2884</v>
      </c>
      <c r="E209" s="15" t="s">
        <v>2885</v>
      </c>
      <c r="F209" s="15" t="s">
        <v>2886</v>
      </c>
      <c r="G209" s="16" t="s">
        <v>2887</v>
      </c>
      <c r="H209" s="12" t="s">
        <v>863</v>
      </c>
      <c r="I209" s="14" t="s">
        <v>2737</v>
      </c>
      <c r="J209" s="16">
        <v>3.0</v>
      </c>
      <c r="K209" s="16" t="s">
        <v>2765</v>
      </c>
      <c r="L209" s="44" t="s">
        <v>2888</v>
      </c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>
        <v>450000.0</v>
      </c>
      <c r="AN209" s="18">
        <v>450000.0</v>
      </c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>
        <f t="shared" si="3"/>
        <v>900000</v>
      </c>
      <c r="BD209" s="18">
        <f t="shared" si="4"/>
        <v>0</v>
      </c>
      <c r="BE209" s="18">
        <f t="shared" si="5"/>
        <v>0</v>
      </c>
      <c r="BF209" s="18">
        <f t="shared" si="6"/>
        <v>900000</v>
      </c>
      <c r="BG209" s="15"/>
      <c r="BH209" s="15"/>
      <c r="BI209" s="15"/>
      <c r="BJ209" s="12" t="str">
        <f t="shared" ref="BJ209:BK209" si="212">H209</f>
        <v>C</v>
      </c>
      <c r="BK209" s="12" t="str">
        <f t="shared" si="212"/>
        <v>C-8</v>
      </c>
      <c r="BL209" s="32">
        <v>613000.0</v>
      </c>
    </row>
    <row r="210">
      <c r="A210" s="45">
        <f t="shared" si="2"/>
        <v>208</v>
      </c>
      <c r="B210" s="46" t="s">
        <v>2889</v>
      </c>
      <c r="C210" s="45">
        <v>2.024070012E9</v>
      </c>
      <c r="D210" s="46" t="s">
        <v>2890</v>
      </c>
      <c r="E210" s="46" t="s">
        <v>2891</v>
      </c>
      <c r="F210" s="46" t="s">
        <v>2892</v>
      </c>
      <c r="G210" s="47" t="s">
        <v>2748</v>
      </c>
      <c r="H210" s="45" t="s">
        <v>863</v>
      </c>
      <c r="I210" s="48" t="s">
        <v>2749</v>
      </c>
      <c r="J210" s="47">
        <v>3.0</v>
      </c>
      <c r="K210" s="45" t="s">
        <v>1918</v>
      </c>
      <c r="L210" s="49" t="s">
        <v>2893</v>
      </c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>
        <f t="shared" si="3"/>
        <v>0</v>
      </c>
      <c r="BD210" s="50">
        <f t="shared" si="4"/>
        <v>0</v>
      </c>
      <c r="BE210" s="50">
        <f t="shared" si="5"/>
        <v>0</v>
      </c>
      <c r="BF210" s="50">
        <f t="shared" si="6"/>
        <v>0</v>
      </c>
      <c r="BG210" s="46"/>
      <c r="BH210" s="46"/>
      <c r="BI210" s="46"/>
      <c r="BJ210" s="45" t="str">
        <f t="shared" ref="BJ210:BK210" si="213">H210</f>
        <v>C</v>
      </c>
      <c r="BK210" s="45" t="str">
        <f t="shared" si="213"/>
        <v>C-2</v>
      </c>
      <c r="BL210" s="51">
        <v>613000.0</v>
      </c>
    </row>
    <row r="211">
      <c r="A211" s="12">
        <f t="shared" si="2"/>
        <v>209</v>
      </c>
      <c r="B211" s="15" t="s">
        <v>2894</v>
      </c>
      <c r="C211" s="12">
        <v>2.02407057E9</v>
      </c>
      <c r="D211" s="15" t="s">
        <v>2895</v>
      </c>
      <c r="E211" s="15" t="s">
        <v>2896</v>
      </c>
      <c r="F211" s="15" t="s">
        <v>2897</v>
      </c>
      <c r="G211" s="16" t="s">
        <v>2429</v>
      </c>
      <c r="H211" s="12" t="s">
        <v>863</v>
      </c>
      <c r="I211" s="14" t="s">
        <v>881</v>
      </c>
      <c r="J211" s="16">
        <v>3.0</v>
      </c>
      <c r="K211" s="12" t="s">
        <v>1918</v>
      </c>
      <c r="L211" s="44" t="s">
        <v>2898</v>
      </c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>
        <f t="shared" si="3"/>
        <v>0</v>
      </c>
      <c r="BD211" s="18">
        <f t="shared" si="4"/>
        <v>0</v>
      </c>
      <c r="BE211" s="18">
        <f t="shared" si="5"/>
        <v>0</v>
      </c>
      <c r="BF211" s="18">
        <f t="shared" si="6"/>
        <v>0</v>
      </c>
      <c r="BG211" s="15"/>
      <c r="BH211" s="15"/>
      <c r="BI211" s="15"/>
      <c r="BJ211" s="12" t="str">
        <f t="shared" ref="BJ211:BK211" si="214">H211</f>
        <v>C</v>
      </c>
      <c r="BK211" s="12" t="str">
        <f t="shared" si="214"/>
        <v>C-12</v>
      </c>
      <c r="BL211" s="32">
        <v>613000.0</v>
      </c>
    </row>
    <row r="212">
      <c r="A212" s="45">
        <f t="shared" si="2"/>
        <v>210</v>
      </c>
      <c r="B212" s="46" t="s">
        <v>2899</v>
      </c>
      <c r="C212" s="45">
        <v>2.024070013E9</v>
      </c>
      <c r="D212" s="46" t="s">
        <v>2900</v>
      </c>
      <c r="E212" s="46" t="s">
        <v>2901</v>
      </c>
      <c r="F212" s="46" t="s">
        <v>2902</v>
      </c>
      <c r="G212" s="47" t="s">
        <v>2748</v>
      </c>
      <c r="H212" s="45" t="s">
        <v>863</v>
      </c>
      <c r="I212" s="48" t="s">
        <v>2749</v>
      </c>
      <c r="J212" s="47">
        <v>3.0</v>
      </c>
      <c r="K212" s="45" t="s">
        <v>1918</v>
      </c>
      <c r="L212" s="49" t="s">
        <v>2903</v>
      </c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>
        <f t="shared" si="3"/>
        <v>0</v>
      </c>
      <c r="BD212" s="50">
        <f t="shared" si="4"/>
        <v>0</v>
      </c>
      <c r="BE212" s="50">
        <f t="shared" si="5"/>
        <v>0</v>
      </c>
      <c r="BF212" s="50">
        <f t="shared" si="6"/>
        <v>0</v>
      </c>
      <c r="BG212" s="46"/>
      <c r="BH212" s="46"/>
      <c r="BI212" s="46"/>
      <c r="BJ212" s="45" t="str">
        <f t="shared" ref="BJ212:BK212" si="215">H212</f>
        <v>C</v>
      </c>
      <c r="BK212" s="45" t="str">
        <f t="shared" si="215"/>
        <v>C-2</v>
      </c>
      <c r="BL212" s="51">
        <v>613000.0</v>
      </c>
    </row>
    <row r="213">
      <c r="A213" s="12">
        <f t="shared" si="2"/>
        <v>211</v>
      </c>
      <c r="B213" s="15" t="s">
        <v>2904</v>
      </c>
      <c r="C213" s="12">
        <v>2.024070543E9</v>
      </c>
      <c r="D213" s="15" t="s">
        <v>2905</v>
      </c>
      <c r="E213" s="15" t="s">
        <v>2906</v>
      </c>
      <c r="F213" s="15" t="s">
        <v>2754</v>
      </c>
      <c r="G213" s="16" t="s">
        <v>2406</v>
      </c>
      <c r="H213" s="12" t="s">
        <v>863</v>
      </c>
      <c r="I213" s="14" t="s">
        <v>2576</v>
      </c>
      <c r="J213" s="16">
        <v>3.0</v>
      </c>
      <c r="K213" s="16" t="s">
        <v>2413</v>
      </c>
      <c r="L213" s="44" t="s">
        <v>2907</v>
      </c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>
        <f t="shared" si="3"/>
        <v>0</v>
      </c>
      <c r="BD213" s="18">
        <f t="shared" si="4"/>
        <v>0</v>
      </c>
      <c r="BE213" s="18">
        <f t="shared" si="5"/>
        <v>0</v>
      </c>
      <c r="BF213" s="18">
        <f t="shared" si="6"/>
        <v>0</v>
      </c>
      <c r="BG213" s="15"/>
      <c r="BH213" s="15"/>
      <c r="BI213" s="15"/>
      <c r="BJ213" s="12" t="str">
        <f t="shared" ref="BJ213:BK213" si="216">H213</f>
        <v>C</v>
      </c>
      <c r="BK213" s="12" t="str">
        <f t="shared" si="216"/>
        <v>C-3</v>
      </c>
      <c r="BL213" s="32">
        <v>613000.0</v>
      </c>
    </row>
    <row r="214">
      <c r="A214" s="45">
        <f t="shared" si="2"/>
        <v>212</v>
      </c>
      <c r="B214" s="46" t="s">
        <v>2908</v>
      </c>
      <c r="C214" s="45">
        <v>2.024070078E9</v>
      </c>
      <c r="D214" s="46" t="s">
        <v>2909</v>
      </c>
      <c r="E214" s="46" t="s">
        <v>2910</v>
      </c>
      <c r="F214" s="46" t="s">
        <v>2911</v>
      </c>
      <c r="G214" s="47" t="s">
        <v>2237</v>
      </c>
      <c r="H214" s="45" t="s">
        <v>863</v>
      </c>
      <c r="I214" s="48" t="s">
        <v>2721</v>
      </c>
      <c r="J214" s="47">
        <v>3.0</v>
      </c>
      <c r="K214" s="47" t="s">
        <v>2765</v>
      </c>
      <c r="L214" s="49" t="s">
        <v>2912</v>
      </c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>
        <f t="shared" si="3"/>
        <v>0</v>
      </c>
      <c r="BD214" s="50">
        <f t="shared" si="4"/>
        <v>0</v>
      </c>
      <c r="BE214" s="50">
        <f t="shared" si="5"/>
        <v>0</v>
      </c>
      <c r="BF214" s="50">
        <f t="shared" si="6"/>
        <v>0</v>
      </c>
      <c r="BG214" s="46"/>
      <c r="BH214" s="46"/>
      <c r="BI214" s="46"/>
      <c r="BJ214" s="45" t="str">
        <f t="shared" ref="BJ214:BK214" si="217">H214</f>
        <v>C</v>
      </c>
      <c r="BK214" s="45" t="str">
        <f t="shared" si="217"/>
        <v>C-9</v>
      </c>
      <c r="BL214" s="51">
        <v>613000.0</v>
      </c>
    </row>
    <row r="215">
      <c r="A215" s="12">
        <f t="shared" si="2"/>
        <v>213</v>
      </c>
      <c r="B215" s="15" t="s">
        <v>2913</v>
      </c>
      <c r="C215" s="12">
        <v>2.024070014E9</v>
      </c>
      <c r="D215" s="15" t="s">
        <v>2914</v>
      </c>
      <c r="E215" s="15" t="s">
        <v>2915</v>
      </c>
      <c r="F215" s="15" t="s">
        <v>280</v>
      </c>
      <c r="G215" s="16" t="s">
        <v>2748</v>
      </c>
      <c r="H215" s="12" t="s">
        <v>863</v>
      </c>
      <c r="I215" s="14" t="s">
        <v>2749</v>
      </c>
      <c r="J215" s="16">
        <v>3.0</v>
      </c>
      <c r="K215" s="12" t="s">
        <v>1918</v>
      </c>
      <c r="L215" s="44" t="s">
        <v>2916</v>
      </c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>
        <v>450000.0</v>
      </c>
      <c r="AN215" s="18">
        <v>450000.0</v>
      </c>
      <c r="AO215" s="18"/>
      <c r="AP215" s="18">
        <v>500000.0</v>
      </c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>
        <f t="shared" si="3"/>
        <v>900000</v>
      </c>
      <c r="BD215" s="18">
        <f t="shared" si="4"/>
        <v>500000</v>
      </c>
      <c r="BE215" s="18">
        <f t="shared" si="5"/>
        <v>0</v>
      </c>
      <c r="BF215" s="18">
        <f t="shared" si="6"/>
        <v>1400000</v>
      </c>
      <c r="BG215" s="15"/>
      <c r="BH215" s="15"/>
      <c r="BI215" s="15"/>
      <c r="BJ215" s="12" t="str">
        <f t="shared" ref="BJ215:BK215" si="218">H215</f>
        <v>C</v>
      </c>
      <c r="BK215" s="12" t="str">
        <f t="shared" si="218"/>
        <v>C-2</v>
      </c>
      <c r="BL215" s="32">
        <v>613000.0</v>
      </c>
    </row>
    <row r="216">
      <c r="A216" s="45">
        <f t="shared" si="2"/>
        <v>214</v>
      </c>
      <c r="B216" s="46" t="s">
        <v>2917</v>
      </c>
      <c r="C216" s="45">
        <v>2.024070331E9</v>
      </c>
      <c r="D216" s="46" t="s">
        <v>2918</v>
      </c>
      <c r="E216" s="46" t="s">
        <v>2919</v>
      </c>
      <c r="F216" s="46" t="s">
        <v>2920</v>
      </c>
      <c r="G216" s="47" t="s">
        <v>2260</v>
      </c>
      <c r="H216" s="45" t="s">
        <v>863</v>
      </c>
      <c r="I216" s="48" t="s">
        <v>2721</v>
      </c>
      <c r="J216" s="47">
        <v>3.0</v>
      </c>
      <c r="K216" s="45" t="s">
        <v>1918</v>
      </c>
      <c r="L216" s="49" t="s">
        <v>2921</v>
      </c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>
        <v>500000.0</v>
      </c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>
        <f t="shared" si="3"/>
        <v>0</v>
      </c>
      <c r="BD216" s="50">
        <f t="shared" si="4"/>
        <v>500000</v>
      </c>
      <c r="BE216" s="50">
        <f t="shared" si="5"/>
        <v>0</v>
      </c>
      <c r="BF216" s="50">
        <f t="shared" si="6"/>
        <v>500000</v>
      </c>
      <c r="BG216" s="46"/>
      <c r="BH216" s="46"/>
      <c r="BI216" s="46"/>
      <c r="BJ216" s="45" t="str">
        <f t="shared" ref="BJ216:BK216" si="219">H216</f>
        <v>C</v>
      </c>
      <c r="BK216" s="45" t="str">
        <f t="shared" si="219"/>
        <v>C-9</v>
      </c>
      <c r="BL216" s="51">
        <v>613000.0</v>
      </c>
    </row>
    <row r="217">
      <c r="A217" s="12">
        <f t="shared" si="2"/>
        <v>215</v>
      </c>
      <c r="B217" s="15" t="s">
        <v>2922</v>
      </c>
      <c r="C217" s="12">
        <v>2.024070079E9</v>
      </c>
      <c r="D217" s="15" t="s">
        <v>2923</v>
      </c>
      <c r="E217" s="15" t="s">
        <v>2924</v>
      </c>
      <c r="F217" s="15" t="s">
        <v>2925</v>
      </c>
      <c r="G217" s="16" t="s">
        <v>2237</v>
      </c>
      <c r="H217" s="12" t="s">
        <v>863</v>
      </c>
      <c r="I217" s="14" t="s">
        <v>2737</v>
      </c>
      <c r="J217" s="16">
        <v>3.0</v>
      </c>
      <c r="K217" s="12" t="s">
        <v>1918</v>
      </c>
      <c r="L217" s="44" t="s">
        <v>2926</v>
      </c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>
        <f t="shared" si="3"/>
        <v>0</v>
      </c>
      <c r="BD217" s="18">
        <f t="shared" si="4"/>
        <v>0</v>
      </c>
      <c r="BE217" s="18">
        <f t="shared" si="5"/>
        <v>0</v>
      </c>
      <c r="BF217" s="18">
        <f t="shared" si="6"/>
        <v>0</v>
      </c>
      <c r="BG217" s="15"/>
      <c r="BH217" s="15"/>
      <c r="BI217" s="15"/>
      <c r="BJ217" s="12" t="str">
        <f t="shared" ref="BJ217:BK217" si="220">H217</f>
        <v>C</v>
      </c>
      <c r="BK217" s="12" t="str">
        <f t="shared" si="220"/>
        <v>C-8</v>
      </c>
      <c r="BL217" s="32">
        <v>613000.0</v>
      </c>
    </row>
    <row r="218">
      <c r="A218" s="45">
        <f t="shared" si="2"/>
        <v>216</v>
      </c>
      <c r="B218" s="46" t="s">
        <v>2927</v>
      </c>
      <c r="C218" s="45">
        <v>2.024070539E9</v>
      </c>
      <c r="D218" s="46" t="s">
        <v>2928</v>
      </c>
      <c r="E218" s="46" t="s">
        <v>2929</v>
      </c>
      <c r="F218" s="46" t="s">
        <v>2930</v>
      </c>
      <c r="G218" s="47" t="s">
        <v>2429</v>
      </c>
      <c r="H218" s="45" t="s">
        <v>863</v>
      </c>
      <c r="I218" s="48" t="s">
        <v>892</v>
      </c>
      <c r="J218" s="47">
        <v>3.0</v>
      </c>
      <c r="K218" s="47" t="s">
        <v>2407</v>
      </c>
      <c r="L218" s="49" t="s">
        <v>2931</v>
      </c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>
        <v>500000.0</v>
      </c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>
        <v>500000.0</v>
      </c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>
        <f t="shared" si="3"/>
        <v>0</v>
      </c>
      <c r="BD218" s="50">
        <f t="shared" si="4"/>
        <v>1000000</v>
      </c>
      <c r="BE218" s="50">
        <f t="shared" si="5"/>
        <v>0</v>
      </c>
      <c r="BF218" s="50">
        <f t="shared" si="6"/>
        <v>1000000</v>
      </c>
      <c r="BG218" s="46"/>
      <c r="BH218" s="46"/>
      <c r="BI218" s="46"/>
      <c r="BJ218" s="45" t="str">
        <f t="shared" ref="BJ218:BK218" si="221">H218</f>
        <v>C</v>
      </c>
      <c r="BK218" s="45" t="str">
        <f t="shared" si="221"/>
        <v>C-13</v>
      </c>
      <c r="BL218" s="51">
        <v>613000.0</v>
      </c>
    </row>
    <row r="219">
      <c r="A219" s="12">
        <f t="shared" si="2"/>
        <v>217</v>
      </c>
      <c r="B219" s="15" t="s">
        <v>2932</v>
      </c>
      <c r="C219" s="12">
        <v>2.024070015E9</v>
      </c>
      <c r="D219" s="15" t="s">
        <v>2933</v>
      </c>
      <c r="E219" s="15" t="s">
        <v>2934</v>
      </c>
      <c r="F219" s="15" t="s">
        <v>2935</v>
      </c>
      <c r="G219" s="16" t="s">
        <v>2748</v>
      </c>
      <c r="H219" s="12" t="s">
        <v>863</v>
      </c>
      <c r="I219" s="14" t="s">
        <v>2749</v>
      </c>
      <c r="J219" s="16">
        <v>3.0</v>
      </c>
      <c r="K219" s="12" t="s">
        <v>1918</v>
      </c>
      <c r="L219" s="44" t="s">
        <v>2936</v>
      </c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>
        <v>450000.0</v>
      </c>
      <c r="AO219" s="18"/>
      <c r="AP219" s="18">
        <v>500000.0</v>
      </c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>
        <f t="shared" si="3"/>
        <v>450000</v>
      </c>
      <c r="BD219" s="18">
        <f t="shared" si="4"/>
        <v>500000</v>
      </c>
      <c r="BE219" s="18">
        <f t="shared" si="5"/>
        <v>0</v>
      </c>
      <c r="BF219" s="18">
        <f t="shared" si="6"/>
        <v>950000</v>
      </c>
      <c r="BG219" s="15"/>
      <c r="BH219" s="15"/>
      <c r="BI219" s="15"/>
      <c r="BJ219" s="12" t="str">
        <f t="shared" ref="BJ219:BK219" si="222">H219</f>
        <v>C</v>
      </c>
      <c r="BK219" s="12" t="str">
        <f t="shared" si="222"/>
        <v>C-2</v>
      </c>
      <c r="BL219" s="32">
        <v>613000.0</v>
      </c>
    </row>
    <row r="220">
      <c r="A220" s="45">
        <f t="shared" si="2"/>
        <v>218</v>
      </c>
      <c r="B220" s="46" t="s">
        <v>2937</v>
      </c>
      <c r="C220" s="45">
        <v>2.024070429E9</v>
      </c>
      <c r="D220" s="46" t="s">
        <v>433</v>
      </c>
      <c r="E220" s="46" t="s">
        <v>2938</v>
      </c>
      <c r="F220" s="46" t="s">
        <v>2939</v>
      </c>
      <c r="G220" s="47" t="s">
        <v>2248</v>
      </c>
      <c r="H220" s="45" t="s">
        <v>863</v>
      </c>
      <c r="I220" s="48" t="s">
        <v>1028</v>
      </c>
      <c r="J220" s="47">
        <v>3.0</v>
      </c>
      <c r="K220" s="45" t="s">
        <v>1918</v>
      </c>
      <c r="L220" s="49" t="s">
        <v>2940</v>
      </c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>
        <f t="shared" si="3"/>
        <v>0</v>
      </c>
      <c r="BD220" s="50">
        <f t="shared" si="4"/>
        <v>0</v>
      </c>
      <c r="BE220" s="50">
        <f t="shared" si="5"/>
        <v>0</v>
      </c>
      <c r="BF220" s="50">
        <f t="shared" si="6"/>
        <v>0</v>
      </c>
      <c r="BG220" s="46"/>
      <c r="BH220" s="46"/>
      <c r="BI220" s="46"/>
      <c r="BJ220" s="45" t="str">
        <f t="shared" ref="BJ220:BK220" si="223">H220</f>
        <v>C</v>
      </c>
      <c r="BK220" s="45" t="str">
        <f t="shared" si="223"/>
        <v>C-7</v>
      </c>
      <c r="BL220" s="51">
        <v>613000.0</v>
      </c>
    </row>
    <row r="221">
      <c r="A221" s="12">
        <f t="shared" si="2"/>
        <v>219</v>
      </c>
      <c r="B221" s="15" t="s">
        <v>2941</v>
      </c>
      <c r="C221" s="12">
        <v>2.024070562E9</v>
      </c>
      <c r="D221" s="15" t="s">
        <v>2942</v>
      </c>
      <c r="E221" s="15" t="s">
        <v>2943</v>
      </c>
      <c r="F221" s="15" t="s">
        <v>2944</v>
      </c>
      <c r="G221" s="16" t="s">
        <v>1946</v>
      </c>
      <c r="H221" s="12" t="s">
        <v>863</v>
      </c>
      <c r="I221" s="14" t="s">
        <v>2576</v>
      </c>
      <c r="J221" s="16">
        <v>3.0</v>
      </c>
      <c r="K221" s="16" t="s">
        <v>2413</v>
      </c>
      <c r="L221" s="44" t="s">
        <v>2945</v>
      </c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>
        <f t="shared" si="3"/>
        <v>0</v>
      </c>
      <c r="BD221" s="18">
        <f t="shared" si="4"/>
        <v>0</v>
      </c>
      <c r="BE221" s="18">
        <f t="shared" si="5"/>
        <v>0</v>
      </c>
      <c r="BF221" s="18">
        <f t="shared" si="6"/>
        <v>0</v>
      </c>
      <c r="BG221" s="15"/>
      <c r="BH221" s="15"/>
      <c r="BI221" s="15"/>
      <c r="BJ221" s="12" t="str">
        <f t="shared" ref="BJ221:BK221" si="224">H221</f>
        <v>C</v>
      </c>
      <c r="BK221" s="12" t="str">
        <f t="shared" si="224"/>
        <v>C-3</v>
      </c>
      <c r="BL221" s="32">
        <v>613000.0</v>
      </c>
    </row>
    <row r="222">
      <c r="A222" s="45">
        <f t="shared" si="2"/>
        <v>220</v>
      </c>
      <c r="B222" s="46" t="s">
        <v>2946</v>
      </c>
      <c r="C222" s="45">
        <v>2.024070693E9</v>
      </c>
      <c r="D222" s="46" t="s">
        <v>2947</v>
      </c>
      <c r="E222" s="46" t="s">
        <v>748</v>
      </c>
      <c r="F222" s="46" t="s">
        <v>2948</v>
      </c>
      <c r="G222" s="47" t="s">
        <v>2887</v>
      </c>
      <c r="H222" s="45" t="s">
        <v>863</v>
      </c>
      <c r="I222" s="48" t="s">
        <v>2492</v>
      </c>
      <c r="J222" s="47">
        <v>3.0</v>
      </c>
      <c r="K222" s="47" t="s">
        <v>2493</v>
      </c>
      <c r="L222" s="49" t="s">
        <v>2949</v>
      </c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>
        <f t="shared" si="3"/>
        <v>0</v>
      </c>
      <c r="BD222" s="50">
        <f t="shared" si="4"/>
        <v>0</v>
      </c>
      <c r="BE222" s="50">
        <f t="shared" si="5"/>
        <v>0</v>
      </c>
      <c r="BF222" s="50">
        <f t="shared" si="6"/>
        <v>0</v>
      </c>
      <c r="BG222" s="46"/>
      <c r="BH222" s="46"/>
      <c r="BI222" s="46"/>
      <c r="BJ222" s="45" t="str">
        <f t="shared" ref="BJ222:BK222" si="225">H222</f>
        <v>C</v>
      </c>
      <c r="BK222" s="45" t="str">
        <f t="shared" si="225"/>
        <v>C-4</v>
      </c>
      <c r="BL222" s="51">
        <v>613000.0</v>
      </c>
    </row>
    <row r="223">
      <c r="A223" s="12">
        <f t="shared" si="2"/>
        <v>221</v>
      </c>
      <c r="B223" s="15" t="s">
        <v>2950</v>
      </c>
      <c r="C223" s="12">
        <v>2.024070017E9</v>
      </c>
      <c r="D223" s="15" t="s">
        <v>2951</v>
      </c>
      <c r="E223" s="15" t="s">
        <v>2952</v>
      </c>
      <c r="F223" s="15" t="s">
        <v>2953</v>
      </c>
      <c r="G223" s="16" t="s">
        <v>2748</v>
      </c>
      <c r="H223" s="12" t="s">
        <v>863</v>
      </c>
      <c r="I223" s="14" t="s">
        <v>2749</v>
      </c>
      <c r="J223" s="16">
        <v>3.0</v>
      </c>
      <c r="K223" s="12" t="s">
        <v>1918</v>
      </c>
      <c r="L223" s="44" t="s">
        <v>2954</v>
      </c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>
        <v>500000.0</v>
      </c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>
        <f t="shared" si="3"/>
        <v>0</v>
      </c>
      <c r="BD223" s="18">
        <f t="shared" si="4"/>
        <v>500000</v>
      </c>
      <c r="BE223" s="18">
        <f t="shared" si="5"/>
        <v>0</v>
      </c>
      <c r="BF223" s="18">
        <f t="shared" si="6"/>
        <v>500000</v>
      </c>
      <c r="BG223" s="15"/>
      <c r="BH223" s="15"/>
      <c r="BI223" s="15"/>
      <c r="BJ223" s="12" t="str">
        <f t="shared" ref="BJ223:BK223" si="226">H223</f>
        <v>C</v>
      </c>
      <c r="BK223" s="12" t="str">
        <f t="shared" si="226"/>
        <v>C-2</v>
      </c>
      <c r="BL223" s="32">
        <v>613000.0</v>
      </c>
    </row>
    <row r="224">
      <c r="A224" s="45">
        <f t="shared" si="2"/>
        <v>222</v>
      </c>
      <c r="B224" s="46" t="s">
        <v>2955</v>
      </c>
      <c r="C224" s="45">
        <v>2.024070018E9</v>
      </c>
      <c r="D224" s="52" t="s">
        <v>2956</v>
      </c>
      <c r="E224" s="46" t="s">
        <v>2957</v>
      </c>
      <c r="F224" s="46" t="s">
        <v>2958</v>
      </c>
      <c r="G224" s="47" t="s">
        <v>2748</v>
      </c>
      <c r="H224" s="45" t="s">
        <v>863</v>
      </c>
      <c r="I224" s="48" t="s">
        <v>2749</v>
      </c>
      <c r="J224" s="47">
        <v>3.0</v>
      </c>
      <c r="K224" s="45" t="s">
        <v>1918</v>
      </c>
      <c r="L224" s="49" t="s">
        <v>2959</v>
      </c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>
        <f t="shared" si="3"/>
        <v>0</v>
      </c>
      <c r="BD224" s="50">
        <f t="shared" si="4"/>
        <v>0</v>
      </c>
      <c r="BE224" s="50">
        <f t="shared" si="5"/>
        <v>0</v>
      </c>
      <c r="BF224" s="50">
        <f t="shared" si="6"/>
        <v>0</v>
      </c>
      <c r="BG224" s="46"/>
      <c r="BH224" s="46"/>
      <c r="BI224" s="46"/>
      <c r="BJ224" s="45" t="str">
        <f t="shared" ref="BJ224:BK224" si="227">H224</f>
        <v>C</v>
      </c>
      <c r="BK224" s="45" t="str">
        <f t="shared" si="227"/>
        <v>C-2</v>
      </c>
      <c r="BL224" s="51">
        <v>613000.0</v>
      </c>
    </row>
    <row r="225">
      <c r="A225" s="12">
        <f t="shared" si="2"/>
        <v>223</v>
      </c>
      <c r="B225" s="15" t="s">
        <v>2960</v>
      </c>
      <c r="C225" s="12">
        <v>2.024070431E9</v>
      </c>
      <c r="D225" s="15" t="s">
        <v>2961</v>
      </c>
      <c r="E225" s="15" t="s">
        <v>2962</v>
      </c>
      <c r="F225" s="15" t="s">
        <v>2963</v>
      </c>
      <c r="G225" s="16" t="s">
        <v>2248</v>
      </c>
      <c r="H225" s="12" t="s">
        <v>863</v>
      </c>
      <c r="I225" s="14" t="s">
        <v>1028</v>
      </c>
      <c r="J225" s="16">
        <v>3.0</v>
      </c>
      <c r="K225" s="12" t="s">
        <v>1918</v>
      </c>
      <c r="L225" s="44" t="s">
        <v>2964</v>
      </c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>
        <f t="shared" si="3"/>
        <v>0</v>
      </c>
      <c r="BD225" s="18">
        <f t="shared" si="4"/>
        <v>0</v>
      </c>
      <c r="BE225" s="18">
        <f t="shared" si="5"/>
        <v>0</v>
      </c>
      <c r="BF225" s="18">
        <f t="shared" si="6"/>
        <v>0</v>
      </c>
      <c r="BG225" s="15"/>
      <c r="BH225" s="15"/>
      <c r="BI225" s="15"/>
      <c r="BJ225" s="12" t="str">
        <f t="shared" ref="BJ225:BK225" si="228">H225</f>
        <v>C</v>
      </c>
      <c r="BK225" s="12" t="str">
        <f t="shared" si="228"/>
        <v>C-7</v>
      </c>
      <c r="BL225" s="32">
        <v>613000.0</v>
      </c>
    </row>
    <row r="226">
      <c r="A226" s="45">
        <f t="shared" si="2"/>
        <v>224</v>
      </c>
      <c r="B226" s="46" t="s">
        <v>2965</v>
      </c>
      <c r="C226" s="45">
        <v>2.024070019E9</v>
      </c>
      <c r="D226" s="46" t="s">
        <v>2966</v>
      </c>
      <c r="E226" s="46" t="s">
        <v>2967</v>
      </c>
      <c r="F226" s="46" t="s">
        <v>2968</v>
      </c>
      <c r="G226" s="47" t="s">
        <v>2748</v>
      </c>
      <c r="H226" s="45" t="s">
        <v>863</v>
      </c>
      <c r="I226" s="48" t="s">
        <v>2749</v>
      </c>
      <c r="J226" s="47">
        <v>3.0</v>
      </c>
      <c r="K226" s="45" t="s">
        <v>1918</v>
      </c>
      <c r="L226" s="49" t="s">
        <v>2969</v>
      </c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>
        <f t="shared" si="3"/>
        <v>0</v>
      </c>
      <c r="BD226" s="50">
        <f t="shared" si="4"/>
        <v>0</v>
      </c>
      <c r="BE226" s="50">
        <f t="shared" si="5"/>
        <v>0</v>
      </c>
      <c r="BF226" s="50">
        <f t="shared" si="6"/>
        <v>0</v>
      </c>
      <c r="BG226" s="46"/>
      <c r="BH226" s="46"/>
      <c r="BI226" s="46"/>
      <c r="BJ226" s="45" t="str">
        <f t="shared" ref="BJ226:BK226" si="229">H226</f>
        <v>C</v>
      </c>
      <c r="BK226" s="45" t="str">
        <f t="shared" si="229"/>
        <v>C-2</v>
      </c>
      <c r="BL226" s="51">
        <v>613000.0</v>
      </c>
    </row>
    <row r="227">
      <c r="A227" s="12">
        <f t="shared" si="2"/>
        <v>225</v>
      </c>
      <c r="B227" s="15" t="s">
        <v>2970</v>
      </c>
      <c r="C227" s="12">
        <v>2.024070682E9</v>
      </c>
      <c r="D227" s="15" t="s">
        <v>2971</v>
      </c>
      <c r="E227" s="15" t="s">
        <v>2972</v>
      </c>
      <c r="F227" s="15" t="s">
        <v>2973</v>
      </c>
      <c r="G227" s="16" t="s">
        <v>2277</v>
      </c>
      <c r="H227" s="12" t="s">
        <v>863</v>
      </c>
      <c r="I227" s="14" t="s">
        <v>2737</v>
      </c>
      <c r="J227" s="16">
        <v>3.0</v>
      </c>
      <c r="K227" s="16" t="s">
        <v>2483</v>
      </c>
      <c r="L227" s="44" t="s">
        <v>2974</v>
      </c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>
        <v>450000.0</v>
      </c>
      <c r="AO227" s="18"/>
      <c r="AP227" s="18">
        <v>500000.0</v>
      </c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>
        <f t="shared" si="3"/>
        <v>450000</v>
      </c>
      <c r="BD227" s="18">
        <f t="shared" si="4"/>
        <v>500000</v>
      </c>
      <c r="BE227" s="18">
        <f t="shared" si="5"/>
        <v>0</v>
      </c>
      <c r="BF227" s="18">
        <f t="shared" si="6"/>
        <v>950000</v>
      </c>
      <c r="BG227" s="15"/>
      <c r="BH227" s="15"/>
      <c r="BI227" s="15"/>
      <c r="BJ227" s="12" t="str">
        <f t="shared" ref="BJ227:BK227" si="230">H227</f>
        <v>C</v>
      </c>
      <c r="BK227" s="12" t="str">
        <f t="shared" si="230"/>
        <v>C-8</v>
      </c>
      <c r="BL227" s="32">
        <v>613000.0</v>
      </c>
    </row>
    <row r="228">
      <c r="A228" s="45">
        <f t="shared" si="2"/>
        <v>226</v>
      </c>
      <c r="B228" s="46" t="s">
        <v>2975</v>
      </c>
      <c r="C228" s="45">
        <v>2.024070434E9</v>
      </c>
      <c r="D228" s="46" t="s">
        <v>2976</v>
      </c>
      <c r="E228" s="46" t="s">
        <v>2977</v>
      </c>
      <c r="F228" s="46" t="s">
        <v>2820</v>
      </c>
      <c r="G228" s="47" t="s">
        <v>2248</v>
      </c>
      <c r="H228" s="45" t="s">
        <v>863</v>
      </c>
      <c r="I228" s="48" t="s">
        <v>1028</v>
      </c>
      <c r="J228" s="47">
        <v>3.0</v>
      </c>
      <c r="K228" s="47" t="s">
        <v>2528</v>
      </c>
      <c r="L228" s="49" t="s">
        <v>2978</v>
      </c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>
        <v>500000.0</v>
      </c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>
        <f t="shared" si="3"/>
        <v>0</v>
      </c>
      <c r="BD228" s="50">
        <f t="shared" si="4"/>
        <v>500000</v>
      </c>
      <c r="BE228" s="50">
        <f t="shared" si="5"/>
        <v>0</v>
      </c>
      <c r="BF228" s="50">
        <f t="shared" si="6"/>
        <v>500000</v>
      </c>
      <c r="BG228" s="46"/>
      <c r="BH228" s="46"/>
      <c r="BI228" s="46"/>
      <c r="BJ228" s="45" t="str">
        <f t="shared" ref="BJ228:BK228" si="231">H228</f>
        <v>C</v>
      </c>
      <c r="BK228" s="45" t="str">
        <f t="shared" si="231"/>
        <v>C-7</v>
      </c>
      <c r="BL228" s="51">
        <v>613000.0</v>
      </c>
    </row>
    <row r="229">
      <c r="A229" s="12">
        <f t="shared" si="2"/>
        <v>227</v>
      </c>
      <c r="B229" s="15" t="s">
        <v>2979</v>
      </c>
      <c r="C229" s="12">
        <v>2.024070435E9</v>
      </c>
      <c r="D229" s="15" t="s">
        <v>2980</v>
      </c>
      <c r="E229" s="15" t="s">
        <v>182</v>
      </c>
      <c r="F229" s="15" t="s">
        <v>2981</v>
      </c>
      <c r="G229" s="16" t="s">
        <v>2248</v>
      </c>
      <c r="H229" s="12" t="s">
        <v>863</v>
      </c>
      <c r="I229" s="14" t="s">
        <v>1028</v>
      </c>
      <c r="J229" s="16">
        <v>3.0</v>
      </c>
      <c r="K229" s="16" t="s">
        <v>2528</v>
      </c>
      <c r="L229" s="44" t="s">
        <v>2982</v>
      </c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>
        <f t="shared" si="3"/>
        <v>0</v>
      </c>
      <c r="BD229" s="18">
        <f t="shared" si="4"/>
        <v>0</v>
      </c>
      <c r="BE229" s="18">
        <f t="shared" si="5"/>
        <v>0</v>
      </c>
      <c r="BF229" s="18">
        <f t="shared" si="6"/>
        <v>0</v>
      </c>
      <c r="BG229" s="15"/>
      <c r="BH229" s="15"/>
      <c r="BI229" s="15"/>
      <c r="BJ229" s="12" t="str">
        <f t="shared" ref="BJ229:BK229" si="232">H229</f>
        <v>C</v>
      </c>
      <c r="BK229" s="12" t="str">
        <f t="shared" si="232"/>
        <v>C-7</v>
      </c>
      <c r="BL229" s="32">
        <v>613000.0</v>
      </c>
    </row>
    <row r="230">
      <c r="A230" s="45">
        <f t="shared" si="2"/>
        <v>228</v>
      </c>
      <c r="B230" s="46" t="s">
        <v>2983</v>
      </c>
      <c r="C230" s="45">
        <v>2.024070021E9</v>
      </c>
      <c r="D230" s="46" t="s">
        <v>2984</v>
      </c>
      <c r="E230" s="46" t="s">
        <v>2985</v>
      </c>
      <c r="F230" s="46" t="s">
        <v>2986</v>
      </c>
      <c r="G230" s="47" t="s">
        <v>2748</v>
      </c>
      <c r="H230" s="45" t="s">
        <v>863</v>
      </c>
      <c r="I230" s="48" t="s">
        <v>2749</v>
      </c>
      <c r="J230" s="47">
        <v>3.0</v>
      </c>
      <c r="K230" s="45" t="s">
        <v>1918</v>
      </c>
      <c r="L230" s="49" t="s">
        <v>2987</v>
      </c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>
        <f t="shared" si="3"/>
        <v>0</v>
      </c>
      <c r="BD230" s="50">
        <f t="shared" si="4"/>
        <v>0</v>
      </c>
      <c r="BE230" s="50">
        <f t="shared" si="5"/>
        <v>0</v>
      </c>
      <c r="BF230" s="50">
        <f t="shared" si="6"/>
        <v>0</v>
      </c>
      <c r="BG230" s="46"/>
      <c r="BH230" s="46"/>
      <c r="BI230" s="46"/>
      <c r="BJ230" s="45" t="str">
        <f t="shared" ref="BJ230:BK230" si="233">H230</f>
        <v>C</v>
      </c>
      <c r="BK230" s="45" t="str">
        <f t="shared" si="233"/>
        <v>C-2</v>
      </c>
      <c r="BL230" s="51">
        <v>613000.0</v>
      </c>
    </row>
    <row r="231">
      <c r="A231" s="12">
        <f t="shared" si="2"/>
        <v>229</v>
      </c>
      <c r="B231" s="15" t="s">
        <v>2988</v>
      </c>
      <c r="C231" s="12">
        <v>2.024070234E9</v>
      </c>
      <c r="D231" s="15" t="s">
        <v>2989</v>
      </c>
      <c r="E231" s="15" t="s">
        <v>2990</v>
      </c>
      <c r="F231" s="15" t="s">
        <v>2991</v>
      </c>
      <c r="G231" s="16" t="s">
        <v>2301</v>
      </c>
      <c r="H231" s="12" t="s">
        <v>863</v>
      </c>
      <c r="I231" s="14" t="s">
        <v>2721</v>
      </c>
      <c r="J231" s="16">
        <v>3.0</v>
      </c>
      <c r="K231" s="16" t="s">
        <v>2493</v>
      </c>
      <c r="L231" s="44" t="s">
        <v>2992</v>
      </c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>
        <v>500000.0</v>
      </c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>
        <f t="shared" si="3"/>
        <v>0</v>
      </c>
      <c r="BD231" s="18">
        <f t="shared" si="4"/>
        <v>500000</v>
      </c>
      <c r="BE231" s="18">
        <f t="shared" si="5"/>
        <v>0</v>
      </c>
      <c r="BF231" s="18">
        <f t="shared" si="6"/>
        <v>500000</v>
      </c>
      <c r="BG231" s="15"/>
      <c r="BH231" s="15"/>
      <c r="BI231" s="15"/>
      <c r="BJ231" s="12" t="str">
        <f t="shared" ref="BJ231:BK231" si="234">H231</f>
        <v>C</v>
      </c>
      <c r="BK231" s="12" t="str">
        <f t="shared" si="234"/>
        <v>C-9</v>
      </c>
      <c r="BL231" s="32">
        <v>613000.0</v>
      </c>
    </row>
    <row r="232">
      <c r="A232" s="45">
        <f t="shared" si="2"/>
        <v>230</v>
      </c>
      <c r="B232" s="46" t="s">
        <v>2993</v>
      </c>
      <c r="C232" s="45">
        <v>2.024070357E9</v>
      </c>
      <c r="D232" s="46" t="s">
        <v>2994</v>
      </c>
      <c r="E232" s="46" t="s">
        <v>2995</v>
      </c>
      <c r="F232" s="46" t="s">
        <v>2996</v>
      </c>
      <c r="G232" s="47" t="s">
        <v>2736</v>
      </c>
      <c r="H232" s="45" t="s">
        <v>863</v>
      </c>
      <c r="I232" s="48" t="s">
        <v>2737</v>
      </c>
      <c r="J232" s="47">
        <v>3.0</v>
      </c>
      <c r="K232" s="45" t="s">
        <v>1918</v>
      </c>
      <c r="L232" s="49" t="s">
        <v>2997</v>
      </c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>
        <v>450000.0</v>
      </c>
      <c r="AO232" s="50"/>
      <c r="AP232" s="50">
        <v>500000.0</v>
      </c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>
        <f t="shared" si="3"/>
        <v>450000</v>
      </c>
      <c r="BD232" s="50">
        <f t="shared" si="4"/>
        <v>500000</v>
      </c>
      <c r="BE232" s="50">
        <f t="shared" si="5"/>
        <v>0</v>
      </c>
      <c r="BF232" s="50">
        <f t="shared" si="6"/>
        <v>950000</v>
      </c>
      <c r="BG232" s="46"/>
      <c r="BH232" s="46"/>
      <c r="BI232" s="46"/>
      <c r="BJ232" s="45" t="str">
        <f t="shared" ref="BJ232:BK232" si="235">H232</f>
        <v>C</v>
      </c>
      <c r="BK232" s="45" t="str">
        <f t="shared" si="235"/>
        <v>C-8</v>
      </c>
      <c r="BL232" s="51">
        <v>613000.0</v>
      </c>
    </row>
    <row r="233">
      <c r="A233" s="12">
        <f t="shared" si="2"/>
        <v>231</v>
      </c>
      <c r="B233" s="15" t="s">
        <v>2998</v>
      </c>
      <c r="C233" s="12">
        <v>2.02407005E9</v>
      </c>
      <c r="D233" s="15" t="s">
        <v>1485</v>
      </c>
      <c r="E233" s="15" t="s">
        <v>2999</v>
      </c>
      <c r="F233" s="15" t="s">
        <v>2996</v>
      </c>
      <c r="G233" s="16" t="s">
        <v>2342</v>
      </c>
      <c r="H233" s="12" t="s">
        <v>863</v>
      </c>
      <c r="I233" s="14" t="s">
        <v>2737</v>
      </c>
      <c r="J233" s="16">
        <v>3.0</v>
      </c>
      <c r="K233" s="12" t="s">
        <v>1918</v>
      </c>
      <c r="L233" s="44" t="s">
        <v>3000</v>
      </c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>
        <f t="shared" si="3"/>
        <v>0</v>
      </c>
      <c r="BD233" s="18">
        <f t="shared" si="4"/>
        <v>0</v>
      </c>
      <c r="BE233" s="18">
        <f t="shared" si="5"/>
        <v>0</v>
      </c>
      <c r="BF233" s="18">
        <f t="shared" si="6"/>
        <v>0</v>
      </c>
      <c r="BG233" s="15"/>
      <c r="BH233" s="15"/>
      <c r="BI233" s="15"/>
      <c r="BJ233" s="12" t="str">
        <f t="shared" ref="BJ233:BK233" si="236">H233</f>
        <v>C</v>
      </c>
      <c r="BK233" s="12" t="str">
        <f t="shared" si="236"/>
        <v>C-8</v>
      </c>
      <c r="BL233" s="32">
        <v>613000.0</v>
      </c>
    </row>
    <row r="234">
      <c r="A234" s="45">
        <f t="shared" si="2"/>
        <v>232</v>
      </c>
      <c r="B234" s="46" t="s">
        <v>3001</v>
      </c>
      <c r="C234" s="45">
        <v>2.024070119E9</v>
      </c>
      <c r="D234" s="46" t="s">
        <v>3002</v>
      </c>
      <c r="E234" s="46" t="s">
        <v>3003</v>
      </c>
      <c r="F234" s="46" t="s">
        <v>3004</v>
      </c>
      <c r="G234" s="47" t="s">
        <v>2272</v>
      </c>
      <c r="H234" s="45" t="s">
        <v>863</v>
      </c>
      <c r="I234" s="48" t="s">
        <v>2737</v>
      </c>
      <c r="J234" s="47">
        <v>3.0</v>
      </c>
      <c r="K234" s="45" t="s">
        <v>1918</v>
      </c>
      <c r="L234" s="49" t="s">
        <v>3005</v>
      </c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>
        <v>500000.0</v>
      </c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>
        <f t="shared" si="3"/>
        <v>0</v>
      </c>
      <c r="BD234" s="50">
        <f t="shared" si="4"/>
        <v>500000</v>
      </c>
      <c r="BE234" s="50">
        <f t="shared" si="5"/>
        <v>0</v>
      </c>
      <c r="BF234" s="50">
        <f t="shared" si="6"/>
        <v>500000</v>
      </c>
      <c r="BG234" s="46"/>
      <c r="BH234" s="46"/>
      <c r="BI234" s="46"/>
      <c r="BJ234" s="45" t="str">
        <f t="shared" ref="BJ234:BK234" si="237">H234</f>
        <v>C</v>
      </c>
      <c r="BK234" s="45" t="str">
        <f t="shared" si="237"/>
        <v>C-8</v>
      </c>
      <c r="BL234" s="51">
        <v>613000.0</v>
      </c>
    </row>
    <row r="235">
      <c r="A235" s="12">
        <f t="shared" si="2"/>
        <v>233</v>
      </c>
      <c r="B235" s="15" t="s">
        <v>3006</v>
      </c>
      <c r="C235" s="12">
        <v>2.024070545E9</v>
      </c>
      <c r="D235" s="15" t="s">
        <v>3007</v>
      </c>
      <c r="E235" s="15" t="s">
        <v>3008</v>
      </c>
      <c r="F235" s="15" t="s">
        <v>3009</v>
      </c>
      <c r="G235" s="16" t="s">
        <v>2406</v>
      </c>
      <c r="H235" s="12" t="s">
        <v>863</v>
      </c>
      <c r="I235" s="14" t="s">
        <v>2576</v>
      </c>
      <c r="J235" s="16">
        <v>3.0</v>
      </c>
      <c r="K235" s="12" t="s">
        <v>1918</v>
      </c>
      <c r="L235" s="44" t="s">
        <v>3010</v>
      </c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>
        <v>500000.0</v>
      </c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>
        <v>450000.0</v>
      </c>
      <c r="AN235" s="18">
        <v>450000.0</v>
      </c>
      <c r="AO235" s="18"/>
      <c r="AP235" s="18">
        <v>500000.0</v>
      </c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>
        <f t="shared" si="3"/>
        <v>900000</v>
      </c>
      <c r="BD235" s="18">
        <f t="shared" si="4"/>
        <v>1000000</v>
      </c>
      <c r="BE235" s="18">
        <f t="shared" si="5"/>
        <v>0</v>
      </c>
      <c r="BF235" s="18">
        <f t="shared" si="6"/>
        <v>1900000</v>
      </c>
      <c r="BG235" s="15"/>
      <c r="BH235" s="15"/>
      <c r="BI235" s="15"/>
      <c r="BJ235" s="12" t="str">
        <f t="shared" ref="BJ235:BK235" si="238">H235</f>
        <v>C</v>
      </c>
      <c r="BK235" s="12" t="str">
        <f t="shared" si="238"/>
        <v>C-3</v>
      </c>
      <c r="BL235" s="32">
        <v>613000.0</v>
      </c>
    </row>
    <row r="236">
      <c r="A236" s="45">
        <f t="shared" si="2"/>
        <v>234</v>
      </c>
      <c r="B236" s="46" t="s">
        <v>3011</v>
      </c>
      <c r="C236" s="45">
        <v>2.024070364E9</v>
      </c>
      <c r="D236" s="46" t="s">
        <v>3012</v>
      </c>
      <c r="E236" s="46" t="s">
        <v>3013</v>
      </c>
      <c r="F236" s="46" t="s">
        <v>3014</v>
      </c>
      <c r="G236" s="47" t="s">
        <v>2736</v>
      </c>
      <c r="H236" s="45" t="s">
        <v>863</v>
      </c>
      <c r="I236" s="48" t="s">
        <v>2737</v>
      </c>
      <c r="J236" s="47">
        <v>3.0</v>
      </c>
      <c r="K236" s="47" t="s">
        <v>2493</v>
      </c>
      <c r="L236" s="49" t="s">
        <v>3015</v>
      </c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>
        <f t="shared" si="3"/>
        <v>0</v>
      </c>
      <c r="BD236" s="50">
        <f t="shared" si="4"/>
        <v>0</v>
      </c>
      <c r="BE236" s="50">
        <f t="shared" si="5"/>
        <v>0</v>
      </c>
      <c r="BF236" s="50">
        <f t="shared" si="6"/>
        <v>0</v>
      </c>
      <c r="BG236" s="46"/>
      <c r="BH236" s="46"/>
      <c r="BI236" s="46"/>
      <c r="BJ236" s="45" t="str">
        <f t="shared" ref="BJ236:BK236" si="239">H236</f>
        <v>C</v>
      </c>
      <c r="BK236" s="45" t="str">
        <f t="shared" si="239"/>
        <v>C-8</v>
      </c>
      <c r="BL236" s="51">
        <v>613000.0</v>
      </c>
    </row>
    <row r="237">
      <c r="A237" s="12">
        <f t="shared" si="2"/>
        <v>235</v>
      </c>
      <c r="B237" s="15" t="s">
        <v>3016</v>
      </c>
      <c r="C237" s="12">
        <v>2.024070437E9</v>
      </c>
      <c r="D237" s="15" t="s">
        <v>3017</v>
      </c>
      <c r="E237" s="15" t="s">
        <v>3018</v>
      </c>
      <c r="F237" s="15" t="s">
        <v>1589</v>
      </c>
      <c r="G237" s="16" t="s">
        <v>2248</v>
      </c>
      <c r="H237" s="12" t="s">
        <v>863</v>
      </c>
      <c r="I237" s="14" t="s">
        <v>1028</v>
      </c>
      <c r="J237" s="16">
        <v>3.0</v>
      </c>
      <c r="K237" s="16" t="s">
        <v>2528</v>
      </c>
      <c r="L237" s="44" t="s">
        <v>3019</v>
      </c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>
        <v>500000.0</v>
      </c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>
        <v>450000.0</v>
      </c>
      <c r="AO237" s="18"/>
      <c r="AP237" s="18">
        <v>500000.0</v>
      </c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>
        <f t="shared" si="3"/>
        <v>450000</v>
      </c>
      <c r="BD237" s="18">
        <f t="shared" si="4"/>
        <v>1000000</v>
      </c>
      <c r="BE237" s="18">
        <f t="shared" si="5"/>
        <v>0</v>
      </c>
      <c r="BF237" s="18">
        <f t="shared" si="6"/>
        <v>1450000</v>
      </c>
      <c r="BG237" s="15"/>
      <c r="BH237" s="15"/>
      <c r="BI237" s="15"/>
      <c r="BJ237" s="12" t="str">
        <f t="shared" ref="BJ237:BK237" si="240">H237</f>
        <v>C</v>
      </c>
      <c r="BK237" s="12" t="str">
        <f t="shared" si="240"/>
        <v>C-7</v>
      </c>
      <c r="BL237" s="32">
        <v>613000.0</v>
      </c>
    </row>
    <row r="238">
      <c r="A238" s="45">
        <f t="shared" si="2"/>
        <v>236</v>
      </c>
      <c r="B238" s="46" t="s">
        <v>3020</v>
      </c>
      <c r="C238" s="45">
        <v>2.024070023E9</v>
      </c>
      <c r="D238" s="46" t="s">
        <v>3021</v>
      </c>
      <c r="E238" s="46" t="s">
        <v>3022</v>
      </c>
      <c r="F238" s="46" t="s">
        <v>3023</v>
      </c>
      <c r="G238" s="47" t="s">
        <v>2748</v>
      </c>
      <c r="H238" s="45" t="s">
        <v>863</v>
      </c>
      <c r="I238" s="48" t="s">
        <v>2749</v>
      </c>
      <c r="J238" s="47">
        <v>3.0</v>
      </c>
      <c r="K238" s="45" t="s">
        <v>1918</v>
      </c>
      <c r="L238" s="49" t="s">
        <v>3024</v>
      </c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>
        <f t="shared" si="3"/>
        <v>0</v>
      </c>
      <c r="BD238" s="50">
        <f t="shared" si="4"/>
        <v>0</v>
      </c>
      <c r="BE238" s="50">
        <f t="shared" si="5"/>
        <v>0</v>
      </c>
      <c r="BF238" s="50">
        <f t="shared" si="6"/>
        <v>0</v>
      </c>
      <c r="BG238" s="46"/>
      <c r="BH238" s="46"/>
      <c r="BI238" s="46"/>
      <c r="BJ238" s="45" t="str">
        <f t="shared" ref="BJ238:BK238" si="241">H238</f>
        <v>C</v>
      </c>
      <c r="BK238" s="45" t="str">
        <f t="shared" si="241"/>
        <v>C-2</v>
      </c>
      <c r="BL238" s="51">
        <v>613000.0</v>
      </c>
    </row>
    <row r="239">
      <c r="A239" s="12">
        <f t="shared" si="2"/>
        <v>237</v>
      </c>
      <c r="B239" s="15" t="s">
        <v>3025</v>
      </c>
      <c r="C239" s="12">
        <v>2.024070024E9</v>
      </c>
      <c r="D239" s="15" t="s">
        <v>3026</v>
      </c>
      <c r="E239" s="15" t="s">
        <v>3027</v>
      </c>
      <c r="F239" s="15" t="s">
        <v>3028</v>
      </c>
      <c r="G239" s="16" t="s">
        <v>2748</v>
      </c>
      <c r="H239" s="12" t="s">
        <v>863</v>
      </c>
      <c r="I239" s="14" t="s">
        <v>2749</v>
      </c>
      <c r="J239" s="16">
        <v>3.0</v>
      </c>
      <c r="K239" s="12" t="s">
        <v>1918</v>
      </c>
      <c r="L239" s="44" t="s">
        <v>3029</v>
      </c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>
        <f t="shared" si="3"/>
        <v>0</v>
      </c>
      <c r="BD239" s="18">
        <f t="shared" si="4"/>
        <v>0</v>
      </c>
      <c r="BE239" s="18">
        <f t="shared" si="5"/>
        <v>0</v>
      </c>
      <c r="BF239" s="18">
        <f t="shared" si="6"/>
        <v>0</v>
      </c>
      <c r="BG239" s="15"/>
      <c r="BH239" s="15"/>
      <c r="BI239" s="15"/>
      <c r="BJ239" s="12" t="str">
        <f t="shared" ref="BJ239:BK239" si="242">H239</f>
        <v>C</v>
      </c>
      <c r="BK239" s="12" t="str">
        <f t="shared" si="242"/>
        <v>C-2</v>
      </c>
      <c r="BL239" s="32">
        <v>613000.0</v>
      </c>
    </row>
    <row r="240">
      <c r="A240" s="45">
        <f t="shared" si="2"/>
        <v>238</v>
      </c>
      <c r="B240" s="46" t="s">
        <v>3030</v>
      </c>
      <c r="C240" s="45">
        <v>2.024070439E9</v>
      </c>
      <c r="D240" s="46" t="s">
        <v>3031</v>
      </c>
      <c r="E240" s="46" t="s">
        <v>3032</v>
      </c>
      <c r="F240" s="46" t="s">
        <v>3033</v>
      </c>
      <c r="G240" s="47" t="s">
        <v>2248</v>
      </c>
      <c r="H240" s="45" t="s">
        <v>863</v>
      </c>
      <c r="I240" s="48" t="s">
        <v>1028</v>
      </c>
      <c r="J240" s="47">
        <v>3.0</v>
      </c>
      <c r="K240" s="47" t="s">
        <v>2528</v>
      </c>
      <c r="L240" s="49" t="s">
        <v>3034</v>
      </c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>
        <v>450000.0</v>
      </c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>
        <f t="shared" si="3"/>
        <v>450000</v>
      </c>
      <c r="BD240" s="50">
        <f t="shared" si="4"/>
        <v>0</v>
      </c>
      <c r="BE240" s="50">
        <f t="shared" si="5"/>
        <v>0</v>
      </c>
      <c r="BF240" s="50">
        <f t="shared" si="6"/>
        <v>450000</v>
      </c>
      <c r="BG240" s="46"/>
      <c r="BH240" s="46"/>
      <c r="BI240" s="46"/>
      <c r="BJ240" s="45" t="str">
        <f t="shared" ref="BJ240:BK240" si="243">H240</f>
        <v>C</v>
      </c>
      <c r="BK240" s="45" t="str">
        <f t="shared" si="243"/>
        <v>C-7</v>
      </c>
      <c r="BL240" s="51">
        <v>613000.0</v>
      </c>
    </row>
    <row r="241">
      <c r="A241" s="12">
        <f t="shared" si="2"/>
        <v>239</v>
      </c>
      <c r="B241" s="15" t="s">
        <v>3035</v>
      </c>
      <c r="C241" s="12">
        <v>2.024070236E9</v>
      </c>
      <c r="D241" s="15" t="s">
        <v>3036</v>
      </c>
      <c r="E241" s="15" t="s">
        <v>3037</v>
      </c>
      <c r="F241" s="15" t="s">
        <v>3038</v>
      </c>
      <c r="G241" s="16" t="s">
        <v>2301</v>
      </c>
      <c r="H241" s="12" t="s">
        <v>863</v>
      </c>
      <c r="I241" s="14" t="s">
        <v>2721</v>
      </c>
      <c r="J241" s="16">
        <v>3.0</v>
      </c>
      <c r="K241" s="16" t="s">
        <v>2765</v>
      </c>
      <c r="L241" s="44" t="s">
        <v>3039</v>
      </c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>
        <f t="shared" si="3"/>
        <v>0</v>
      </c>
      <c r="BD241" s="18">
        <f t="shared" si="4"/>
        <v>0</v>
      </c>
      <c r="BE241" s="18">
        <f t="shared" si="5"/>
        <v>0</v>
      </c>
      <c r="BF241" s="18">
        <f t="shared" si="6"/>
        <v>0</v>
      </c>
      <c r="BG241" s="15"/>
      <c r="BH241" s="15"/>
      <c r="BI241" s="15"/>
      <c r="BJ241" s="12" t="str">
        <f t="shared" ref="BJ241:BK241" si="244">H241</f>
        <v>C</v>
      </c>
      <c r="BK241" s="12" t="str">
        <f t="shared" si="244"/>
        <v>C-9</v>
      </c>
      <c r="BL241" s="32">
        <v>613000.0</v>
      </c>
    </row>
    <row r="242">
      <c r="A242" s="45">
        <f t="shared" si="2"/>
        <v>240</v>
      </c>
      <c r="B242" s="46" t="s">
        <v>3040</v>
      </c>
      <c r="C242" s="45">
        <v>2.024070025E9</v>
      </c>
      <c r="D242" s="46" t="s">
        <v>1014</v>
      </c>
      <c r="E242" s="46" t="s">
        <v>3041</v>
      </c>
      <c r="F242" s="46" t="s">
        <v>3042</v>
      </c>
      <c r="G242" s="47" t="s">
        <v>2748</v>
      </c>
      <c r="H242" s="45" t="s">
        <v>863</v>
      </c>
      <c r="I242" s="48" t="s">
        <v>2749</v>
      </c>
      <c r="J242" s="47">
        <v>3.0</v>
      </c>
      <c r="K242" s="45" t="s">
        <v>1918</v>
      </c>
      <c r="L242" s="49" t="s">
        <v>3043</v>
      </c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>
        <f t="shared" si="3"/>
        <v>0</v>
      </c>
      <c r="BD242" s="50">
        <f t="shared" si="4"/>
        <v>0</v>
      </c>
      <c r="BE242" s="50">
        <f t="shared" si="5"/>
        <v>0</v>
      </c>
      <c r="BF242" s="50">
        <f t="shared" si="6"/>
        <v>0</v>
      </c>
      <c r="BG242" s="46"/>
      <c r="BH242" s="46"/>
      <c r="BI242" s="46"/>
      <c r="BJ242" s="45" t="str">
        <f t="shared" ref="BJ242:BK242" si="245">H242</f>
        <v>C</v>
      </c>
      <c r="BK242" s="45" t="str">
        <f t="shared" si="245"/>
        <v>C-2</v>
      </c>
      <c r="BL242" s="51">
        <v>613000.0</v>
      </c>
    </row>
    <row r="243">
      <c r="A243" s="12">
        <f t="shared" si="2"/>
        <v>241</v>
      </c>
      <c r="B243" s="15" t="s">
        <v>3044</v>
      </c>
      <c r="C243" s="12">
        <v>2.024070164E9</v>
      </c>
      <c r="D243" s="15" t="s">
        <v>3045</v>
      </c>
      <c r="E243" s="15" t="s">
        <v>3046</v>
      </c>
      <c r="F243" s="15" t="s">
        <v>3047</v>
      </c>
      <c r="G243" s="16" t="s">
        <v>2362</v>
      </c>
      <c r="H243" s="12" t="s">
        <v>863</v>
      </c>
      <c r="I243" s="14" t="s">
        <v>2721</v>
      </c>
      <c r="J243" s="16">
        <v>3.0</v>
      </c>
      <c r="K243" s="12" t="s">
        <v>1918</v>
      </c>
      <c r="L243" s="44" t="s">
        <v>3048</v>
      </c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>
        <f t="shared" si="3"/>
        <v>0</v>
      </c>
      <c r="BD243" s="18">
        <f t="shared" si="4"/>
        <v>0</v>
      </c>
      <c r="BE243" s="18">
        <f t="shared" si="5"/>
        <v>0</v>
      </c>
      <c r="BF243" s="18">
        <f t="shared" si="6"/>
        <v>0</v>
      </c>
      <c r="BG243" s="15"/>
      <c r="BH243" s="15"/>
      <c r="BI243" s="15"/>
      <c r="BJ243" s="12" t="str">
        <f t="shared" ref="BJ243:BK243" si="246">H243</f>
        <v>C</v>
      </c>
      <c r="BK243" s="12" t="str">
        <f t="shared" si="246"/>
        <v>C-9</v>
      </c>
      <c r="BL243" s="32">
        <v>613000.0</v>
      </c>
    </row>
    <row r="244">
      <c r="A244" s="45">
        <f t="shared" si="2"/>
        <v>242</v>
      </c>
      <c r="B244" s="46" t="s">
        <v>3049</v>
      </c>
      <c r="C244" s="45">
        <v>2.024070365E9</v>
      </c>
      <c r="D244" s="46" t="s">
        <v>3050</v>
      </c>
      <c r="E244" s="46" t="s">
        <v>3051</v>
      </c>
      <c r="F244" s="46" t="s">
        <v>436</v>
      </c>
      <c r="G244" s="47" t="s">
        <v>2736</v>
      </c>
      <c r="H244" s="45" t="s">
        <v>863</v>
      </c>
      <c r="I244" s="48" t="s">
        <v>2737</v>
      </c>
      <c r="J244" s="47">
        <v>3.0</v>
      </c>
      <c r="K244" s="47" t="s">
        <v>2493</v>
      </c>
      <c r="L244" s="49" t="s">
        <v>3052</v>
      </c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>
        <v>350000.0</v>
      </c>
      <c r="AB244" s="50">
        <v>500000.0</v>
      </c>
      <c r="AC244" s="50">
        <v>450000.0</v>
      </c>
      <c r="AD244" s="50">
        <v>450000.0</v>
      </c>
      <c r="AE244" s="50">
        <v>450000.0</v>
      </c>
      <c r="AF244" s="50">
        <v>450000.0</v>
      </c>
      <c r="AG244" s="50">
        <v>100000.0</v>
      </c>
      <c r="AH244" s="50">
        <v>100000.0</v>
      </c>
      <c r="AI244" s="50">
        <v>100000.0</v>
      </c>
      <c r="AJ244" s="50">
        <v>100000.0</v>
      </c>
      <c r="AK244" s="50">
        <v>100000.0</v>
      </c>
      <c r="AL244" s="50">
        <v>100000.0</v>
      </c>
      <c r="AM244" s="50">
        <v>100000.0</v>
      </c>
      <c r="AN244" s="50">
        <v>100000.0</v>
      </c>
      <c r="AO244" s="50"/>
      <c r="AP244" s="50">
        <v>500000.0</v>
      </c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>
        <f t="shared" si="3"/>
        <v>2600000</v>
      </c>
      <c r="BD244" s="50">
        <f t="shared" si="4"/>
        <v>1000000</v>
      </c>
      <c r="BE244" s="50">
        <f t="shared" si="5"/>
        <v>350000</v>
      </c>
      <c r="BF244" s="50">
        <f t="shared" si="6"/>
        <v>3950000</v>
      </c>
      <c r="BG244" s="46"/>
      <c r="BH244" s="46"/>
      <c r="BI244" s="46"/>
      <c r="BJ244" s="45" t="str">
        <f t="shared" ref="BJ244:BK244" si="247">H244</f>
        <v>C</v>
      </c>
      <c r="BK244" s="45" t="str">
        <f t="shared" si="247"/>
        <v>C-8</v>
      </c>
      <c r="BL244" s="53">
        <v>100000.0</v>
      </c>
    </row>
    <row r="245">
      <c r="A245" s="12">
        <f t="shared" si="2"/>
        <v>243</v>
      </c>
      <c r="B245" s="15" t="s">
        <v>3053</v>
      </c>
      <c r="C245" s="12">
        <v>2.024070026E9</v>
      </c>
      <c r="D245" s="15" t="s">
        <v>3054</v>
      </c>
      <c r="E245" s="15" t="s">
        <v>3055</v>
      </c>
      <c r="F245" s="15" t="s">
        <v>3056</v>
      </c>
      <c r="G245" s="16" t="s">
        <v>2748</v>
      </c>
      <c r="H245" s="12" t="s">
        <v>863</v>
      </c>
      <c r="I245" s="14" t="s">
        <v>2749</v>
      </c>
      <c r="J245" s="16">
        <v>3.0</v>
      </c>
      <c r="K245" s="12" t="s">
        <v>1918</v>
      </c>
      <c r="L245" s="44" t="s">
        <v>3057</v>
      </c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>
        <f t="shared" si="3"/>
        <v>0</v>
      </c>
      <c r="BD245" s="18">
        <f t="shared" si="4"/>
        <v>0</v>
      </c>
      <c r="BE245" s="18">
        <f t="shared" si="5"/>
        <v>0</v>
      </c>
      <c r="BF245" s="18">
        <f t="shared" si="6"/>
        <v>0</v>
      </c>
      <c r="BG245" s="15"/>
      <c r="BH245" s="15"/>
      <c r="BI245" s="15"/>
      <c r="BJ245" s="12" t="str">
        <f t="shared" ref="BJ245:BK245" si="248">H245</f>
        <v>C</v>
      </c>
      <c r="BK245" s="12" t="str">
        <f t="shared" si="248"/>
        <v>C-2</v>
      </c>
      <c r="BL245" s="32">
        <v>613000.0</v>
      </c>
    </row>
    <row r="246">
      <c r="A246" s="45">
        <f t="shared" si="2"/>
        <v>244</v>
      </c>
      <c r="B246" s="46" t="s">
        <v>3058</v>
      </c>
      <c r="C246" s="45">
        <v>2.024070555E9</v>
      </c>
      <c r="D246" s="46" t="s">
        <v>3059</v>
      </c>
      <c r="E246" s="46" t="s">
        <v>3060</v>
      </c>
      <c r="F246" s="46" t="s">
        <v>3061</v>
      </c>
      <c r="G246" s="47" t="s">
        <v>1924</v>
      </c>
      <c r="H246" s="45" t="s">
        <v>863</v>
      </c>
      <c r="I246" s="48" t="s">
        <v>892</v>
      </c>
      <c r="J246" s="47">
        <v>3.0</v>
      </c>
      <c r="K246" s="45" t="s">
        <v>1918</v>
      </c>
      <c r="L246" s="49" t="s">
        <v>3062</v>
      </c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>
        <v>500000.0</v>
      </c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>
        <v>500000.0</v>
      </c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>
        <f t="shared" si="3"/>
        <v>0</v>
      </c>
      <c r="BD246" s="50">
        <f t="shared" si="4"/>
        <v>1000000</v>
      </c>
      <c r="BE246" s="50">
        <f t="shared" si="5"/>
        <v>0</v>
      </c>
      <c r="BF246" s="50">
        <f t="shared" si="6"/>
        <v>1000000</v>
      </c>
      <c r="BG246" s="46"/>
      <c r="BH246" s="46"/>
      <c r="BI246" s="46"/>
      <c r="BJ246" s="45" t="str">
        <f t="shared" ref="BJ246:BK246" si="249">H246</f>
        <v>C</v>
      </c>
      <c r="BK246" s="45" t="str">
        <f t="shared" si="249"/>
        <v>C-13</v>
      </c>
      <c r="BL246" s="51">
        <v>613000.0</v>
      </c>
    </row>
    <row r="247">
      <c r="A247" s="12">
        <f t="shared" si="2"/>
        <v>245</v>
      </c>
      <c r="B247" s="15" t="s">
        <v>3063</v>
      </c>
      <c r="C247" s="12">
        <v>2.024070027E9</v>
      </c>
      <c r="D247" s="15" t="s">
        <v>3064</v>
      </c>
      <c r="E247" s="15" t="s">
        <v>3065</v>
      </c>
      <c r="F247" s="15" t="s">
        <v>3066</v>
      </c>
      <c r="G247" s="16" t="s">
        <v>2748</v>
      </c>
      <c r="H247" s="12" t="s">
        <v>863</v>
      </c>
      <c r="I247" s="14" t="s">
        <v>2749</v>
      </c>
      <c r="J247" s="16">
        <v>3.0</v>
      </c>
      <c r="K247" s="12" t="s">
        <v>1918</v>
      </c>
      <c r="L247" s="44" t="s">
        <v>3067</v>
      </c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>
        <f t="shared" si="3"/>
        <v>0</v>
      </c>
      <c r="BD247" s="18">
        <f t="shared" si="4"/>
        <v>0</v>
      </c>
      <c r="BE247" s="18">
        <f t="shared" si="5"/>
        <v>0</v>
      </c>
      <c r="BF247" s="18">
        <f t="shared" si="6"/>
        <v>0</v>
      </c>
      <c r="BG247" s="15"/>
      <c r="BH247" s="15"/>
      <c r="BI247" s="15"/>
      <c r="BJ247" s="12" t="str">
        <f t="shared" ref="BJ247:BK247" si="250">H247</f>
        <v>C</v>
      </c>
      <c r="BK247" s="12" t="str">
        <f t="shared" si="250"/>
        <v>C-2</v>
      </c>
      <c r="BL247" s="32">
        <v>613000.0</v>
      </c>
    </row>
    <row r="248">
      <c r="A248" s="45">
        <f t="shared" si="2"/>
        <v>246</v>
      </c>
      <c r="B248" s="46" t="s">
        <v>3068</v>
      </c>
      <c r="C248" s="45">
        <v>2.024070366E9</v>
      </c>
      <c r="D248" s="46" t="s">
        <v>3069</v>
      </c>
      <c r="E248" s="46" t="s">
        <v>3070</v>
      </c>
      <c r="F248" s="46" t="s">
        <v>3071</v>
      </c>
      <c r="G248" s="47" t="s">
        <v>2736</v>
      </c>
      <c r="H248" s="45" t="s">
        <v>863</v>
      </c>
      <c r="I248" s="48" t="s">
        <v>2737</v>
      </c>
      <c r="J248" s="47">
        <v>3.0</v>
      </c>
      <c r="K248" s="47" t="s">
        <v>2493</v>
      </c>
      <c r="L248" s="49" t="s">
        <v>3072</v>
      </c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>
        <f t="shared" si="3"/>
        <v>0</v>
      </c>
      <c r="BD248" s="50">
        <f t="shared" si="4"/>
        <v>0</v>
      </c>
      <c r="BE248" s="50">
        <f t="shared" si="5"/>
        <v>0</v>
      </c>
      <c r="BF248" s="50">
        <f t="shared" si="6"/>
        <v>0</v>
      </c>
      <c r="BG248" s="46"/>
      <c r="BH248" s="46"/>
      <c r="BI248" s="46"/>
      <c r="BJ248" s="45" t="str">
        <f t="shared" ref="BJ248:BK248" si="251">H248</f>
        <v>C</v>
      </c>
      <c r="BK248" s="45" t="str">
        <f t="shared" si="251"/>
        <v>C-8</v>
      </c>
      <c r="BL248" s="51">
        <v>613000.0</v>
      </c>
    </row>
    <row r="249">
      <c r="A249" s="12">
        <f t="shared" si="2"/>
        <v>247</v>
      </c>
      <c r="B249" s="15" t="s">
        <v>3073</v>
      </c>
      <c r="C249" s="12">
        <v>2.024070126E9</v>
      </c>
      <c r="D249" s="15" t="s">
        <v>3074</v>
      </c>
      <c r="E249" s="15" t="s">
        <v>3075</v>
      </c>
      <c r="F249" s="15" t="s">
        <v>3076</v>
      </c>
      <c r="G249" s="16" t="s">
        <v>2272</v>
      </c>
      <c r="H249" s="12" t="s">
        <v>863</v>
      </c>
      <c r="I249" s="14" t="s">
        <v>2721</v>
      </c>
      <c r="J249" s="16">
        <v>3.0</v>
      </c>
      <c r="K249" s="16" t="s">
        <v>2493</v>
      </c>
      <c r="L249" s="44" t="s">
        <v>3077</v>
      </c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>
        <f t="shared" si="3"/>
        <v>0</v>
      </c>
      <c r="BD249" s="18">
        <f t="shared" si="4"/>
        <v>0</v>
      </c>
      <c r="BE249" s="18">
        <f t="shared" si="5"/>
        <v>0</v>
      </c>
      <c r="BF249" s="18">
        <f t="shared" si="6"/>
        <v>0</v>
      </c>
      <c r="BG249" s="15"/>
      <c r="BH249" s="15"/>
      <c r="BI249" s="15"/>
      <c r="BJ249" s="12" t="str">
        <f t="shared" ref="BJ249:BK249" si="252">H249</f>
        <v>C</v>
      </c>
      <c r="BK249" s="12" t="str">
        <f t="shared" si="252"/>
        <v>C-9</v>
      </c>
      <c r="BL249" s="32">
        <v>613000.0</v>
      </c>
    </row>
    <row r="250">
      <c r="A250" s="45">
        <f t="shared" si="2"/>
        <v>248</v>
      </c>
      <c r="B250" s="46" t="s">
        <v>3078</v>
      </c>
      <c r="C250" s="45">
        <v>2.024070056E9</v>
      </c>
      <c r="D250" s="46" t="s">
        <v>3079</v>
      </c>
      <c r="E250" s="46" t="s">
        <v>3080</v>
      </c>
      <c r="F250" s="46" t="s">
        <v>3081</v>
      </c>
      <c r="G250" s="47" t="s">
        <v>2342</v>
      </c>
      <c r="H250" s="45" t="s">
        <v>863</v>
      </c>
      <c r="I250" s="48" t="s">
        <v>2737</v>
      </c>
      <c r="J250" s="47">
        <v>3.0</v>
      </c>
      <c r="K250" s="47" t="s">
        <v>2765</v>
      </c>
      <c r="L250" s="49" t="s">
        <v>3082</v>
      </c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>
        <f t="shared" si="3"/>
        <v>0</v>
      </c>
      <c r="BD250" s="50">
        <f t="shared" si="4"/>
        <v>0</v>
      </c>
      <c r="BE250" s="50">
        <f t="shared" si="5"/>
        <v>0</v>
      </c>
      <c r="BF250" s="50">
        <f t="shared" si="6"/>
        <v>0</v>
      </c>
      <c r="BG250" s="46"/>
      <c r="BH250" s="46"/>
      <c r="BI250" s="46"/>
      <c r="BJ250" s="45" t="str">
        <f t="shared" ref="BJ250:BK250" si="253">H250</f>
        <v>C</v>
      </c>
      <c r="BK250" s="45" t="str">
        <f t="shared" si="253"/>
        <v>C-8</v>
      </c>
      <c r="BL250" s="51">
        <v>613000.0</v>
      </c>
    </row>
    <row r="251">
      <c r="A251" s="12">
        <f t="shared" si="2"/>
        <v>249</v>
      </c>
      <c r="B251" s="15" t="s">
        <v>3083</v>
      </c>
      <c r="C251" s="12">
        <v>2.024070028E9</v>
      </c>
      <c r="D251" s="15" t="s">
        <v>3084</v>
      </c>
      <c r="E251" s="15" t="s">
        <v>3085</v>
      </c>
      <c r="F251" s="15" t="s">
        <v>3086</v>
      </c>
      <c r="G251" s="16" t="s">
        <v>2748</v>
      </c>
      <c r="H251" s="12" t="s">
        <v>863</v>
      </c>
      <c r="I251" s="14" t="s">
        <v>2749</v>
      </c>
      <c r="J251" s="16">
        <v>3.0</v>
      </c>
      <c r="K251" s="12" t="s">
        <v>1918</v>
      </c>
      <c r="L251" s="44" t="s">
        <v>3087</v>
      </c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>
        <f t="shared" si="3"/>
        <v>0</v>
      </c>
      <c r="BD251" s="18">
        <f t="shared" si="4"/>
        <v>0</v>
      </c>
      <c r="BE251" s="18">
        <f t="shared" si="5"/>
        <v>0</v>
      </c>
      <c r="BF251" s="18">
        <f t="shared" si="6"/>
        <v>0</v>
      </c>
      <c r="BG251" s="15"/>
      <c r="BH251" s="15"/>
      <c r="BI251" s="15"/>
      <c r="BJ251" s="12" t="str">
        <f t="shared" ref="BJ251:BK251" si="254">H251</f>
        <v>C</v>
      </c>
      <c r="BK251" s="12" t="str">
        <f t="shared" si="254"/>
        <v>C-2</v>
      </c>
      <c r="BL251" s="32">
        <v>613000.0</v>
      </c>
    </row>
    <row r="252">
      <c r="A252" s="45">
        <f t="shared" si="2"/>
        <v>250</v>
      </c>
      <c r="B252" s="46" t="s">
        <v>3088</v>
      </c>
      <c r="C252" s="45">
        <v>2.024070058E9</v>
      </c>
      <c r="D252" s="46" t="s">
        <v>3089</v>
      </c>
      <c r="E252" s="46" t="s">
        <v>3090</v>
      </c>
      <c r="F252" s="46" t="s">
        <v>3091</v>
      </c>
      <c r="G252" s="47" t="s">
        <v>2342</v>
      </c>
      <c r="H252" s="45" t="s">
        <v>863</v>
      </c>
      <c r="I252" s="48" t="s">
        <v>2737</v>
      </c>
      <c r="J252" s="47">
        <v>3.0</v>
      </c>
      <c r="K252" s="47" t="s">
        <v>2765</v>
      </c>
      <c r="L252" s="49" t="s">
        <v>3092</v>
      </c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>
        <f t="shared" si="3"/>
        <v>0</v>
      </c>
      <c r="BD252" s="50">
        <f t="shared" si="4"/>
        <v>0</v>
      </c>
      <c r="BE252" s="50">
        <f t="shared" si="5"/>
        <v>0</v>
      </c>
      <c r="BF252" s="50">
        <f t="shared" si="6"/>
        <v>0</v>
      </c>
      <c r="BG252" s="46"/>
      <c r="BH252" s="46"/>
      <c r="BI252" s="46"/>
      <c r="BJ252" s="45" t="str">
        <f t="shared" ref="BJ252:BK252" si="255">H252</f>
        <v>C</v>
      </c>
      <c r="BK252" s="45" t="str">
        <f t="shared" si="255"/>
        <v>C-8</v>
      </c>
      <c r="BL252" s="51">
        <v>613000.0</v>
      </c>
    </row>
    <row r="253">
      <c r="A253" s="12">
        <f t="shared" si="2"/>
        <v>251</v>
      </c>
      <c r="B253" s="15" t="s">
        <v>3093</v>
      </c>
      <c r="C253" s="12">
        <v>2.024070128E9</v>
      </c>
      <c r="D253" s="15" t="s">
        <v>3094</v>
      </c>
      <c r="E253" s="15" t="s">
        <v>3095</v>
      </c>
      <c r="F253" s="15" t="s">
        <v>3096</v>
      </c>
      <c r="G253" s="16" t="s">
        <v>2272</v>
      </c>
      <c r="H253" s="12" t="s">
        <v>863</v>
      </c>
      <c r="I253" s="14" t="s">
        <v>2721</v>
      </c>
      <c r="J253" s="16">
        <v>3.0</v>
      </c>
      <c r="K253" s="12" t="s">
        <v>1918</v>
      </c>
      <c r="L253" s="44" t="s">
        <v>3097</v>
      </c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>
        <v>450000.0</v>
      </c>
      <c r="AO253" s="18"/>
      <c r="AP253" s="18">
        <v>500000.0</v>
      </c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>
        <f t="shared" si="3"/>
        <v>450000</v>
      </c>
      <c r="BD253" s="18">
        <f t="shared" si="4"/>
        <v>500000</v>
      </c>
      <c r="BE253" s="18">
        <f t="shared" si="5"/>
        <v>0</v>
      </c>
      <c r="BF253" s="18">
        <f t="shared" si="6"/>
        <v>950000</v>
      </c>
      <c r="BG253" s="15"/>
      <c r="BH253" s="15"/>
      <c r="BI253" s="15"/>
      <c r="BJ253" s="12" t="str">
        <f t="shared" ref="BJ253:BK253" si="256">H253</f>
        <v>C</v>
      </c>
      <c r="BK253" s="12" t="str">
        <f t="shared" si="256"/>
        <v>C-9</v>
      </c>
      <c r="BL253" s="32">
        <v>613000.0</v>
      </c>
    </row>
    <row r="254">
      <c r="A254" s="45">
        <f t="shared" si="2"/>
        <v>252</v>
      </c>
      <c r="B254" s="46" t="s">
        <v>3098</v>
      </c>
      <c r="C254" s="45">
        <v>2.024071521E9</v>
      </c>
      <c r="D254" s="46" t="s">
        <v>2933</v>
      </c>
      <c r="E254" s="46" t="s">
        <v>3099</v>
      </c>
      <c r="F254" s="46" t="s">
        <v>3100</v>
      </c>
      <c r="G254" s="47" t="s">
        <v>3101</v>
      </c>
      <c r="H254" s="45" t="s">
        <v>863</v>
      </c>
      <c r="I254" s="48" t="s">
        <v>2492</v>
      </c>
      <c r="J254" s="47">
        <v>3.0</v>
      </c>
      <c r="K254" s="45" t="s">
        <v>1918</v>
      </c>
      <c r="L254" s="49" t="s">
        <v>3102</v>
      </c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>
        <f t="shared" si="3"/>
        <v>0</v>
      </c>
      <c r="BD254" s="50">
        <f t="shared" si="4"/>
        <v>0</v>
      </c>
      <c r="BE254" s="50">
        <f t="shared" si="5"/>
        <v>0</v>
      </c>
      <c r="BF254" s="50">
        <f t="shared" si="6"/>
        <v>0</v>
      </c>
      <c r="BG254" s="46"/>
      <c r="BH254" s="46"/>
      <c r="BI254" s="46"/>
      <c r="BJ254" s="45" t="str">
        <f t="shared" ref="BJ254:BK254" si="257">H254</f>
        <v>C</v>
      </c>
      <c r="BK254" s="45" t="str">
        <f t="shared" si="257"/>
        <v>C-4</v>
      </c>
      <c r="BL254" s="51">
        <v>613000.0</v>
      </c>
    </row>
    <row r="255">
      <c r="A255" s="12">
        <f t="shared" si="2"/>
        <v>253</v>
      </c>
      <c r="B255" s="15" t="s">
        <v>3103</v>
      </c>
      <c r="C255" s="12">
        <v>2.024070203E9</v>
      </c>
      <c r="D255" s="15" t="s">
        <v>3104</v>
      </c>
      <c r="E255" s="15" t="s">
        <v>3105</v>
      </c>
      <c r="F255" s="15" t="s">
        <v>3106</v>
      </c>
      <c r="G255" s="16" t="s">
        <v>2362</v>
      </c>
      <c r="H255" s="12" t="s">
        <v>863</v>
      </c>
      <c r="I255" s="14" t="s">
        <v>2721</v>
      </c>
      <c r="J255" s="16">
        <v>3.0</v>
      </c>
      <c r="K255" s="16" t="s">
        <v>2493</v>
      </c>
      <c r="L255" s="44" t="s">
        <v>3107</v>
      </c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>
        <f t="shared" si="3"/>
        <v>0</v>
      </c>
      <c r="BD255" s="18">
        <f t="shared" si="4"/>
        <v>0</v>
      </c>
      <c r="BE255" s="18">
        <f t="shared" si="5"/>
        <v>0</v>
      </c>
      <c r="BF255" s="18">
        <f t="shared" si="6"/>
        <v>0</v>
      </c>
      <c r="BG255" s="15"/>
      <c r="BH255" s="15"/>
      <c r="BI255" s="15"/>
      <c r="BJ255" s="12" t="str">
        <f t="shared" ref="BJ255:BK255" si="258">H255</f>
        <v>C</v>
      </c>
      <c r="BK255" s="12" t="str">
        <f t="shared" si="258"/>
        <v>C-9</v>
      </c>
      <c r="BL255" s="32">
        <v>613000.0</v>
      </c>
    </row>
    <row r="256">
      <c r="A256" s="45">
        <f t="shared" si="2"/>
        <v>254</v>
      </c>
      <c r="B256" s="46" t="s">
        <v>3108</v>
      </c>
      <c r="C256" s="45">
        <v>2.024070677E9</v>
      </c>
      <c r="D256" s="46" t="s">
        <v>3109</v>
      </c>
      <c r="E256" s="46" t="s">
        <v>3110</v>
      </c>
      <c r="F256" s="46" t="s">
        <v>76</v>
      </c>
      <c r="G256" s="47" t="s">
        <v>3111</v>
      </c>
      <c r="H256" s="45" t="s">
        <v>863</v>
      </c>
      <c r="I256" s="48" t="s">
        <v>2737</v>
      </c>
      <c r="J256" s="47">
        <v>3.0</v>
      </c>
      <c r="K256" s="47" t="s">
        <v>2493</v>
      </c>
      <c r="L256" s="49" t="s">
        <v>3112</v>
      </c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>
        <v>500000.0</v>
      </c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>
        <f t="shared" si="3"/>
        <v>0</v>
      </c>
      <c r="BD256" s="50">
        <f t="shared" si="4"/>
        <v>500000</v>
      </c>
      <c r="BE256" s="50">
        <f t="shared" si="5"/>
        <v>0</v>
      </c>
      <c r="BF256" s="50">
        <f t="shared" si="6"/>
        <v>500000</v>
      </c>
      <c r="BG256" s="46"/>
      <c r="BH256" s="46"/>
      <c r="BI256" s="46"/>
      <c r="BJ256" s="45" t="str">
        <f t="shared" ref="BJ256:BK256" si="259">H256</f>
        <v>C</v>
      </c>
      <c r="BK256" s="45" t="str">
        <f t="shared" si="259"/>
        <v>C-8</v>
      </c>
      <c r="BL256" s="51">
        <v>613000.0</v>
      </c>
    </row>
    <row r="257">
      <c r="A257" s="12">
        <f t="shared" si="2"/>
        <v>255</v>
      </c>
      <c r="B257" s="15" t="s">
        <v>3113</v>
      </c>
      <c r="C257" s="12">
        <v>2.024070239E9</v>
      </c>
      <c r="D257" s="15" t="s">
        <v>2388</v>
      </c>
      <c r="E257" s="15" t="s">
        <v>3114</v>
      </c>
      <c r="F257" s="15" t="s">
        <v>3115</v>
      </c>
      <c r="G257" s="16" t="s">
        <v>2301</v>
      </c>
      <c r="H257" s="12" t="s">
        <v>863</v>
      </c>
      <c r="I257" s="14" t="s">
        <v>2737</v>
      </c>
      <c r="J257" s="16">
        <v>3.0</v>
      </c>
      <c r="K257" s="12" t="s">
        <v>1918</v>
      </c>
      <c r="L257" s="44" t="s">
        <v>3116</v>
      </c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>
        <f t="shared" si="3"/>
        <v>0</v>
      </c>
      <c r="BD257" s="18">
        <f t="shared" si="4"/>
        <v>0</v>
      </c>
      <c r="BE257" s="18">
        <f t="shared" si="5"/>
        <v>0</v>
      </c>
      <c r="BF257" s="18">
        <f t="shared" si="6"/>
        <v>0</v>
      </c>
      <c r="BG257" s="15"/>
      <c r="BH257" s="15"/>
      <c r="BI257" s="15"/>
      <c r="BJ257" s="12" t="str">
        <f t="shared" ref="BJ257:BK257" si="260">H257</f>
        <v>C</v>
      </c>
      <c r="BK257" s="12" t="str">
        <f t="shared" si="260"/>
        <v>C-8</v>
      </c>
      <c r="BL257" s="32">
        <v>613000.0</v>
      </c>
    </row>
    <row r="258">
      <c r="A258" s="45">
        <f t="shared" si="2"/>
        <v>256</v>
      </c>
      <c r="B258" s="46" t="s">
        <v>3117</v>
      </c>
      <c r="C258" s="45">
        <v>2.02407054E9</v>
      </c>
      <c r="D258" s="46" t="s">
        <v>3118</v>
      </c>
      <c r="E258" s="46" t="s">
        <v>1738</v>
      </c>
      <c r="F258" s="46" t="s">
        <v>3119</v>
      </c>
      <c r="G258" s="47" t="s">
        <v>2406</v>
      </c>
      <c r="H258" s="45" t="s">
        <v>863</v>
      </c>
      <c r="I258" s="48" t="s">
        <v>892</v>
      </c>
      <c r="J258" s="47">
        <v>3.0</v>
      </c>
      <c r="K258" s="47" t="s">
        <v>2396</v>
      </c>
      <c r="L258" s="49" t="s">
        <v>3120</v>
      </c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>
        <v>450000.0</v>
      </c>
      <c r="AM258" s="50">
        <v>450000.0</v>
      </c>
      <c r="AN258" s="50">
        <v>450000.0</v>
      </c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>
        <f t="shared" si="3"/>
        <v>1350000</v>
      </c>
      <c r="BD258" s="50">
        <f t="shared" si="4"/>
        <v>0</v>
      </c>
      <c r="BE258" s="50">
        <f t="shared" si="5"/>
        <v>0</v>
      </c>
      <c r="BF258" s="50">
        <f t="shared" si="6"/>
        <v>1350000</v>
      </c>
      <c r="BG258" s="46"/>
      <c r="BH258" s="46"/>
      <c r="BI258" s="46"/>
      <c r="BJ258" s="45" t="str">
        <f t="shared" ref="BJ258:BK258" si="261">H258</f>
        <v>C</v>
      </c>
      <c r="BK258" s="45" t="str">
        <f t="shared" si="261"/>
        <v>C-13</v>
      </c>
      <c r="BL258" s="51">
        <v>613000.0</v>
      </c>
    </row>
    <row r="259">
      <c r="A259" s="12">
        <f t="shared" si="2"/>
        <v>257</v>
      </c>
      <c r="B259" s="15" t="s">
        <v>3121</v>
      </c>
      <c r="C259" s="12">
        <v>2.024070498E9</v>
      </c>
      <c r="D259" s="15" t="s">
        <v>3122</v>
      </c>
      <c r="E259" s="15" t="s">
        <v>3123</v>
      </c>
      <c r="F259" s="15" t="s">
        <v>3124</v>
      </c>
      <c r="G259" s="16" t="s">
        <v>1924</v>
      </c>
      <c r="H259" s="12" t="s">
        <v>1392</v>
      </c>
      <c r="I259" s="14" t="s">
        <v>3125</v>
      </c>
      <c r="J259" s="16">
        <v>3.0</v>
      </c>
      <c r="K259" s="12" t="s">
        <v>1918</v>
      </c>
      <c r="L259" s="44" t="s">
        <v>3126</v>
      </c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>
        <f t="shared" si="3"/>
        <v>0</v>
      </c>
      <c r="BD259" s="18">
        <f t="shared" si="4"/>
        <v>0</v>
      </c>
      <c r="BE259" s="18">
        <f t="shared" si="5"/>
        <v>0</v>
      </c>
      <c r="BF259" s="18">
        <f t="shared" si="6"/>
        <v>0</v>
      </c>
      <c r="BG259" s="15"/>
      <c r="BH259" s="15"/>
      <c r="BI259" s="15"/>
      <c r="BJ259" s="12" t="str">
        <f t="shared" ref="BJ259:BK259" si="262">H259</f>
        <v>D</v>
      </c>
      <c r="BK259" s="12" t="str">
        <f t="shared" si="262"/>
        <v>D-4</v>
      </c>
      <c r="BL259" s="32">
        <v>613000.0</v>
      </c>
    </row>
    <row r="260">
      <c r="A260" s="45">
        <f t="shared" si="2"/>
        <v>258</v>
      </c>
      <c r="B260" s="46" t="s">
        <v>3127</v>
      </c>
      <c r="C260" s="45">
        <v>2.024070595E9</v>
      </c>
      <c r="D260" s="46" t="s">
        <v>3128</v>
      </c>
      <c r="E260" s="46" t="s">
        <v>3129</v>
      </c>
      <c r="F260" s="46" t="s">
        <v>1472</v>
      </c>
      <c r="G260" s="47" t="s">
        <v>1946</v>
      </c>
      <c r="H260" s="45" t="s">
        <v>1392</v>
      </c>
      <c r="I260" s="48" t="s">
        <v>3125</v>
      </c>
      <c r="J260" s="47">
        <v>3.0</v>
      </c>
      <c r="K260" s="47" t="s">
        <v>2413</v>
      </c>
      <c r="L260" s="49" t="s">
        <v>3130</v>
      </c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>
        <v>450000.0</v>
      </c>
      <c r="AN260" s="50">
        <v>450000.0</v>
      </c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>
        <f t="shared" si="3"/>
        <v>900000</v>
      </c>
      <c r="BD260" s="50">
        <f t="shared" si="4"/>
        <v>0</v>
      </c>
      <c r="BE260" s="50">
        <f t="shared" si="5"/>
        <v>0</v>
      </c>
      <c r="BF260" s="50">
        <f t="shared" si="6"/>
        <v>900000</v>
      </c>
      <c r="BG260" s="46"/>
      <c r="BH260" s="46"/>
      <c r="BI260" s="46"/>
      <c r="BJ260" s="45" t="str">
        <f t="shared" ref="BJ260:BK260" si="263">H260</f>
        <v>D</v>
      </c>
      <c r="BK260" s="45" t="str">
        <f t="shared" si="263"/>
        <v>D-4</v>
      </c>
      <c r="BL260" s="51">
        <v>613000.0</v>
      </c>
    </row>
    <row r="261">
      <c r="A261" s="12">
        <f t="shared" si="2"/>
        <v>259</v>
      </c>
      <c r="B261" s="15" t="s">
        <v>3131</v>
      </c>
      <c r="C261" s="12">
        <v>2.024070471E9</v>
      </c>
      <c r="D261" s="15" t="s">
        <v>3132</v>
      </c>
      <c r="E261" s="15" t="s">
        <v>3133</v>
      </c>
      <c r="F261" s="15" t="s">
        <v>3134</v>
      </c>
      <c r="G261" s="16" t="s">
        <v>1924</v>
      </c>
      <c r="H261" s="12" t="s">
        <v>1392</v>
      </c>
      <c r="I261" s="14" t="s">
        <v>3125</v>
      </c>
      <c r="J261" s="16">
        <v>3.0</v>
      </c>
      <c r="K261" s="16" t="s">
        <v>2413</v>
      </c>
      <c r="L261" s="44" t="s">
        <v>3135</v>
      </c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>
        <f t="shared" si="3"/>
        <v>0</v>
      </c>
      <c r="BD261" s="18">
        <f t="shared" si="4"/>
        <v>0</v>
      </c>
      <c r="BE261" s="18">
        <f t="shared" si="5"/>
        <v>0</v>
      </c>
      <c r="BF261" s="18">
        <f t="shared" si="6"/>
        <v>0</v>
      </c>
      <c r="BG261" s="15"/>
      <c r="BH261" s="15"/>
      <c r="BI261" s="15"/>
      <c r="BJ261" s="12" t="str">
        <f t="shared" ref="BJ261:BK261" si="264">H261</f>
        <v>D</v>
      </c>
      <c r="BK261" s="12" t="str">
        <f t="shared" si="264"/>
        <v>D-4</v>
      </c>
      <c r="BL261" s="32">
        <v>613000.0</v>
      </c>
    </row>
    <row r="262">
      <c r="A262" s="45">
        <f t="shared" si="2"/>
        <v>260</v>
      </c>
      <c r="B262" s="46" t="s">
        <v>3136</v>
      </c>
      <c r="C262" s="45">
        <v>2.024080767E9</v>
      </c>
      <c r="D262" s="46" t="s">
        <v>3137</v>
      </c>
      <c r="E262" s="46" t="s">
        <v>3138</v>
      </c>
      <c r="F262" s="46" t="s">
        <v>3139</v>
      </c>
      <c r="G262" s="47" t="s">
        <v>1917</v>
      </c>
      <c r="H262" s="45" t="s">
        <v>1392</v>
      </c>
      <c r="I262" s="48" t="s">
        <v>1393</v>
      </c>
      <c r="J262" s="47">
        <v>3.0</v>
      </c>
      <c r="K262" s="47" t="s">
        <v>2407</v>
      </c>
      <c r="L262" s="49" t="s">
        <v>3140</v>
      </c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>
        <v>450000.0</v>
      </c>
      <c r="AM262" s="50">
        <v>450000.0</v>
      </c>
      <c r="AN262" s="50">
        <v>450000.0</v>
      </c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>
        <f t="shared" si="3"/>
        <v>1350000</v>
      </c>
      <c r="BD262" s="50">
        <f t="shared" si="4"/>
        <v>0</v>
      </c>
      <c r="BE262" s="50">
        <f t="shared" si="5"/>
        <v>0</v>
      </c>
      <c r="BF262" s="50">
        <f t="shared" si="6"/>
        <v>1350000</v>
      </c>
      <c r="BG262" s="46"/>
      <c r="BH262" s="46"/>
      <c r="BI262" s="46"/>
      <c r="BJ262" s="45" t="str">
        <f t="shared" ref="BJ262:BK262" si="265">H262</f>
        <v>D</v>
      </c>
      <c r="BK262" s="45" t="str">
        <f t="shared" si="265"/>
        <v>D-7</v>
      </c>
      <c r="BL262" s="51">
        <v>613000.0</v>
      </c>
    </row>
    <row r="263">
      <c r="A263" s="12">
        <f t="shared" si="2"/>
        <v>261</v>
      </c>
      <c r="B263" s="15" t="s">
        <v>3141</v>
      </c>
      <c r="C263" s="12">
        <v>2.024071523E9</v>
      </c>
      <c r="D263" s="15" t="s">
        <v>3142</v>
      </c>
      <c r="E263" s="15" t="s">
        <v>3143</v>
      </c>
      <c r="F263" s="15" t="s">
        <v>3144</v>
      </c>
      <c r="G263" s="16" t="s">
        <v>1917</v>
      </c>
      <c r="H263" s="12" t="s">
        <v>1392</v>
      </c>
      <c r="I263" s="14" t="s">
        <v>1393</v>
      </c>
      <c r="J263" s="16">
        <v>3.0</v>
      </c>
      <c r="K263" s="16" t="s">
        <v>2396</v>
      </c>
      <c r="L263" s="44" t="s">
        <v>3145</v>
      </c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>
        <f t="shared" si="3"/>
        <v>0</v>
      </c>
      <c r="BD263" s="18">
        <f t="shared" si="4"/>
        <v>0</v>
      </c>
      <c r="BE263" s="18">
        <f t="shared" si="5"/>
        <v>0</v>
      </c>
      <c r="BF263" s="18">
        <f t="shared" si="6"/>
        <v>0</v>
      </c>
      <c r="BG263" s="15"/>
      <c r="BH263" s="15"/>
      <c r="BI263" s="15"/>
      <c r="BJ263" s="12" t="str">
        <f t="shared" ref="BJ263:BK263" si="266">H263</f>
        <v>D</v>
      </c>
      <c r="BK263" s="12" t="str">
        <f t="shared" si="266"/>
        <v>D-7</v>
      </c>
      <c r="BL263" s="32">
        <v>613000.0</v>
      </c>
    </row>
    <row r="264">
      <c r="A264" s="45">
        <f t="shared" si="2"/>
        <v>262</v>
      </c>
      <c r="B264" s="46" t="s">
        <v>3146</v>
      </c>
      <c r="C264" s="45">
        <v>2.02407053E9</v>
      </c>
      <c r="D264" s="46" t="s">
        <v>3147</v>
      </c>
      <c r="E264" s="46" t="s">
        <v>2507</v>
      </c>
      <c r="F264" s="46" t="s">
        <v>3119</v>
      </c>
      <c r="G264" s="47" t="s">
        <v>1897</v>
      </c>
      <c r="H264" s="45" t="s">
        <v>1392</v>
      </c>
      <c r="I264" s="48" t="s">
        <v>1393</v>
      </c>
      <c r="J264" s="47">
        <v>3.0</v>
      </c>
      <c r="K264" s="47" t="s">
        <v>2407</v>
      </c>
      <c r="L264" s="49" t="s">
        <v>3148</v>
      </c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>
        <f t="shared" si="3"/>
        <v>0</v>
      </c>
      <c r="BD264" s="50">
        <f t="shared" si="4"/>
        <v>0</v>
      </c>
      <c r="BE264" s="50">
        <f t="shared" si="5"/>
        <v>0</v>
      </c>
      <c r="BF264" s="50">
        <f t="shared" si="6"/>
        <v>0</v>
      </c>
      <c r="BG264" s="46"/>
      <c r="BH264" s="46"/>
      <c r="BI264" s="46"/>
      <c r="BJ264" s="45" t="str">
        <f t="shared" ref="BJ264:BK264" si="267">H264</f>
        <v>D</v>
      </c>
      <c r="BK264" s="45" t="str">
        <f t="shared" si="267"/>
        <v>D-7</v>
      </c>
      <c r="BL264" s="51">
        <v>613000.0</v>
      </c>
    </row>
    <row r="265">
      <c r="A265" s="12">
        <f t="shared" si="2"/>
        <v>263</v>
      </c>
      <c r="B265" s="15" t="s">
        <v>3149</v>
      </c>
      <c r="C265" s="12">
        <v>2.024070521E9</v>
      </c>
      <c r="D265" s="15" t="s">
        <v>3150</v>
      </c>
      <c r="E265" s="15" t="s">
        <v>3151</v>
      </c>
      <c r="F265" s="15" t="s">
        <v>3152</v>
      </c>
      <c r="G265" s="16" t="s">
        <v>1897</v>
      </c>
      <c r="H265" s="12" t="s">
        <v>1392</v>
      </c>
      <c r="I265" s="14" t="s">
        <v>3125</v>
      </c>
      <c r="J265" s="16">
        <v>3.0</v>
      </c>
      <c r="K265" s="16" t="s">
        <v>2407</v>
      </c>
      <c r="L265" s="44" t="s">
        <v>3153</v>
      </c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54" t="s">
        <v>3154</v>
      </c>
      <c r="AN265" s="18">
        <v>450000.0</v>
      </c>
      <c r="AO265" s="18"/>
      <c r="AP265" s="18">
        <v>500000.0</v>
      </c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>
        <f t="shared" si="3"/>
        <v>450000</v>
      </c>
      <c r="BD265" s="18">
        <f t="shared" si="4"/>
        <v>500000</v>
      </c>
      <c r="BE265" s="18">
        <f t="shared" si="5"/>
        <v>0</v>
      </c>
      <c r="BF265" s="18">
        <f t="shared" si="6"/>
        <v>950000</v>
      </c>
      <c r="BG265" s="15"/>
      <c r="BH265" s="15"/>
      <c r="BI265" s="15"/>
      <c r="BJ265" s="12" t="str">
        <f t="shared" ref="BJ265:BK265" si="268">H265</f>
        <v>D</v>
      </c>
      <c r="BK265" s="12" t="str">
        <f t="shared" si="268"/>
        <v>D-4</v>
      </c>
      <c r="BL265" s="32">
        <v>613000.0</v>
      </c>
    </row>
    <row r="266">
      <c r="A266" s="45">
        <f t="shared" si="2"/>
        <v>264</v>
      </c>
      <c r="B266" s="46" t="s">
        <v>3155</v>
      </c>
      <c r="C266" s="45">
        <v>2.024070661E9</v>
      </c>
      <c r="D266" s="46" t="s">
        <v>1384</v>
      </c>
      <c r="E266" s="46" t="s">
        <v>3156</v>
      </c>
      <c r="F266" s="46" t="s">
        <v>3157</v>
      </c>
      <c r="G266" s="47" t="s">
        <v>2406</v>
      </c>
      <c r="H266" s="45" t="s">
        <v>1392</v>
      </c>
      <c r="I266" s="48" t="s">
        <v>3125</v>
      </c>
      <c r="J266" s="47">
        <v>3.0</v>
      </c>
      <c r="K266" s="47" t="s">
        <v>2407</v>
      </c>
      <c r="L266" s="49" t="s">
        <v>3158</v>
      </c>
      <c r="M266" s="50">
        <v>600000.0</v>
      </c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>
        <v>450000.0</v>
      </c>
      <c r="Y266" s="50">
        <v>450000.0</v>
      </c>
      <c r="Z266" s="50">
        <v>450000.0</v>
      </c>
      <c r="AA266" s="50"/>
      <c r="AB266" s="50">
        <v>500000.0</v>
      </c>
      <c r="AC266" s="50">
        <v>450000.0</v>
      </c>
      <c r="AD266" s="50">
        <v>450000.0</v>
      </c>
      <c r="AE266" s="50">
        <v>450000.0</v>
      </c>
      <c r="AF266" s="50">
        <v>450000.0</v>
      </c>
      <c r="AG266" s="50">
        <v>450000.0</v>
      </c>
      <c r="AH266" s="50">
        <v>450000.0</v>
      </c>
      <c r="AI266" s="50">
        <v>450000.0</v>
      </c>
      <c r="AJ266" s="50">
        <v>450000.0</v>
      </c>
      <c r="AK266" s="50">
        <v>450000.0</v>
      </c>
      <c r="AL266" s="50">
        <v>450000.0</v>
      </c>
      <c r="AM266" s="50">
        <v>450000.0</v>
      </c>
      <c r="AN266" s="50">
        <v>450000.0</v>
      </c>
      <c r="AO266" s="50"/>
      <c r="AP266" s="50">
        <v>500000.0</v>
      </c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>
        <f t="shared" si="3"/>
        <v>6750000</v>
      </c>
      <c r="BD266" s="50">
        <f t="shared" si="4"/>
        <v>1600000</v>
      </c>
      <c r="BE266" s="50">
        <f t="shared" si="5"/>
        <v>0</v>
      </c>
      <c r="BF266" s="50">
        <f t="shared" si="6"/>
        <v>8350000</v>
      </c>
      <c r="BG266" s="46"/>
      <c r="BH266" s="46"/>
      <c r="BI266" s="46"/>
      <c r="BJ266" s="45" t="str">
        <f t="shared" ref="BJ266:BK266" si="269">H266</f>
        <v>D</v>
      </c>
      <c r="BK266" s="45" t="str">
        <f t="shared" si="269"/>
        <v>D-4</v>
      </c>
      <c r="BL266" s="51">
        <v>613000.0</v>
      </c>
    </row>
    <row r="267">
      <c r="A267" s="12">
        <f t="shared" si="2"/>
        <v>265</v>
      </c>
      <c r="B267" s="15" t="s">
        <v>3159</v>
      </c>
      <c r="C267" s="12">
        <v>2.024080769E9</v>
      </c>
      <c r="D267" s="15" t="s">
        <v>3160</v>
      </c>
      <c r="E267" s="15" t="s">
        <v>3161</v>
      </c>
      <c r="F267" s="15" t="s">
        <v>1435</v>
      </c>
      <c r="G267" s="16" t="s">
        <v>1897</v>
      </c>
      <c r="H267" s="12" t="s">
        <v>1392</v>
      </c>
      <c r="I267" s="14" t="s">
        <v>1393</v>
      </c>
      <c r="J267" s="16">
        <v>3.0</v>
      </c>
      <c r="K267" s="12" t="s">
        <v>1918</v>
      </c>
      <c r="L267" s="44" t="s">
        <v>3162</v>
      </c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>
        <v>500000.0</v>
      </c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>
        <v>500000.0</v>
      </c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>
        <f t="shared" si="3"/>
        <v>0</v>
      </c>
      <c r="BD267" s="18">
        <f t="shared" si="4"/>
        <v>1000000</v>
      </c>
      <c r="BE267" s="18">
        <f t="shared" si="5"/>
        <v>0</v>
      </c>
      <c r="BF267" s="18">
        <f t="shared" si="6"/>
        <v>1000000</v>
      </c>
      <c r="BG267" s="15"/>
      <c r="BH267" s="15"/>
      <c r="BI267" s="15"/>
      <c r="BJ267" s="12" t="str">
        <f t="shared" ref="BJ267:BK267" si="270">H267</f>
        <v>D</v>
      </c>
      <c r="BK267" s="12" t="str">
        <f t="shared" si="270"/>
        <v>D-7</v>
      </c>
      <c r="BL267" s="32">
        <v>613000.0</v>
      </c>
    </row>
    <row r="268">
      <c r="A268" s="45">
        <f t="shared" si="2"/>
        <v>266</v>
      </c>
      <c r="B268" s="46" t="s">
        <v>3163</v>
      </c>
      <c r="C268" s="45">
        <v>2.024070645E9</v>
      </c>
      <c r="D268" s="46" t="s">
        <v>3164</v>
      </c>
      <c r="E268" s="46" t="s">
        <v>3165</v>
      </c>
      <c r="F268" s="46" t="s">
        <v>3166</v>
      </c>
      <c r="G268" s="47" t="s">
        <v>2429</v>
      </c>
      <c r="H268" s="45" t="s">
        <v>1392</v>
      </c>
      <c r="I268" s="48" t="s">
        <v>3125</v>
      </c>
      <c r="J268" s="47">
        <v>3.0</v>
      </c>
      <c r="K268" s="47" t="s">
        <v>2396</v>
      </c>
      <c r="L268" s="49" t="s">
        <v>3167</v>
      </c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>
        <f t="shared" si="3"/>
        <v>0</v>
      </c>
      <c r="BD268" s="50">
        <f t="shared" si="4"/>
        <v>0</v>
      </c>
      <c r="BE268" s="50">
        <f t="shared" si="5"/>
        <v>0</v>
      </c>
      <c r="BF268" s="50">
        <f t="shared" si="6"/>
        <v>0</v>
      </c>
      <c r="BG268" s="46"/>
      <c r="BH268" s="46"/>
      <c r="BI268" s="46"/>
      <c r="BJ268" s="45" t="str">
        <f t="shared" ref="BJ268:BK268" si="271">H268</f>
        <v>D</v>
      </c>
      <c r="BK268" s="45" t="str">
        <f t="shared" si="271"/>
        <v>D-4</v>
      </c>
      <c r="BL268" s="51">
        <v>613000.0</v>
      </c>
    </row>
    <row r="269">
      <c r="A269" s="12">
        <f t="shared" si="2"/>
        <v>267</v>
      </c>
      <c r="B269" s="15" t="s">
        <v>3168</v>
      </c>
      <c r="C269" s="12">
        <v>2.024070599E9</v>
      </c>
      <c r="D269" s="15" t="s">
        <v>3169</v>
      </c>
      <c r="E269" s="15" t="s">
        <v>3170</v>
      </c>
      <c r="F269" s="15" t="s">
        <v>3171</v>
      </c>
      <c r="G269" s="16" t="s">
        <v>1924</v>
      </c>
      <c r="H269" s="12" t="s">
        <v>1392</v>
      </c>
      <c r="I269" s="14" t="s">
        <v>3125</v>
      </c>
      <c r="J269" s="16">
        <v>3.0</v>
      </c>
      <c r="K269" s="16" t="s">
        <v>2396</v>
      </c>
      <c r="L269" s="44" t="s">
        <v>3172</v>
      </c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>
        <f t="shared" si="3"/>
        <v>0</v>
      </c>
      <c r="BD269" s="18">
        <f t="shared" si="4"/>
        <v>0</v>
      </c>
      <c r="BE269" s="18">
        <f t="shared" si="5"/>
        <v>0</v>
      </c>
      <c r="BF269" s="18">
        <f t="shared" si="6"/>
        <v>0</v>
      </c>
      <c r="BG269" s="15"/>
      <c r="BH269" s="15"/>
      <c r="BI269" s="15"/>
      <c r="BJ269" s="12" t="str">
        <f t="shared" ref="BJ269:BK269" si="272">H269</f>
        <v>D</v>
      </c>
      <c r="BK269" s="12" t="str">
        <f t="shared" si="272"/>
        <v>D-4</v>
      </c>
      <c r="BL269" s="32">
        <v>613000.0</v>
      </c>
    </row>
    <row r="270">
      <c r="A270" s="45">
        <f t="shared" si="2"/>
        <v>268</v>
      </c>
      <c r="B270" s="46" t="s">
        <v>3173</v>
      </c>
      <c r="C270" s="45">
        <v>2.02407061E9</v>
      </c>
      <c r="D270" s="46" t="s">
        <v>3174</v>
      </c>
      <c r="E270" s="46" t="s">
        <v>3175</v>
      </c>
      <c r="F270" s="46" t="s">
        <v>3176</v>
      </c>
      <c r="G270" s="47" t="s">
        <v>1946</v>
      </c>
      <c r="H270" s="45" t="s">
        <v>1392</v>
      </c>
      <c r="I270" s="48" t="s">
        <v>3125</v>
      </c>
      <c r="J270" s="47">
        <v>3.0</v>
      </c>
      <c r="K270" s="45" t="s">
        <v>1918</v>
      </c>
      <c r="L270" s="49" t="s">
        <v>3177</v>
      </c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>
        <f t="shared" si="3"/>
        <v>0</v>
      </c>
      <c r="BD270" s="50">
        <f t="shared" si="4"/>
        <v>0</v>
      </c>
      <c r="BE270" s="50">
        <f t="shared" si="5"/>
        <v>0</v>
      </c>
      <c r="BF270" s="50">
        <f t="shared" si="6"/>
        <v>0</v>
      </c>
      <c r="BG270" s="46"/>
      <c r="BH270" s="46"/>
      <c r="BI270" s="46"/>
      <c r="BJ270" s="45" t="str">
        <f t="shared" ref="BJ270:BK270" si="273">H270</f>
        <v>D</v>
      </c>
      <c r="BK270" s="45" t="str">
        <f t="shared" si="273"/>
        <v>D-4</v>
      </c>
      <c r="BL270" s="51">
        <v>613000.0</v>
      </c>
    </row>
    <row r="271">
      <c r="A271" s="12">
        <f t="shared" si="2"/>
        <v>269</v>
      </c>
      <c r="B271" s="15" t="s">
        <v>3178</v>
      </c>
      <c r="C271" s="12">
        <v>2.024070523E9</v>
      </c>
      <c r="D271" s="15" t="s">
        <v>1014</v>
      </c>
      <c r="E271" s="15" t="s">
        <v>3179</v>
      </c>
      <c r="F271" s="15" t="s">
        <v>214</v>
      </c>
      <c r="G271" s="16" t="s">
        <v>1897</v>
      </c>
      <c r="H271" s="12" t="s">
        <v>1392</v>
      </c>
      <c r="I271" s="14" t="s">
        <v>3125</v>
      </c>
      <c r="J271" s="16">
        <v>3.0</v>
      </c>
      <c r="K271" s="12" t="s">
        <v>1918</v>
      </c>
      <c r="L271" s="44" t="s">
        <v>3180</v>
      </c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>
        <f t="shared" si="3"/>
        <v>0</v>
      </c>
      <c r="BD271" s="18">
        <f t="shared" si="4"/>
        <v>0</v>
      </c>
      <c r="BE271" s="18">
        <f t="shared" si="5"/>
        <v>0</v>
      </c>
      <c r="BF271" s="18">
        <f t="shared" si="6"/>
        <v>0</v>
      </c>
      <c r="BG271" s="15"/>
      <c r="BH271" s="15"/>
      <c r="BI271" s="15"/>
      <c r="BJ271" s="12" t="str">
        <f t="shared" ref="BJ271:BK271" si="274">H271</f>
        <v>D</v>
      </c>
      <c r="BK271" s="12" t="str">
        <f t="shared" si="274"/>
        <v>D-4</v>
      </c>
      <c r="BL271" s="32">
        <v>613000.0</v>
      </c>
    </row>
    <row r="272">
      <c r="A272" s="45">
        <f t="shared" si="2"/>
        <v>270</v>
      </c>
      <c r="B272" s="46" t="s">
        <v>3181</v>
      </c>
      <c r="C272" s="45">
        <v>2.024070659E9</v>
      </c>
      <c r="D272" s="46" t="s">
        <v>3182</v>
      </c>
      <c r="E272" s="46" t="s">
        <v>3183</v>
      </c>
      <c r="F272" s="46" t="s">
        <v>3184</v>
      </c>
      <c r="G272" s="47" t="s">
        <v>2429</v>
      </c>
      <c r="H272" s="45" t="s">
        <v>1392</v>
      </c>
      <c r="I272" s="48" t="s">
        <v>3125</v>
      </c>
      <c r="J272" s="47">
        <v>3.0</v>
      </c>
      <c r="K272" s="47" t="s">
        <v>2396</v>
      </c>
      <c r="L272" s="49" t="s">
        <v>3185</v>
      </c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>
        <v>450000.0</v>
      </c>
      <c r="AO272" s="50"/>
      <c r="AP272" s="50">
        <v>500000.0</v>
      </c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>
        <f t="shared" si="3"/>
        <v>450000</v>
      </c>
      <c r="BD272" s="50">
        <f t="shared" si="4"/>
        <v>500000</v>
      </c>
      <c r="BE272" s="50">
        <f t="shared" si="5"/>
        <v>0</v>
      </c>
      <c r="BF272" s="50">
        <f t="shared" si="6"/>
        <v>950000</v>
      </c>
      <c r="BG272" s="46"/>
      <c r="BH272" s="46"/>
      <c r="BI272" s="46"/>
      <c r="BJ272" s="45" t="str">
        <f t="shared" ref="BJ272:BK272" si="275">H272</f>
        <v>D</v>
      </c>
      <c r="BK272" s="45" t="str">
        <f t="shared" si="275"/>
        <v>D-4</v>
      </c>
      <c r="BL272" s="51">
        <v>613000.0</v>
      </c>
    </row>
    <row r="273">
      <c r="A273" s="12">
        <f t="shared" si="2"/>
        <v>271</v>
      </c>
      <c r="B273" s="15" t="s">
        <v>3186</v>
      </c>
      <c r="C273" s="12">
        <v>2.024070505E9</v>
      </c>
      <c r="D273" s="15" t="s">
        <v>3187</v>
      </c>
      <c r="E273" s="15" t="s">
        <v>3188</v>
      </c>
      <c r="F273" s="15" t="s">
        <v>3189</v>
      </c>
      <c r="G273" s="16" t="s">
        <v>1917</v>
      </c>
      <c r="H273" s="12" t="s">
        <v>1392</v>
      </c>
      <c r="I273" s="14" t="s">
        <v>1393</v>
      </c>
      <c r="J273" s="16">
        <v>3.0</v>
      </c>
      <c r="K273" s="16" t="s">
        <v>2407</v>
      </c>
      <c r="L273" s="44" t="s">
        <v>3190</v>
      </c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>
        <v>450000.0</v>
      </c>
      <c r="AJ273" s="18">
        <v>450000.0</v>
      </c>
      <c r="AK273" s="18">
        <v>450000.0</v>
      </c>
      <c r="AL273" s="18">
        <v>450000.0</v>
      </c>
      <c r="AM273" s="18">
        <v>450000.0</v>
      </c>
      <c r="AN273" s="18">
        <v>450000.0</v>
      </c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>
        <f t="shared" si="3"/>
        <v>2700000</v>
      </c>
      <c r="BD273" s="18">
        <f t="shared" si="4"/>
        <v>0</v>
      </c>
      <c r="BE273" s="18">
        <f t="shared" si="5"/>
        <v>0</v>
      </c>
      <c r="BF273" s="18">
        <f t="shared" si="6"/>
        <v>2700000</v>
      </c>
      <c r="BG273" s="15"/>
      <c r="BH273" s="15"/>
      <c r="BI273" s="15"/>
      <c r="BJ273" s="12" t="str">
        <f t="shared" ref="BJ273:BK273" si="276">H273</f>
        <v>D</v>
      </c>
      <c r="BK273" s="12" t="str">
        <f t="shared" si="276"/>
        <v>D-7</v>
      </c>
      <c r="BL273" s="32">
        <v>613000.0</v>
      </c>
    </row>
    <row r="274">
      <c r="A274" s="45">
        <f t="shared" si="2"/>
        <v>272</v>
      </c>
      <c r="B274" s="46" t="s">
        <v>3191</v>
      </c>
      <c r="C274" s="45">
        <v>2.024070594E9</v>
      </c>
      <c r="D274" s="46" t="s">
        <v>1764</v>
      </c>
      <c r="E274" s="46" t="s">
        <v>714</v>
      </c>
      <c r="F274" s="46" t="s">
        <v>2218</v>
      </c>
      <c r="G274" s="47" t="s">
        <v>1897</v>
      </c>
      <c r="H274" s="45" t="s">
        <v>1392</v>
      </c>
      <c r="I274" s="48" t="s">
        <v>3125</v>
      </c>
      <c r="J274" s="47">
        <v>3.0</v>
      </c>
      <c r="K274" s="47" t="s">
        <v>2413</v>
      </c>
      <c r="L274" s="49" t="s">
        <v>3192</v>
      </c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>
        <f t="shared" si="3"/>
        <v>0</v>
      </c>
      <c r="BD274" s="50">
        <f t="shared" si="4"/>
        <v>0</v>
      </c>
      <c r="BE274" s="50">
        <f t="shared" si="5"/>
        <v>0</v>
      </c>
      <c r="BF274" s="50">
        <f t="shared" si="6"/>
        <v>0</v>
      </c>
      <c r="BG274" s="46"/>
      <c r="BH274" s="46"/>
      <c r="BI274" s="46"/>
      <c r="BJ274" s="45" t="str">
        <f t="shared" ref="BJ274:BK274" si="277">H274</f>
        <v>D</v>
      </c>
      <c r="BK274" s="45" t="str">
        <f t="shared" si="277"/>
        <v>D-4</v>
      </c>
      <c r="BL274" s="51">
        <v>613000.0</v>
      </c>
    </row>
    <row r="275">
      <c r="A275" s="12">
        <f t="shared" si="2"/>
        <v>273</v>
      </c>
      <c r="B275" s="15" t="s">
        <v>3193</v>
      </c>
      <c r="C275" s="12">
        <v>2.024090774E9</v>
      </c>
      <c r="D275" s="15" t="s">
        <v>3194</v>
      </c>
      <c r="E275" s="15" t="s">
        <v>3195</v>
      </c>
      <c r="F275" s="15" t="s">
        <v>3196</v>
      </c>
      <c r="G275" s="16" t="s">
        <v>2429</v>
      </c>
      <c r="H275" s="14" t="s">
        <v>1392</v>
      </c>
      <c r="I275" s="14" t="s">
        <v>3125</v>
      </c>
      <c r="J275" s="16">
        <v>3.0</v>
      </c>
      <c r="K275" s="12" t="s">
        <v>1918</v>
      </c>
      <c r="L275" s="44" t="s">
        <v>3197</v>
      </c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>
        <v>500000.0</v>
      </c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>
        <v>500000.0</v>
      </c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>
        <f t="shared" si="3"/>
        <v>0</v>
      </c>
      <c r="BD275" s="18">
        <f t="shared" si="4"/>
        <v>1000000</v>
      </c>
      <c r="BE275" s="18">
        <f t="shared" si="5"/>
        <v>0</v>
      </c>
      <c r="BF275" s="18">
        <f t="shared" si="6"/>
        <v>1000000</v>
      </c>
      <c r="BG275" s="15"/>
      <c r="BH275" s="15"/>
      <c r="BI275" s="15"/>
      <c r="BJ275" s="12" t="str">
        <f t="shared" ref="BJ275:BK275" si="278">H275</f>
        <v>D</v>
      </c>
      <c r="BK275" s="12" t="str">
        <f t="shared" si="278"/>
        <v>D-4</v>
      </c>
      <c r="BL275" s="32">
        <v>613000.0</v>
      </c>
    </row>
    <row r="276">
      <c r="A276" s="45">
        <f t="shared" si="2"/>
        <v>274</v>
      </c>
      <c r="B276" s="46" t="s">
        <v>3198</v>
      </c>
      <c r="C276" s="45">
        <v>2.024070548E9</v>
      </c>
      <c r="D276" s="46" t="s">
        <v>3199</v>
      </c>
      <c r="E276" s="46" t="s">
        <v>3200</v>
      </c>
      <c r="F276" s="46" t="s">
        <v>3201</v>
      </c>
      <c r="G276" s="47" t="s">
        <v>1917</v>
      </c>
      <c r="H276" s="45" t="s">
        <v>1392</v>
      </c>
      <c r="I276" s="48" t="s">
        <v>1393</v>
      </c>
      <c r="J276" s="47">
        <v>3.0</v>
      </c>
      <c r="K276" s="45" t="s">
        <v>1918</v>
      </c>
      <c r="L276" s="49" t="s">
        <v>3202</v>
      </c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>
        <f t="shared" si="3"/>
        <v>0</v>
      </c>
      <c r="BD276" s="50">
        <f t="shared" si="4"/>
        <v>0</v>
      </c>
      <c r="BE276" s="50">
        <f t="shared" si="5"/>
        <v>0</v>
      </c>
      <c r="BF276" s="50">
        <f t="shared" si="6"/>
        <v>0</v>
      </c>
      <c r="BG276" s="46"/>
      <c r="BH276" s="46"/>
      <c r="BI276" s="46"/>
      <c r="BJ276" s="45" t="str">
        <f t="shared" ref="BJ276:BK276" si="279">H276</f>
        <v>D</v>
      </c>
      <c r="BK276" s="45" t="str">
        <f t="shared" si="279"/>
        <v>D-7</v>
      </c>
      <c r="BL276" s="51">
        <v>613000.0</v>
      </c>
    </row>
    <row r="277">
      <c r="A277" s="12">
        <f t="shared" si="2"/>
        <v>275</v>
      </c>
      <c r="B277" s="15" t="s">
        <v>3203</v>
      </c>
      <c r="C277" s="12">
        <v>2.02407037E9</v>
      </c>
      <c r="D277" s="15" t="s">
        <v>3204</v>
      </c>
      <c r="E277" s="15" t="s">
        <v>3205</v>
      </c>
      <c r="F277" s="15" t="s">
        <v>3206</v>
      </c>
      <c r="G277" s="16" t="s">
        <v>2783</v>
      </c>
      <c r="H277" s="12" t="s">
        <v>1392</v>
      </c>
      <c r="I277" s="14" t="s">
        <v>2743</v>
      </c>
      <c r="J277" s="16">
        <v>3.0</v>
      </c>
      <c r="K277" s="12" t="s">
        <v>1918</v>
      </c>
      <c r="L277" s="44" t="s">
        <v>3207</v>
      </c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>
        <v>450000.0</v>
      </c>
      <c r="AM277" s="18">
        <v>450000.0</v>
      </c>
      <c r="AN277" s="18">
        <v>450000.0</v>
      </c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>
        <f t="shared" si="3"/>
        <v>1350000</v>
      </c>
      <c r="BD277" s="18">
        <f t="shared" si="4"/>
        <v>0</v>
      </c>
      <c r="BE277" s="18">
        <f t="shared" si="5"/>
        <v>0</v>
      </c>
      <c r="BF277" s="18">
        <f t="shared" si="6"/>
        <v>1350000</v>
      </c>
      <c r="BG277" s="15"/>
      <c r="BH277" s="15"/>
      <c r="BI277" s="15"/>
      <c r="BJ277" s="12" t="str">
        <f t="shared" ref="BJ277:BK277" si="280">H277</f>
        <v>D</v>
      </c>
      <c r="BK277" s="12" t="str">
        <f t="shared" si="280"/>
        <v>D-6</v>
      </c>
      <c r="BL277" s="32">
        <v>613000.0</v>
      </c>
    </row>
    <row r="278">
      <c r="A278" s="45">
        <f t="shared" si="2"/>
        <v>276</v>
      </c>
      <c r="B278" s="46" t="s">
        <v>3208</v>
      </c>
      <c r="C278" s="45">
        <v>2.024070565E9</v>
      </c>
      <c r="D278" s="46" t="s">
        <v>3209</v>
      </c>
      <c r="E278" s="46" t="s">
        <v>3210</v>
      </c>
      <c r="F278" s="46" t="s">
        <v>3211</v>
      </c>
      <c r="G278" s="47" t="s">
        <v>2429</v>
      </c>
      <c r="H278" s="45" t="s">
        <v>1392</v>
      </c>
      <c r="I278" s="48" t="s">
        <v>3125</v>
      </c>
      <c r="J278" s="47">
        <v>3.0</v>
      </c>
      <c r="K278" s="47" t="s">
        <v>2413</v>
      </c>
      <c r="L278" s="49" t="s">
        <v>3212</v>
      </c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>
        <f t="shared" si="3"/>
        <v>0</v>
      </c>
      <c r="BD278" s="50">
        <f t="shared" si="4"/>
        <v>0</v>
      </c>
      <c r="BE278" s="50">
        <f t="shared" si="5"/>
        <v>0</v>
      </c>
      <c r="BF278" s="50">
        <f t="shared" si="6"/>
        <v>0</v>
      </c>
      <c r="BG278" s="46"/>
      <c r="BH278" s="46"/>
      <c r="BI278" s="46"/>
      <c r="BJ278" s="45" t="str">
        <f t="shared" ref="BJ278:BK278" si="281">H278</f>
        <v>D</v>
      </c>
      <c r="BK278" s="45" t="str">
        <f t="shared" si="281"/>
        <v>D-4</v>
      </c>
      <c r="BL278" s="51">
        <v>613000.0</v>
      </c>
    </row>
    <row r="279">
      <c r="A279" s="12">
        <f t="shared" si="2"/>
        <v>277</v>
      </c>
      <c r="B279" s="15" t="s">
        <v>3213</v>
      </c>
      <c r="C279" s="12">
        <v>2.024070336E9</v>
      </c>
      <c r="D279" s="15" t="s">
        <v>3214</v>
      </c>
      <c r="E279" s="15" t="s">
        <v>3215</v>
      </c>
      <c r="F279" s="15" t="s">
        <v>3216</v>
      </c>
      <c r="G279" s="16" t="s">
        <v>2736</v>
      </c>
      <c r="H279" s="12" t="s">
        <v>1392</v>
      </c>
      <c r="I279" s="14" t="s">
        <v>2743</v>
      </c>
      <c r="J279" s="16">
        <v>3.0</v>
      </c>
      <c r="K279" s="16" t="s">
        <v>2483</v>
      </c>
      <c r="L279" s="44" t="s">
        <v>3217</v>
      </c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>
        <f t="shared" si="3"/>
        <v>0</v>
      </c>
      <c r="BD279" s="18">
        <f t="shared" si="4"/>
        <v>0</v>
      </c>
      <c r="BE279" s="18">
        <f t="shared" si="5"/>
        <v>0</v>
      </c>
      <c r="BF279" s="18">
        <f t="shared" si="6"/>
        <v>0</v>
      </c>
      <c r="BG279" s="15"/>
      <c r="BH279" s="15"/>
      <c r="BI279" s="15"/>
      <c r="BJ279" s="12" t="str">
        <f t="shared" ref="BJ279:BK279" si="282">H279</f>
        <v>D</v>
      </c>
      <c r="BK279" s="12" t="str">
        <f t="shared" si="282"/>
        <v>D-6</v>
      </c>
      <c r="BL279" s="32">
        <v>613000.0</v>
      </c>
    </row>
    <row r="280">
      <c r="A280" s="45">
        <f t="shared" si="2"/>
        <v>278</v>
      </c>
      <c r="B280" s="46" t="s">
        <v>3218</v>
      </c>
      <c r="C280" s="45">
        <v>2.024070002E9</v>
      </c>
      <c r="D280" s="46" t="s">
        <v>3219</v>
      </c>
      <c r="E280" s="46" t="s">
        <v>861</v>
      </c>
      <c r="F280" s="46" t="s">
        <v>3220</v>
      </c>
      <c r="G280" s="47" t="s">
        <v>2748</v>
      </c>
      <c r="H280" s="45" t="s">
        <v>1392</v>
      </c>
      <c r="I280" s="48" t="s">
        <v>1393</v>
      </c>
      <c r="J280" s="47">
        <v>3.0</v>
      </c>
      <c r="K280" s="45" t="s">
        <v>1918</v>
      </c>
      <c r="L280" s="49" t="s">
        <v>3221</v>
      </c>
      <c r="M280" s="50">
        <v>600000.0</v>
      </c>
      <c r="N280" s="50"/>
      <c r="O280" s="50"/>
      <c r="P280" s="50"/>
      <c r="Q280" s="50">
        <v>450000.0</v>
      </c>
      <c r="R280" s="50">
        <v>450000.0</v>
      </c>
      <c r="S280" s="50">
        <v>450000.0</v>
      </c>
      <c r="T280" s="50">
        <v>450000.0</v>
      </c>
      <c r="U280" s="50">
        <v>450000.0</v>
      </c>
      <c r="V280" s="50">
        <v>450000.0</v>
      </c>
      <c r="W280" s="50">
        <v>450000.0</v>
      </c>
      <c r="X280" s="50">
        <v>450000.0</v>
      </c>
      <c r="Y280" s="50">
        <v>450000.0</v>
      </c>
      <c r="Z280" s="50">
        <v>450000.0</v>
      </c>
      <c r="AA280" s="50"/>
      <c r="AB280" s="50">
        <v>500000.0</v>
      </c>
      <c r="AC280" s="50">
        <v>450000.0</v>
      </c>
      <c r="AD280" s="50">
        <v>450000.0</v>
      </c>
      <c r="AE280" s="50">
        <v>450000.0</v>
      </c>
      <c r="AF280" s="50">
        <v>450000.0</v>
      </c>
      <c r="AG280" s="50">
        <v>450000.0</v>
      </c>
      <c r="AH280" s="50">
        <v>450000.0</v>
      </c>
      <c r="AI280" s="50">
        <v>450000.0</v>
      </c>
      <c r="AJ280" s="50">
        <v>450000.0</v>
      </c>
      <c r="AK280" s="50">
        <v>450000.0</v>
      </c>
      <c r="AL280" s="50">
        <v>450000.0</v>
      </c>
      <c r="AM280" s="50">
        <v>450000.0</v>
      </c>
      <c r="AN280" s="50">
        <v>450000.0</v>
      </c>
      <c r="AO280" s="50"/>
      <c r="AP280" s="50">
        <v>500000.0</v>
      </c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>
        <f t="shared" si="3"/>
        <v>9900000</v>
      </c>
      <c r="BD280" s="50">
        <f t="shared" si="4"/>
        <v>1600000</v>
      </c>
      <c r="BE280" s="50">
        <f t="shared" si="5"/>
        <v>0</v>
      </c>
      <c r="BF280" s="50">
        <f t="shared" si="6"/>
        <v>11500000</v>
      </c>
      <c r="BG280" s="46"/>
      <c r="BH280" s="46"/>
      <c r="BI280" s="46"/>
      <c r="BJ280" s="45" t="str">
        <f t="shared" ref="BJ280:BK280" si="283">H280</f>
        <v>D</v>
      </c>
      <c r="BK280" s="45" t="str">
        <f t="shared" si="283"/>
        <v>D-7</v>
      </c>
      <c r="BL280" s="51">
        <v>613000.0</v>
      </c>
    </row>
    <row r="281">
      <c r="A281" s="12">
        <f t="shared" si="2"/>
        <v>279</v>
      </c>
      <c r="B281" s="15" t="s">
        <v>3222</v>
      </c>
      <c r="C281" s="12">
        <v>2.024070069E9</v>
      </c>
      <c r="D281" s="13" t="s">
        <v>3223</v>
      </c>
      <c r="E281" s="13" t="s">
        <v>3224</v>
      </c>
      <c r="F281" s="15" t="s">
        <v>3225</v>
      </c>
      <c r="G281" s="16" t="s">
        <v>2237</v>
      </c>
      <c r="H281" s="12" t="s">
        <v>1392</v>
      </c>
      <c r="I281" s="14" t="s">
        <v>2743</v>
      </c>
      <c r="J281" s="16">
        <v>3.0</v>
      </c>
      <c r="K281" s="16" t="s">
        <v>2483</v>
      </c>
      <c r="L281" s="44" t="s">
        <v>3226</v>
      </c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>
        <f t="shared" si="3"/>
        <v>0</v>
      </c>
      <c r="BD281" s="18">
        <f t="shared" si="4"/>
        <v>0</v>
      </c>
      <c r="BE281" s="18">
        <f t="shared" si="5"/>
        <v>0</v>
      </c>
      <c r="BF281" s="18">
        <f t="shared" si="6"/>
        <v>0</v>
      </c>
      <c r="BG281" s="15"/>
      <c r="BH281" s="15"/>
      <c r="BI281" s="15"/>
      <c r="BJ281" s="12" t="str">
        <f t="shared" ref="BJ281:BK281" si="284">H281</f>
        <v>D</v>
      </c>
      <c r="BK281" s="12" t="str">
        <f t="shared" si="284"/>
        <v>D-6</v>
      </c>
      <c r="BL281" s="32">
        <v>613000.0</v>
      </c>
    </row>
    <row r="282">
      <c r="A282" s="45">
        <f t="shared" si="2"/>
        <v>280</v>
      </c>
      <c r="B282" s="46" t="s">
        <v>3227</v>
      </c>
      <c r="C282" s="45">
        <v>2.024070417E9</v>
      </c>
      <c r="D282" s="52" t="s">
        <v>3228</v>
      </c>
      <c r="E282" s="52" t="s">
        <v>3229</v>
      </c>
      <c r="F282" s="52" t="s">
        <v>3230</v>
      </c>
      <c r="G282" s="47" t="s">
        <v>2248</v>
      </c>
      <c r="H282" s="45" t="s">
        <v>1392</v>
      </c>
      <c r="I282" s="48" t="s">
        <v>2743</v>
      </c>
      <c r="J282" s="47">
        <v>3.0</v>
      </c>
      <c r="K282" s="47" t="s">
        <v>2528</v>
      </c>
      <c r="L282" s="49" t="s">
        <v>3231</v>
      </c>
      <c r="M282" s="50"/>
      <c r="N282" s="50"/>
      <c r="O282" s="50"/>
      <c r="P282" s="50"/>
      <c r="Q282" s="50"/>
      <c r="R282" s="50"/>
      <c r="S282" s="50"/>
      <c r="T282" s="50"/>
      <c r="U282" s="50">
        <v>450000.0</v>
      </c>
      <c r="V282" s="50">
        <v>450000.0</v>
      </c>
      <c r="W282" s="50">
        <v>450000.0</v>
      </c>
      <c r="X282" s="50">
        <v>450000.0</v>
      </c>
      <c r="Y282" s="50">
        <v>450000.0</v>
      </c>
      <c r="Z282" s="50">
        <v>450000.0</v>
      </c>
      <c r="AA282" s="50">
        <v>350000.0</v>
      </c>
      <c r="AB282" s="50"/>
      <c r="AC282" s="50">
        <v>450000.0</v>
      </c>
      <c r="AD282" s="50">
        <v>450000.0</v>
      </c>
      <c r="AE282" s="50">
        <v>450000.0</v>
      </c>
      <c r="AF282" s="50">
        <v>450000.0</v>
      </c>
      <c r="AG282" s="50">
        <v>450000.0</v>
      </c>
      <c r="AH282" s="50">
        <v>450000.0</v>
      </c>
      <c r="AI282" s="50">
        <v>450000.0</v>
      </c>
      <c r="AJ282" s="50">
        <v>450000.0</v>
      </c>
      <c r="AK282" s="50">
        <v>450000.0</v>
      </c>
      <c r="AL282" s="50">
        <v>450000.0</v>
      </c>
      <c r="AM282" s="50">
        <v>450000.0</v>
      </c>
      <c r="AN282" s="50">
        <v>450000.0</v>
      </c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>
        <f t="shared" si="3"/>
        <v>8100000</v>
      </c>
      <c r="BD282" s="50">
        <f t="shared" si="4"/>
        <v>0</v>
      </c>
      <c r="BE282" s="50">
        <f t="shared" si="5"/>
        <v>350000</v>
      </c>
      <c r="BF282" s="50">
        <f t="shared" si="6"/>
        <v>8450000</v>
      </c>
      <c r="BG282" s="46"/>
      <c r="BH282" s="46"/>
      <c r="BI282" s="46"/>
      <c r="BJ282" s="45" t="str">
        <f t="shared" ref="BJ282:BK282" si="285">H282</f>
        <v>D</v>
      </c>
      <c r="BK282" s="45" t="str">
        <f t="shared" si="285"/>
        <v>D-6</v>
      </c>
      <c r="BL282" s="51">
        <v>613000.0</v>
      </c>
    </row>
    <row r="283">
      <c r="A283" s="12">
        <f t="shared" si="2"/>
        <v>281</v>
      </c>
      <c r="B283" s="15" t="s">
        <v>3232</v>
      </c>
      <c r="C283" s="12">
        <v>2.024070004E9</v>
      </c>
      <c r="D283" s="15" t="s">
        <v>3233</v>
      </c>
      <c r="E283" s="15" t="s">
        <v>3234</v>
      </c>
      <c r="F283" s="15" t="s">
        <v>3235</v>
      </c>
      <c r="G283" s="16" t="s">
        <v>2748</v>
      </c>
      <c r="H283" s="12" t="s">
        <v>1392</v>
      </c>
      <c r="I283" s="14" t="s">
        <v>1393</v>
      </c>
      <c r="J283" s="16">
        <v>3.0</v>
      </c>
      <c r="K283" s="12" t="s">
        <v>1918</v>
      </c>
      <c r="L283" s="44" t="s">
        <v>3236</v>
      </c>
      <c r="M283" s="18">
        <v>600000.0</v>
      </c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>
        <v>500000.0</v>
      </c>
      <c r="AC283" s="18"/>
      <c r="AD283" s="18"/>
      <c r="AE283" s="18"/>
      <c r="AF283" s="18"/>
      <c r="AG283" s="18"/>
      <c r="AH283" s="18"/>
      <c r="AI283" s="18"/>
      <c r="AJ283" s="18" t="s">
        <v>0</v>
      </c>
      <c r="AK283" s="18"/>
      <c r="AL283" s="18"/>
      <c r="AM283" s="18"/>
      <c r="AN283" s="18"/>
      <c r="AO283" s="18"/>
      <c r="AP283" s="18">
        <v>500000.0</v>
      </c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>
        <f t="shared" si="3"/>
        <v>0</v>
      </c>
      <c r="BD283" s="18">
        <f t="shared" si="4"/>
        <v>1600000</v>
      </c>
      <c r="BE283" s="18">
        <f t="shared" si="5"/>
        <v>0</v>
      </c>
      <c r="BF283" s="18">
        <f t="shared" si="6"/>
        <v>1600000</v>
      </c>
      <c r="BG283" s="15"/>
      <c r="BH283" s="15"/>
      <c r="BI283" s="15"/>
      <c r="BJ283" s="12" t="str">
        <f t="shared" ref="BJ283:BK283" si="286">H283</f>
        <v>D</v>
      </c>
      <c r="BK283" s="12" t="str">
        <f t="shared" si="286"/>
        <v>D-7</v>
      </c>
      <c r="BL283" s="32">
        <v>613000.0</v>
      </c>
    </row>
    <row r="284">
      <c r="A284" s="45">
        <f t="shared" si="2"/>
        <v>282</v>
      </c>
      <c r="B284" s="46" t="s">
        <v>3237</v>
      </c>
      <c r="C284" s="45">
        <v>2.024070005E9</v>
      </c>
      <c r="D284" s="46" t="s">
        <v>3174</v>
      </c>
      <c r="E284" s="46" t="s">
        <v>3175</v>
      </c>
      <c r="F284" s="46" t="s">
        <v>3238</v>
      </c>
      <c r="G284" s="47" t="s">
        <v>2748</v>
      </c>
      <c r="H284" s="45" t="s">
        <v>1392</v>
      </c>
      <c r="I284" s="48" t="s">
        <v>1393</v>
      </c>
      <c r="J284" s="47">
        <v>3.0</v>
      </c>
      <c r="K284" s="45" t="s">
        <v>1918</v>
      </c>
      <c r="L284" s="49" t="s">
        <v>3177</v>
      </c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5" t="s">
        <v>0</v>
      </c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>
        <f t="shared" si="3"/>
        <v>0</v>
      </c>
      <c r="BD284" s="50">
        <f t="shared" si="4"/>
        <v>0</v>
      </c>
      <c r="BE284" s="50">
        <f t="shared" si="5"/>
        <v>0</v>
      </c>
      <c r="BF284" s="50">
        <f t="shared" si="6"/>
        <v>0</v>
      </c>
      <c r="BG284" s="46"/>
      <c r="BH284" s="46"/>
      <c r="BI284" s="46"/>
      <c r="BJ284" s="45" t="str">
        <f t="shared" ref="BJ284:BK284" si="287">H284</f>
        <v>D</v>
      </c>
      <c r="BK284" s="45" t="str">
        <f t="shared" si="287"/>
        <v>D-7</v>
      </c>
      <c r="BL284" s="51">
        <v>613000.0</v>
      </c>
    </row>
    <row r="285">
      <c r="A285" s="12">
        <f t="shared" si="2"/>
        <v>283</v>
      </c>
      <c r="B285" s="15" t="s">
        <v>3239</v>
      </c>
      <c r="C285" s="12">
        <v>2.024070374E9</v>
      </c>
      <c r="D285" s="15" t="s">
        <v>3240</v>
      </c>
      <c r="E285" s="15" t="s">
        <v>3241</v>
      </c>
      <c r="F285" s="15" t="s">
        <v>3242</v>
      </c>
      <c r="G285" s="16" t="s">
        <v>2260</v>
      </c>
      <c r="H285" s="12" t="s">
        <v>1392</v>
      </c>
      <c r="I285" s="14" t="s">
        <v>1393</v>
      </c>
      <c r="J285" s="16">
        <v>3.0</v>
      </c>
      <c r="K285" s="12" t="s">
        <v>1918</v>
      </c>
      <c r="L285" s="44" t="s">
        <v>3243</v>
      </c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>
        <v>450000.0</v>
      </c>
      <c r="Z285" s="18">
        <v>450000.0</v>
      </c>
      <c r="AA285" s="18">
        <v>350000.0</v>
      </c>
      <c r="AB285" s="18">
        <v>500000.0</v>
      </c>
      <c r="AC285" s="18">
        <v>450000.0</v>
      </c>
      <c r="AD285" s="18">
        <v>450000.0</v>
      </c>
      <c r="AE285" s="18">
        <v>450000.0</v>
      </c>
      <c r="AF285" s="18">
        <v>450000.0</v>
      </c>
      <c r="AG285" s="18">
        <v>450000.0</v>
      </c>
      <c r="AH285" s="18">
        <v>450000.0</v>
      </c>
      <c r="AI285" s="18">
        <v>450000.0</v>
      </c>
      <c r="AJ285" s="18">
        <v>450000.0</v>
      </c>
      <c r="AK285" s="18">
        <v>450000.0</v>
      </c>
      <c r="AL285" s="18">
        <v>450000.0</v>
      </c>
      <c r="AM285" s="18">
        <v>450000.0</v>
      </c>
      <c r="AN285" s="18">
        <v>450000.0</v>
      </c>
      <c r="AO285" s="18"/>
      <c r="AP285" s="18">
        <v>500000.0</v>
      </c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>
        <f t="shared" si="3"/>
        <v>6300000</v>
      </c>
      <c r="BD285" s="18">
        <f t="shared" si="4"/>
        <v>1000000</v>
      </c>
      <c r="BE285" s="18">
        <f t="shared" si="5"/>
        <v>350000</v>
      </c>
      <c r="BF285" s="18">
        <f t="shared" si="6"/>
        <v>7650000</v>
      </c>
      <c r="BG285" s="15"/>
      <c r="BH285" s="15"/>
      <c r="BI285" s="15"/>
      <c r="BJ285" s="12" t="str">
        <f t="shared" ref="BJ285:BK285" si="288">H285</f>
        <v>D</v>
      </c>
      <c r="BK285" s="12" t="str">
        <f t="shared" si="288"/>
        <v>D-7</v>
      </c>
      <c r="BL285" s="32">
        <v>613000.0</v>
      </c>
    </row>
    <row r="286">
      <c r="A286" s="45">
        <f t="shared" si="2"/>
        <v>284</v>
      </c>
      <c r="B286" s="46" t="s">
        <v>3244</v>
      </c>
      <c r="C286" s="45">
        <v>2.024070007E9</v>
      </c>
      <c r="D286" s="46" t="s">
        <v>3245</v>
      </c>
      <c r="E286" s="46" t="s">
        <v>3246</v>
      </c>
      <c r="F286" s="46" t="s">
        <v>3247</v>
      </c>
      <c r="G286" s="47" t="s">
        <v>2748</v>
      </c>
      <c r="H286" s="45" t="s">
        <v>1392</v>
      </c>
      <c r="I286" s="48" t="s">
        <v>1393</v>
      </c>
      <c r="J286" s="47">
        <v>3.0</v>
      </c>
      <c r="K286" s="45" t="s">
        <v>1918</v>
      </c>
      <c r="L286" s="49" t="s">
        <v>3248</v>
      </c>
      <c r="M286" s="50">
        <v>600000.0</v>
      </c>
      <c r="N286" s="50">
        <v>200000.0</v>
      </c>
      <c r="O286" s="50">
        <v>450000.0</v>
      </c>
      <c r="P286" s="50">
        <v>450000.0</v>
      </c>
      <c r="Q286" s="50">
        <v>450000.0</v>
      </c>
      <c r="R286" s="50">
        <v>450000.0</v>
      </c>
      <c r="S286" s="50">
        <v>450000.0</v>
      </c>
      <c r="T286" s="50">
        <v>450000.0</v>
      </c>
      <c r="U286" s="50">
        <v>450000.0</v>
      </c>
      <c r="V286" s="50">
        <v>450000.0</v>
      </c>
      <c r="W286" s="50">
        <v>450000.0</v>
      </c>
      <c r="X286" s="50">
        <v>450000.0</v>
      </c>
      <c r="Y286" s="50">
        <v>450000.0</v>
      </c>
      <c r="Z286" s="50">
        <v>450000.0</v>
      </c>
      <c r="AA286" s="50"/>
      <c r="AB286" s="50">
        <v>500000.0</v>
      </c>
      <c r="AC286" s="50">
        <v>450000.0</v>
      </c>
      <c r="AD286" s="50">
        <v>450000.0</v>
      </c>
      <c r="AE286" s="50">
        <v>450000.0</v>
      </c>
      <c r="AF286" s="50">
        <v>450000.0</v>
      </c>
      <c r="AG286" s="50">
        <v>450000.0</v>
      </c>
      <c r="AH286" s="50">
        <v>450000.0</v>
      </c>
      <c r="AI286" s="50">
        <v>450000.0</v>
      </c>
      <c r="AJ286" s="50">
        <v>450000.0</v>
      </c>
      <c r="AK286" s="50">
        <v>450000.0</v>
      </c>
      <c r="AL286" s="50">
        <v>450000.0</v>
      </c>
      <c r="AM286" s="50">
        <v>450000.0</v>
      </c>
      <c r="AN286" s="50">
        <v>450000.0</v>
      </c>
      <c r="AO286" s="50"/>
      <c r="AP286" s="50">
        <v>500000.0</v>
      </c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>
        <f t="shared" si="3"/>
        <v>10800000</v>
      </c>
      <c r="BD286" s="50">
        <f t="shared" si="4"/>
        <v>1600000</v>
      </c>
      <c r="BE286" s="50">
        <f t="shared" si="5"/>
        <v>0</v>
      </c>
      <c r="BF286" s="50">
        <f t="shared" si="6"/>
        <v>12400000</v>
      </c>
      <c r="BG286" s="46"/>
      <c r="BH286" s="46"/>
      <c r="BI286" s="46"/>
      <c r="BJ286" s="45" t="str">
        <f t="shared" ref="BJ286:BK286" si="289">H286</f>
        <v>D</v>
      </c>
      <c r="BK286" s="45" t="str">
        <f t="shared" si="289"/>
        <v>D-7</v>
      </c>
      <c r="BL286" s="51">
        <v>613000.0</v>
      </c>
    </row>
    <row r="287">
      <c r="A287" s="12">
        <f t="shared" si="2"/>
        <v>285</v>
      </c>
      <c r="B287" s="15" t="s">
        <v>3249</v>
      </c>
      <c r="C287" s="12">
        <v>2.024070155E9</v>
      </c>
      <c r="D287" s="15" t="s">
        <v>3250</v>
      </c>
      <c r="E287" s="15" t="s">
        <v>3251</v>
      </c>
      <c r="F287" s="15" t="s">
        <v>3252</v>
      </c>
      <c r="G287" s="16" t="s">
        <v>2266</v>
      </c>
      <c r="H287" s="12" t="s">
        <v>1392</v>
      </c>
      <c r="I287" s="14" t="s">
        <v>1393</v>
      </c>
      <c r="J287" s="16">
        <v>3.0</v>
      </c>
      <c r="K287" s="16" t="s">
        <v>2483</v>
      </c>
      <c r="L287" s="44" t="s">
        <v>3253</v>
      </c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>
        <f t="shared" si="3"/>
        <v>0</v>
      </c>
      <c r="BD287" s="18">
        <f t="shared" si="4"/>
        <v>0</v>
      </c>
      <c r="BE287" s="18">
        <f t="shared" si="5"/>
        <v>0</v>
      </c>
      <c r="BF287" s="18">
        <f t="shared" si="6"/>
        <v>0</v>
      </c>
      <c r="BG287" s="15"/>
      <c r="BH287" s="15"/>
      <c r="BI287" s="15"/>
      <c r="BJ287" s="12" t="str">
        <f t="shared" ref="BJ287:BK287" si="290">H287</f>
        <v>D</v>
      </c>
      <c r="BK287" s="12" t="str">
        <f t="shared" si="290"/>
        <v>D-7</v>
      </c>
      <c r="BL287" s="32">
        <v>613000.0</v>
      </c>
    </row>
    <row r="288">
      <c r="A288" s="45">
        <f t="shared" si="2"/>
        <v>286</v>
      </c>
      <c r="B288" s="46" t="s">
        <v>3254</v>
      </c>
      <c r="C288" s="45">
        <v>2.024070115E9</v>
      </c>
      <c r="D288" s="46" t="s">
        <v>3255</v>
      </c>
      <c r="E288" s="46" t="s">
        <v>3256</v>
      </c>
      <c r="F288" s="46" t="s">
        <v>3257</v>
      </c>
      <c r="G288" s="47" t="s">
        <v>2272</v>
      </c>
      <c r="H288" s="45" t="s">
        <v>1392</v>
      </c>
      <c r="I288" s="48" t="s">
        <v>2743</v>
      </c>
      <c r="J288" s="47">
        <v>3.0</v>
      </c>
      <c r="K288" s="47" t="s">
        <v>2483</v>
      </c>
      <c r="L288" s="49" t="s">
        <v>3258</v>
      </c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>
        <v>450000.0</v>
      </c>
      <c r="AK288" s="50">
        <v>450000.0</v>
      </c>
      <c r="AL288" s="50">
        <v>450000.0</v>
      </c>
      <c r="AM288" s="50">
        <v>450000.0</v>
      </c>
      <c r="AN288" s="50">
        <v>450000.0</v>
      </c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>
        <f t="shared" si="3"/>
        <v>2250000</v>
      </c>
      <c r="BD288" s="50">
        <f t="shared" si="4"/>
        <v>0</v>
      </c>
      <c r="BE288" s="50">
        <f t="shared" si="5"/>
        <v>0</v>
      </c>
      <c r="BF288" s="50">
        <f t="shared" si="6"/>
        <v>2250000</v>
      </c>
      <c r="BG288" s="46"/>
      <c r="BH288" s="46"/>
      <c r="BI288" s="46"/>
      <c r="BJ288" s="45" t="str">
        <f t="shared" ref="BJ288:BK288" si="291">H288</f>
        <v>D</v>
      </c>
      <c r="BK288" s="45" t="str">
        <f t="shared" si="291"/>
        <v>D-6</v>
      </c>
      <c r="BL288" s="51">
        <v>613000.0</v>
      </c>
    </row>
    <row r="289">
      <c r="A289" s="12">
        <f t="shared" si="2"/>
        <v>287</v>
      </c>
      <c r="B289" s="15" t="s">
        <v>3259</v>
      </c>
      <c r="C289" s="12">
        <v>2.024070375E9</v>
      </c>
      <c r="D289" s="15" t="s">
        <v>3260</v>
      </c>
      <c r="E289" s="15" t="s">
        <v>3261</v>
      </c>
      <c r="F289" s="15" t="s">
        <v>3262</v>
      </c>
      <c r="G289" s="16" t="s">
        <v>2362</v>
      </c>
      <c r="H289" s="12" t="s">
        <v>1392</v>
      </c>
      <c r="I289" s="14" t="s">
        <v>2743</v>
      </c>
      <c r="J289" s="16">
        <v>3.0</v>
      </c>
      <c r="K289" s="16" t="s">
        <v>2483</v>
      </c>
      <c r="L289" s="44" t="s">
        <v>3263</v>
      </c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>
        <f t="shared" si="3"/>
        <v>0</v>
      </c>
      <c r="BD289" s="18">
        <f t="shared" si="4"/>
        <v>0</v>
      </c>
      <c r="BE289" s="18">
        <f t="shared" si="5"/>
        <v>0</v>
      </c>
      <c r="BF289" s="18">
        <f t="shared" si="6"/>
        <v>0</v>
      </c>
      <c r="BG289" s="15"/>
      <c r="BH289" s="15"/>
      <c r="BI289" s="15"/>
      <c r="BJ289" s="12" t="str">
        <f t="shared" ref="BJ289:BK289" si="292">H289</f>
        <v>D</v>
      </c>
      <c r="BK289" s="12" t="str">
        <f t="shared" si="292"/>
        <v>D-6</v>
      </c>
      <c r="BL289" s="32">
        <v>613000.0</v>
      </c>
    </row>
    <row r="290">
      <c r="A290" s="45">
        <f t="shared" si="2"/>
        <v>288</v>
      </c>
      <c r="B290" s="46" t="s">
        <v>3264</v>
      </c>
      <c r="C290" s="45">
        <v>2.024070011E9</v>
      </c>
      <c r="D290" s="46" t="s">
        <v>3265</v>
      </c>
      <c r="E290" s="46" t="s">
        <v>3266</v>
      </c>
      <c r="F290" s="46" t="s">
        <v>3267</v>
      </c>
      <c r="G290" s="47" t="s">
        <v>2748</v>
      </c>
      <c r="H290" s="45" t="s">
        <v>1392</v>
      </c>
      <c r="I290" s="48" t="s">
        <v>1393</v>
      </c>
      <c r="J290" s="47">
        <v>3.0</v>
      </c>
      <c r="K290" s="45" t="s">
        <v>1918</v>
      </c>
      <c r="L290" s="49" t="s">
        <v>3268</v>
      </c>
      <c r="M290" s="50"/>
      <c r="N290" s="50">
        <v>200000.0</v>
      </c>
      <c r="O290" s="50">
        <v>450000.0</v>
      </c>
      <c r="P290" s="50">
        <v>450000.0</v>
      </c>
      <c r="Q290" s="50">
        <v>450000.0</v>
      </c>
      <c r="R290" s="50">
        <v>450000.0</v>
      </c>
      <c r="S290" s="50">
        <v>450000.0</v>
      </c>
      <c r="T290" s="50">
        <v>450000.0</v>
      </c>
      <c r="U290" s="50">
        <v>450000.0</v>
      </c>
      <c r="V290" s="50">
        <v>450000.0</v>
      </c>
      <c r="W290" s="50">
        <v>450000.0</v>
      </c>
      <c r="X290" s="50">
        <v>450000.0</v>
      </c>
      <c r="Y290" s="50">
        <v>450000.0</v>
      </c>
      <c r="Z290" s="50">
        <v>450000.0</v>
      </c>
      <c r="AA290" s="50">
        <v>350000.0</v>
      </c>
      <c r="AB290" s="50"/>
      <c r="AC290" s="50">
        <v>450000.0</v>
      </c>
      <c r="AD290" s="50">
        <v>450000.0</v>
      </c>
      <c r="AE290" s="50">
        <v>450000.0</v>
      </c>
      <c r="AF290" s="50">
        <v>450000.0</v>
      </c>
      <c r="AG290" s="50">
        <v>450000.0</v>
      </c>
      <c r="AH290" s="50">
        <v>450000.0</v>
      </c>
      <c r="AI290" s="50">
        <v>450000.0</v>
      </c>
      <c r="AJ290" s="50">
        <v>450000.0</v>
      </c>
      <c r="AK290" s="50">
        <v>450000.0</v>
      </c>
      <c r="AL290" s="50">
        <v>450000.0</v>
      </c>
      <c r="AM290" s="50">
        <v>450000.0</v>
      </c>
      <c r="AN290" s="50">
        <v>450000.0</v>
      </c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>
        <f t="shared" si="3"/>
        <v>10800000</v>
      </c>
      <c r="BD290" s="50">
        <f t="shared" si="4"/>
        <v>0</v>
      </c>
      <c r="BE290" s="50">
        <f t="shared" si="5"/>
        <v>350000</v>
      </c>
      <c r="BF290" s="50">
        <f t="shared" si="6"/>
        <v>11150000</v>
      </c>
      <c r="BG290" s="46"/>
      <c r="BH290" s="46"/>
      <c r="BI290" s="46"/>
      <c r="BJ290" s="45" t="str">
        <f t="shared" ref="BJ290:BK290" si="293">H290</f>
        <v>D</v>
      </c>
      <c r="BK290" s="45" t="str">
        <f t="shared" si="293"/>
        <v>D-7</v>
      </c>
      <c r="BL290" s="51">
        <v>613000.0</v>
      </c>
    </row>
    <row r="291">
      <c r="A291" s="12">
        <f t="shared" si="2"/>
        <v>289</v>
      </c>
      <c r="B291" s="15" t="s">
        <v>3269</v>
      </c>
      <c r="C291" s="12">
        <v>2.024070553E9</v>
      </c>
      <c r="D291" s="15" t="s">
        <v>3270</v>
      </c>
      <c r="E291" s="15" t="s">
        <v>3271</v>
      </c>
      <c r="F291" s="15" t="s">
        <v>3272</v>
      </c>
      <c r="G291" s="16" t="s">
        <v>1924</v>
      </c>
      <c r="H291" s="12" t="s">
        <v>1392</v>
      </c>
      <c r="I291" s="14" t="s">
        <v>3125</v>
      </c>
      <c r="J291" s="16">
        <v>3.0</v>
      </c>
      <c r="K291" s="16" t="s">
        <v>2413</v>
      </c>
      <c r="L291" s="44" t="s">
        <v>3273</v>
      </c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>
        <f t="shared" si="3"/>
        <v>0</v>
      </c>
      <c r="BD291" s="18">
        <f t="shared" si="4"/>
        <v>0</v>
      </c>
      <c r="BE291" s="18">
        <f t="shared" si="5"/>
        <v>0</v>
      </c>
      <c r="BF291" s="18">
        <f t="shared" si="6"/>
        <v>0</v>
      </c>
      <c r="BG291" s="15"/>
      <c r="BH291" s="15"/>
      <c r="BI291" s="15"/>
      <c r="BJ291" s="12" t="str">
        <f t="shared" ref="BJ291:BK291" si="294">H291</f>
        <v>D</v>
      </c>
      <c r="BK291" s="12" t="str">
        <f t="shared" si="294"/>
        <v>D-4</v>
      </c>
      <c r="BL291" s="32">
        <v>613000.0</v>
      </c>
    </row>
    <row r="292">
      <c r="A292" s="45">
        <f t="shared" si="2"/>
        <v>290</v>
      </c>
      <c r="B292" s="46" t="s">
        <v>3274</v>
      </c>
      <c r="C292" s="45">
        <v>2.024070426E9</v>
      </c>
      <c r="D292" s="46" t="s">
        <v>3275</v>
      </c>
      <c r="E292" s="46" t="s">
        <v>3276</v>
      </c>
      <c r="F292" s="46" t="s">
        <v>3277</v>
      </c>
      <c r="G292" s="47" t="s">
        <v>2248</v>
      </c>
      <c r="H292" s="45" t="s">
        <v>1392</v>
      </c>
      <c r="I292" s="48" t="s">
        <v>1393</v>
      </c>
      <c r="J292" s="47">
        <v>3.0</v>
      </c>
      <c r="K292" s="47" t="s">
        <v>2528</v>
      </c>
      <c r="L292" s="49" t="s">
        <v>3278</v>
      </c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>
        <v>500000.0</v>
      </c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>
        <v>500000.0</v>
      </c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>
        <f t="shared" si="3"/>
        <v>0</v>
      </c>
      <c r="BD292" s="50">
        <f t="shared" si="4"/>
        <v>1000000</v>
      </c>
      <c r="BE292" s="50">
        <f t="shared" si="5"/>
        <v>0</v>
      </c>
      <c r="BF292" s="50">
        <f t="shared" si="6"/>
        <v>1000000</v>
      </c>
      <c r="BG292" s="46"/>
      <c r="BH292" s="46"/>
      <c r="BI292" s="46"/>
      <c r="BJ292" s="45" t="str">
        <f t="shared" ref="BJ292:BK292" si="295">H292</f>
        <v>D</v>
      </c>
      <c r="BK292" s="45" t="str">
        <f t="shared" si="295"/>
        <v>D-7</v>
      </c>
      <c r="BL292" s="51">
        <v>613000.0</v>
      </c>
    </row>
    <row r="293">
      <c r="A293" s="12">
        <f t="shared" si="2"/>
        <v>291</v>
      </c>
      <c r="B293" s="15" t="s">
        <v>3279</v>
      </c>
      <c r="C293" s="12">
        <v>2.024070427E9</v>
      </c>
      <c r="D293" s="15" t="s">
        <v>1514</v>
      </c>
      <c r="E293" s="15" t="s">
        <v>3280</v>
      </c>
      <c r="F293" s="15" t="s">
        <v>3281</v>
      </c>
      <c r="G293" s="16" t="s">
        <v>2248</v>
      </c>
      <c r="H293" s="12" t="s">
        <v>1392</v>
      </c>
      <c r="I293" s="14" t="s">
        <v>1393</v>
      </c>
      <c r="J293" s="16">
        <v>3.0</v>
      </c>
      <c r="K293" s="16" t="s">
        <v>2528</v>
      </c>
      <c r="L293" s="44" t="s">
        <v>1517</v>
      </c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>
        <v>450000.0</v>
      </c>
      <c r="AI293" s="18">
        <v>450000.0</v>
      </c>
      <c r="AJ293" s="18">
        <v>450000.0</v>
      </c>
      <c r="AK293" s="18">
        <v>450000.0</v>
      </c>
      <c r="AL293" s="18">
        <v>450000.0</v>
      </c>
      <c r="AM293" s="18">
        <v>450000.0</v>
      </c>
      <c r="AN293" s="18">
        <v>450000.0</v>
      </c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>
        <f t="shared" si="3"/>
        <v>3150000</v>
      </c>
      <c r="BD293" s="18">
        <f t="shared" si="4"/>
        <v>0</v>
      </c>
      <c r="BE293" s="18">
        <f t="shared" si="5"/>
        <v>0</v>
      </c>
      <c r="BF293" s="18">
        <f t="shared" si="6"/>
        <v>3150000</v>
      </c>
      <c r="BG293" s="15"/>
      <c r="BH293" s="15"/>
      <c r="BI293" s="15"/>
      <c r="BJ293" s="12" t="str">
        <f t="shared" ref="BJ293:BK293" si="296">H293</f>
        <v>D</v>
      </c>
      <c r="BK293" s="12" t="str">
        <f t="shared" si="296"/>
        <v>D-7</v>
      </c>
      <c r="BL293" s="32">
        <v>613000.0</v>
      </c>
    </row>
    <row r="294">
      <c r="A294" s="45">
        <f t="shared" si="2"/>
        <v>292</v>
      </c>
      <c r="B294" s="46" t="s">
        <v>3282</v>
      </c>
      <c r="C294" s="45">
        <v>2.024070016E9</v>
      </c>
      <c r="D294" s="46" t="s">
        <v>3283</v>
      </c>
      <c r="E294" s="46" t="s">
        <v>3284</v>
      </c>
      <c r="F294" s="46" t="s">
        <v>3285</v>
      </c>
      <c r="G294" s="47" t="s">
        <v>2748</v>
      </c>
      <c r="H294" s="45" t="s">
        <v>1392</v>
      </c>
      <c r="I294" s="48" t="s">
        <v>1393</v>
      </c>
      <c r="J294" s="47">
        <v>3.0</v>
      </c>
      <c r="K294" s="45" t="s">
        <v>1918</v>
      </c>
      <c r="L294" s="49" t="s">
        <v>3286</v>
      </c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>
        <f t="shared" si="3"/>
        <v>0</v>
      </c>
      <c r="BD294" s="50">
        <f t="shared" si="4"/>
        <v>0</v>
      </c>
      <c r="BE294" s="50">
        <f t="shared" si="5"/>
        <v>0</v>
      </c>
      <c r="BF294" s="50">
        <f t="shared" si="6"/>
        <v>0</v>
      </c>
      <c r="BG294" s="46"/>
      <c r="BH294" s="46"/>
      <c r="BI294" s="46"/>
      <c r="BJ294" s="45" t="str">
        <f t="shared" ref="BJ294:BK294" si="297">H294</f>
        <v>D</v>
      </c>
      <c r="BK294" s="45" t="str">
        <f t="shared" si="297"/>
        <v>D-7</v>
      </c>
      <c r="BL294" s="51">
        <v>613000.0</v>
      </c>
    </row>
    <row r="295">
      <c r="A295" s="12">
        <f t="shared" si="2"/>
        <v>293</v>
      </c>
      <c r="B295" s="15" t="s">
        <v>3287</v>
      </c>
      <c r="C295" s="12">
        <v>2.024070381E9</v>
      </c>
      <c r="D295" s="15" t="s">
        <v>3288</v>
      </c>
      <c r="E295" s="15" t="s">
        <v>3289</v>
      </c>
      <c r="F295" s="15" t="s">
        <v>3290</v>
      </c>
      <c r="G295" s="16" t="s">
        <v>2783</v>
      </c>
      <c r="H295" s="12" t="s">
        <v>1392</v>
      </c>
      <c r="I295" s="14" t="s">
        <v>2743</v>
      </c>
      <c r="J295" s="16">
        <v>3.0</v>
      </c>
      <c r="K295" s="16" t="s">
        <v>2483</v>
      </c>
      <c r="L295" s="44" t="s">
        <v>3291</v>
      </c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>
        <f t="shared" si="3"/>
        <v>0</v>
      </c>
      <c r="BD295" s="18">
        <f t="shared" si="4"/>
        <v>0</v>
      </c>
      <c r="BE295" s="18">
        <f t="shared" si="5"/>
        <v>0</v>
      </c>
      <c r="BF295" s="18">
        <f t="shared" si="6"/>
        <v>0</v>
      </c>
      <c r="BG295" s="15"/>
      <c r="BH295" s="15"/>
      <c r="BI295" s="15"/>
      <c r="BJ295" s="12" t="str">
        <f t="shared" ref="BJ295:BK295" si="298">H295</f>
        <v>D</v>
      </c>
      <c r="BK295" s="12" t="str">
        <f t="shared" si="298"/>
        <v>D-6</v>
      </c>
      <c r="BL295" s="32">
        <v>613000.0</v>
      </c>
    </row>
    <row r="296">
      <c r="A296" s="45">
        <f t="shared" si="2"/>
        <v>294</v>
      </c>
      <c r="B296" s="46" t="s">
        <v>3292</v>
      </c>
      <c r="C296" s="45">
        <v>2.02407002E9</v>
      </c>
      <c r="D296" s="46" t="s">
        <v>3293</v>
      </c>
      <c r="E296" s="46" t="s">
        <v>3294</v>
      </c>
      <c r="F296" s="46" t="s">
        <v>3295</v>
      </c>
      <c r="G296" s="47" t="s">
        <v>2748</v>
      </c>
      <c r="H296" s="45" t="s">
        <v>1392</v>
      </c>
      <c r="I296" s="48" t="s">
        <v>1393</v>
      </c>
      <c r="J296" s="47">
        <v>3.0</v>
      </c>
      <c r="K296" s="45" t="s">
        <v>1918</v>
      </c>
      <c r="L296" s="49" t="s">
        <v>3296</v>
      </c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>
        <v>500000.0</v>
      </c>
      <c r="AC296" s="50"/>
      <c r="AD296" s="50"/>
      <c r="AE296" s="50"/>
      <c r="AF296" s="50"/>
      <c r="AG296" s="50"/>
      <c r="AH296" s="50"/>
      <c r="AI296" s="50"/>
      <c r="AJ296" s="50"/>
      <c r="AK296" s="50"/>
      <c r="AL296" s="50">
        <v>450000.0</v>
      </c>
      <c r="AM296" s="50">
        <v>450000.0</v>
      </c>
      <c r="AN296" s="50">
        <v>450000.0</v>
      </c>
      <c r="AO296" s="50"/>
      <c r="AP296" s="50">
        <v>500000.0</v>
      </c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>
        <f t="shared" si="3"/>
        <v>1350000</v>
      </c>
      <c r="BD296" s="50">
        <f t="shared" si="4"/>
        <v>1000000</v>
      </c>
      <c r="BE296" s="50">
        <f t="shared" si="5"/>
        <v>0</v>
      </c>
      <c r="BF296" s="50">
        <f t="shared" si="6"/>
        <v>2350000</v>
      </c>
      <c r="BG296" s="46"/>
      <c r="BH296" s="46"/>
      <c r="BI296" s="46"/>
      <c r="BJ296" s="45" t="str">
        <f t="shared" ref="BJ296:BK296" si="299">H296</f>
        <v>D</v>
      </c>
      <c r="BK296" s="45" t="str">
        <f t="shared" si="299"/>
        <v>D-7</v>
      </c>
      <c r="BL296" s="51">
        <v>613000.0</v>
      </c>
    </row>
    <row r="297">
      <c r="A297" s="12">
        <f t="shared" si="2"/>
        <v>295</v>
      </c>
      <c r="B297" s="15" t="s">
        <v>3297</v>
      </c>
      <c r="C297" s="12">
        <v>2.024070531E9</v>
      </c>
      <c r="D297" s="15" t="s">
        <v>3298</v>
      </c>
      <c r="E297" s="15" t="s">
        <v>3299</v>
      </c>
      <c r="F297" s="15" t="s">
        <v>1841</v>
      </c>
      <c r="G297" s="16" t="s">
        <v>1924</v>
      </c>
      <c r="H297" s="12" t="s">
        <v>1392</v>
      </c>
      <c r="I297" s="14" t="s">
        <v>3125</v>
      </c>
      <c r="J297" s="16">
        <v>3.0</v>
      </c>
      <c r="K297" s="16" t="s">
        <v>2413</v>
      </c>
      <c r="L297" s="44" t="s">
        <v>3300</v>
      </c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>
        <f t="shared" si="3"/>
        <v>0</v>
      </c>
      <c r="BD297" s="18">
        <f t="shared" si="4"/>
        <v>0</v>
      </c>
      <c r="BE297" s="18">
        <f t="shared" si="5"/>
        <v>0</v>
      </c>
      <c r="BF297" s="18">
        <f t="shared" si="6"/>
        <v>0</v>
      </c>
      <c r="BG297" s="15"/>
      <c r="BH297" s="15"/>
      <c r="BI297" s="15"/>
      <c r="BJ297" s="12" t="str">
        <f t="shared" ref="BJ297:BK297" si="300">H297</f>
        <v>D</v>
      </c>
      <c r="BK297" s="12" t="str">
        <f t="shared" si="300"/>
        <v>D-4</v>
      </c>
      <c r="BL297" s="32">
        <v>613000.0</v>
      </c>
    </row>
    <row r="298">
      <c r="A298" s="45">
        <f t="shared" si="2"/>
        <v>296</v>
      </c>
      <c r="B298" s="46" t="s">
        <v>3301</v>
      </c>
      <c r="C298" s="45">
        <v>2.024070432E9</v>
      </c>
      <c r="D298" s="46" t="s">
        <v>3302</v>
      </c>
      <c r="E298" s="46" t="s">
        <v>3303</v>
      </c>
      <c r="F298" s="46" t="s">
        <v>3304</v>
      </c>
      <c r="G298" s="47" t="s">
        <v>2248</v>
      </c>
      <c r="H298" s="45" t="s">
        <v>1392</v>
      </c>
      <c r="I298" s="48" t="s">
        <v>2743</v>
      </c>
      <c r="J298" s="47">
        <v>3.0</v>
      </c>
      <c r="K298" s="47" t="s">
        <v>2528</v>
      </c>
      <c r="L298" s="49" t="s">
        <v>3305</v>
      </c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>
        <v>500000.0</v>
      </c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>
        <f t="shared" si="3"/>
        <v>0</v>
      </c>
      <c r="BD298" s="50">
        <f t="shared" si="4"/>
        <v>500000</v>
      </c>
      <c r="BE298" s="50">
        <f t="shared" si="5"/>
        <v>0</v>
      </c>
      <c r="BF298" s="50">
        <f t="shared" si="6"/>
        <v>500000</v>
      </c>
      <c r="BG298" s="46"/>
      <c r="BH298" s="46"/>
      <c r="BI298" s="46"/>
      <c r="BJ298" s="45" t="str">
        <f t="shared" ref="BJ298:BK298" si="301">H298</f>
        <v>D</v>
      </c>
      <c r="BK298" s="45" t="str">
        <f t="shared" si="301"/>
        <v>D-6</v>
      </c>
      <c r="BL298" s="51">
        <v>613000.0</v>
      </c>
    </row>
    <row r="299">
      <c r="A299" s="12">
        <f t="shared" si="2"/>
        <v>297</v>
      </c>
      <c r="B299" s="15" t="s">
        <v>3306</v>
      </c>
      <c r="C299" s="12">
        <v>2.024070433E9</v>
      </c>
      <c r="D299" s="15" t="s">
        <v>3307</v>
      </c>
      <c r="E299" s="15" t="s">
        <v>3308</v>
      </c>
      <c r="F299" s="15" t="s">
        <v>3309</v>
      </c>
      <c r="G299" s="16" t="s">
        <v>2248</v>
      </c>
      <c r="H299" s="12" t="s">
        <v>1392</v>
      </c>
      <c r="I299" s="14" t="s">
        <v>1393</v>
      </c>
      <c r="J299" s="16">
        <v>3.0</v>
      </c>
      <c r="K299" s="16" t="s">
        <v>2528</v>
      </c>
      <c r="L299" s="44" t="s">
        <v>3310</v>
      </c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>
        <f t="shared" si="3"/>
        <v>0</v>
      </c>
      <c r="BD299" s="18">
        <f t="shared" si="4"/>
        <v>0</v>
      </c>
      <c r="BE299" s="18">
        <f t="shared" si="5"/>
        <v>0</v>
      </c>
      <c r="BF299" s="18">
        <f t="shared" si="6"/>
        <v>0</v>
      </c>
      <c r="BG299" s="15"/>
      <c r="BH299" s="15"/>
      <c r="BI299" s="15"/>
      <c r="BJ299" s="12" t="str">
        <f t="shared" ref="BJ299:BK299" si="302">H299</f>
        <v>D</v>
      </c>
      <c r="BK299" s="12" t="str">
        <f t="shared" si="302"/>
        <v>D-7</v>
      </c>
      <c r="BL299" s="32">
        <v>613000.0</v>
      </c>
    </row>
    <row r="300">
      <c r="A300" s="45">
        <f t="shared" si="2"/>
        <v>298</v>
      </c>
      <c r="B300" s="46" t="s">
        <v>3311</v>
      </c>
      <c r="C300" s="45">
        <v>2.024070358E9</v>
      </c>
      <c r="D300" s="46" t="s">
        <v>3312</v>
      </c>
      <c r="E300" s="46" t="s">
        <v>1444</v>
      </c>
      <c r="F300" s="46" t="s">
        <v>3313</v>
      </c>
      <c r="G300" s="47" t="s">
        <v>2736</v>
      </c>
      <c r="H300" s="45" t="s">
        <v>1392</v>
      </c>
      <c r="I300" s="48" t="s">
        <v>2743</v>
      </c>
      <c r="J300" s="47">
        <v>3.0</v>
      </c>
      <c r="K300" s="47" t="s">
        <v>2483</v>
      </c>
      <c r="L300" s="49" t="s">
        <v>3314</v>
      </c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>
        <f t="shared" si="3"/>
        <v>0</v>
      </c>
      <c r="BD300" s="50">
        <f t="shared" si="4"/>
        <v>0</v>
      </c>
      <c r="BE300" s="50">
        <f t="shared" si="5"/>
        <v>0</v>
      </c>
      <c r="BF300" s="50">
        <f t="shared" si="6"/>
        <v>0</v>
      </c>
      <c r="BG300" s="46"/>
      <c r="BH300" s="46"/>
      <c r="BI300" s="46"/>
      <c r="BJ300" s="45" t="str">
        <f t="shared" ref="BJ300:BK300" si="303">H300</f>
        <v>D</v>
      </c>
      <c r="BK300" s="45" t="str">
        <f t="shared" si="303"/>
        <v>D-6</v>
      </c>
      <c r="BL300" s="51">
        <v>613000.0</v>
      </c>
    </row>
    <row r="301">
      <c r="A301" s="12">
        <f t="shared" si="2"/>
        <v>299</v>
      </c>
      <c r="B301" s="15" t="s">
        <v>3315</v>
      </c>
      <c r="C301" s="12">
        <v>2.024070359E9</v>
      </c>
      <c r="D301" s="15" t="s">
        <v>3316</v>
      </c>
      <c r="E301" s="15" t="s">
        <v>3317</v>
      </c>
      <c r="F301" s="15" t="s">
        <v>3318</v>
      </c>
      <c r="G301" s="16" t="s">
        <v>2736</v>
      </c>
      <c r="H301" s="12" t="s">
        <v>1392</v>
      </c>
      <c r="I301" s="14" t="s">
        <v>2743</v>
      </c>
      <c r="J301" s="16">
        <v>3.0</v>
      </c>
      <c r="K301" s="16" t="s">
        <v>2483</v>
      </c>
      <c r="L301" s="44" t="s">
        <v>3319</v>
      </c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>
        <f t="shared" si="3"/>
        <v>0</v>
      </c>
      <c r="BD301" s="18">
        <f t="shared" si="4"/>
        <v>0</v>
      </c>
      <c r="BE301" s="18">
        <f t="shared" si="5"/>
        <v>0</v>
      </c>
      <c r="BF301" s="18">
        <f t="shared" si="6"/>
        <v>0</v>
      </c>
      <c r="BG301" s="15"/>
      <c r="BH301" s="15"/>
      <c r="BI301" s="15"/>
      <c r="BJ301" s="12" t="str">
        <f t="shared" ref="BJ301:BK301" si="304">H301</f>
        <v>D</v>
      </c>
      <c r="BK301" s="12" t="str">
        <f t="shared" si="304"/>
        <v>D-6</v>
      </c>
      <c r="BL301" s="32">
        <v>613000.0</v>
      </c>
    </row>
    <row r="302">
      <c r="A302" s="45">
        <f t="shared" si="2"/>
        <v>300</v>
      </c>
      <c r="B302" s="46" t="s">
        <v>3320</v>
      </c>
      <c r="C302" s="45">
        <v>2.024070022E9</v>
      </c>
      <c r="D302" s="46" t="s">
        <v>3321</v>
      </c>
      <c r="E302" s="46" t="s">
        <v>3322</v>
      </c>
      <c r="F302" s="46" t="s">
        <v>3323</v>
      </c>
      <c r="G302" s="47" t="s">
        <v>2748</v>
      </c>
      <c r="H302" s="45" t="s">
        <v>1392</v>
      </c>
      <c r="I302" s="48" t="s">
        <v>1393</v>
      </c>
      <c r="J302" s="47">
        <v>3.0</v>
      </c>
      <c r="K302" s="45" t="s">
        <v>1918</v>
      </c>
      <c r="L302" s="49" t="s">
        <v>3324</v>
      </c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>
        <v>500000.0</v>
      </c>
      <c r="AC302" s="50"/>
      <c r="AD302" s="50"/>
      <c r="AE302" s="50"/>
      <c r="AF302" s="50"/>
      <c r="AG302" s="50"/>
      <c r="AH302" s="50"/>
      <c r="AI302" s="50">
        <v>450000.0</v>
      </c>
      <c r="AJ302" s="50">
        <v>450000.0</v>
      </c>
      <c r="AK302" s="50">
        <v>450000.0</v>
      </c>
      <c r="AL302" s="50">
        <v>450000.0</v>
      </c>
      <c r="AM302" s="50">
        <v>450000.0</v>
      </c>
      <c r="AN302" s="50">
        <v>450000.0</v>
      </c>
      <c r="AO302" s="50"/>
      <c r="AP302" s="50">
        <v>500000.0</v>
      </c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>
        <f t="shared" si="3"/>
        <v>2700000</v>
      </c>
      <c r="BD302" s="50">
        <f t="shared" si="4"/>
        <v>1000000</v>
      </c>
      <c r="BE302" s="50">
        <f t="shared" si="5"/>
        <v>0</v>
      </c>
      <c r="BF302" s="50">
        <f t="shared" si="6"/>
        <v>3700000</v>
      </c>
      <c r="BG302" s="46"/>
      <c r="BH302" s="46"/>
      <c r="BI302" s="46"/>
      <c r="BJ302" s="45" t="str">
        <f t="shared" ref="BJ302:BK302" si="305">H302</f>
        <v>D</v>
      </c>
      <c r="BK302" s="45" t="str">
        <f t="shared" si="305"/>
        <v>D-7</v>
      </c>
      <c r="BL302" s="51">
        <v>613000.0</v>
      </c>
    </row>
    <row r="303">
      <c r="A303" s="12">
        <f t="shared" si="2"/>
        <v>301</v>
      </c>
      <c r="B303" s="15" t="s">
        <v>3325</v>
      </c>
      <c r="C303" s="12">
        <v>2.024070201E9</v>
      </c>
      <c r="D303" s="13" t="s">
        <v>3326</v>
      </c>
      <c r="E303" s="13" t="s">
        <v>3327</v>
      </c>
      <c r="F303" s="13" t="s">
        <v>3328</v>
      </c>
      <c r="G303" s="16" t="s">
        <v>2783</v>
      </c>
      <c r="H303" s="12" t="s">
        <v>1392</v>
      </c>
      <c r="I303" s="14" t="s">
        <v>2743</v>
      </c>
      <c r="J303" s="16">
        <v>3.0</v>
      </c>
      <c r="K303" s="16" t="s">
        <v>2483</v>
      </c>
      <c r="L303" s="44" t="s">
        <v>3329</v>
      </c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>
        <f t="shared" si="3"/>
        <v>0</v>
      </c>
      <c r="BD303" s="18">
        <f t="shared" si="4"/>
        <v>0</v>
      </c>
      <c r="BE303" s="18">
        <f t="shared" si="5"/>
        <v>0</v>
      </c>
      <c r="BF303" s="18">
        <f t="shared" si="6"/>
        <v>0</v>
      </c>
      <c r="BG303" s="15"/>
      <c r="BH303" s="15"/>
      <c r="BI303" s="15"/>
      <c r="BJ303" s="12" t="str">
        <f t="shared" ref="BJ303:BK303" si="306">H303</f>
        <v>D</v>
      </c>
      <c r="BK303" s="12" t="str">
        <f t="shared" si="306"/>
        <v>D-6</v>
      </c>
      <c r="BL303" s="32">
        <v>613000.0</v>
      </c>
    </row>
    <row r="304">
      <c r="A304" s="45">
        <f t="shared" si="2"/>
        <v>302</v>
      </c>
      <c r="B304" s="46" t="s">
        <v>3330</v>
      </c>
      <c r="C304" s="45">
        <v>2.024070582E9</v>
      </c>
      <c r="D304" s="46" t="s">
        <v>3331</v>
      </c>
      <c r="E304" s="46" t="s">
        <v>3332</v>
      </c>
      <c r="F304" s="46" t="s">
        <v>3333</v>
      </c>
      <c r="G304" s="47" t="s">
        <v>1917</v>
      </c>
      <c r="H304" s="45" t="s">
        <v>1527</v>
      </c>
      <c r="I304" s="48" t="s">
        <v>3334</v>
      </c>
      <c r="J304" s="47">
        <v>3.0</v>
      </c>
      <c r="K304" s="47" t="s">
        <v>2413</v>
      </c>
      <c r="L304" s="49" t="s">
        <v>3335</v>
      </c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>
        <v>500000.0</v>
      </c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>
        <v>500000.0</v>
      </c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>
        <f t="shared" si="3"/>
        <v>0</v>
      </c>
      <c r="BD304" s="50">
        <f t="shared" si="4"/>
        <v>1000000</v>
      </c>
      <c r="BE304" s="50">
        <f t="shared" si="5"/>
        <v>0</v>
      </c>
      <c r="BF304" s="50">
        <f t="shared" si="6"/>
        <v>1000000</v>
      </c>
      <c r="BG304" s="46"/>
      <c r="BH304" s="46"/>
      <c r="BI304" s="46"/>
      <c r="BJ304" s="45" t="str">
        <f t="shared" ref="BJ304:BK304" si="307">H304</f>
        <v>E</v>
      </c>
      <c r="BK304" s="45" t="str">
        <f t="shared" si="307"/>
        <v>E-9</v>
      </c>
      <c r="BL304" s="51">
        <v>680000.0</v>
      </c>
    </row>
    <row r="305">
      <c r="A305" s="12">
        <f t="shared" si="2"/>
        <v>303</v>
      </c>
      <c r="B305" s="15" t="s">
        <v>3336</v>
      </c>
      <c r="C305" s="12">
        <v>2.02407045E9</v>
      </c>
      <c r="D305" s="15" t="s">
        <v>3337</v>
      </c>
      <c r="E305" s="15" t="s">
        <v>2702</v>
      </c>
      <c r="F305" s="15" t="s">
        <v>3338</v>
      </c>
      <c r="G305" s="16" t="s">
        <v>1917</v>
      </c>
      <c r="H305" s="12" t="s">
        <v>1527</v>
      </c>
      <c r="I305" s="14" t="s">
        <v>3334</v>
      </c>
      <c r="J305" s="16">
        <v>3.0</v>
      </c>
      <c r="K305" s="16" t="s">
        <v>2407</v>
      </c>
      <c r="L305" s="44" t="s">
        <v>3339</v>
      </c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>
        <f t="shared" si="3"/>
        <v>0</v>
      </c>
      <c r="BD305" s="18">
        <f t="shared" si="4"/>
        <v>0</v>
      </c>
      <c r="BE305" s="18">
        <f t="shared" si="5"/>
        <v>0</v>
      </c>
      <c r="BF305" s="18">
        <f t="shared" si="6"/>
        <v>0</v>
      </c>
      <c r="BG305" s="15"/>
      <c r="BH305" s="15"/>
      <c r="BI305" s="15"/>
      <c r="BJ305" s="12" t="str">
        <f t="shared" ref="BJ305:BK305" si="308">H305</f>
        <v>E</v>
      </c>
      <c r="BK305" s="12" t="str">
        <f t="shared" si="308"/>
        <v>E-9</v>
      </c>
      <c r="BL305" s="32">
        <v>680000.0</v>
      </c>
    </row>
    <row r="306">
      <c r="A306" s="45">
        <f t="shared" si="2"/>
        <v>304</v>
      </c>
      <c r="B306" s="46" t="s">
        <v>3340</v>
      </c>
      <c r="C306" s="45">
        <v>2.024070483E9</v>
      </c>
      <c r="D306" s="46" t="s">
        <v>3341</v>
      </c>
      <c r="E306" s="46" t="s">
        <v>3342</v>
      </c>
      <c r="F306" s="46" t="s">
        <v>2078</v>
      </c>
      <c r="G306" s="47" t="s">
        <v>1924</v>
      </c>
      <c r="H306" s="45" t="s">
        <v>1527</v>
      </c>
      <c r="I306" s="48" t="s">
        <v>3343</v>
      </c>
      <c r="J306" s="47">
        <v>3.0</v>
      </c>
      <c r="K306" s="47" t="s">
        <v>2396</v>
      </c>
      <c r="L306" s="49" t="s">
        <v>3344</v>
      </c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>
        <v>500000.0</v>
      </c>
      <c r="AL306" s="50">
        <v>500000.0</v>
      </c>
      <c r="AM306" s="50">
        <v>500000.0</v>
      </c>
      <c r="AN306" s="50">
        <v>500000.0</v>
      </c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>
        <f t="shared" si="3"/>
        <v>2000000</v>
      </c>
      <c r="BD306" s="50">
        <f t="shared" si="4"/>
        <v>0</v>
      </c>
      <c r="BE306" s="50">
        <f t="shared" si="5"/>
        <v>0</v>
      </c>
      <c r="BF306" s="50">
        <f t="shared" si="6"/>
        <v>2000000</v>
      </c>
      <c r="BG306" s="46"/>
      <c r="BH306" s="46"/>
      <c r="BI306" s="46"/>
      <c r="BJ306" s="45" t="str">
        <f t="shared" ref="BJ306:BK306" si="309">H306</f>
        <v>E</v>
      </c>
      <c r="BK306" s="45" t="str">
        <f t="shared" si="309"/>
        <v>E-2</v>
      </c>
      <c r="BL306" s="51">
        <v>680000.0</v>
      </c>
    </row>
    <row r="307">
      <c r="A307" s="12">
        <f t="shared" si="2"/>
        <v>305</v>
      </c>
      <c r="B307" s="15" t="s">
        <v>3345</v>
      </c>
      <c r="C307" s="12">
        <v>2.024070618E9</v>
      </c>
      <c r="D307" s="15" t="s">
        <v>3128</v>
      </c>
      <c r="E307" s="15" t="s">
        <v>3346</v>
      </c>
      <c r="F307" s="15" t="s">
        <v>3347</v>
      </c>
      <c r="G307" s="16" t="s">
        <v>1924</v>
      </c>
      <c r="H307" s="12" t="s">
        <v>1527</v>
      </c>
      <c r="I307" s="14" t="s">
        <v>3343</v>
      </c>
      <c r="J307" s="16">
        <v>3.0</v>
      </c>
      <c r="K307" s="16" t="s">
        <v>2396</v>
      </c>
      <c r="L307" s="44" t="s">
        <v>3348</v>
      </c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>
        <v>500000.0</v>
      </c>
      <c r="AN307" s="18">
        <v>500000.0</v>
      </c>
      <c r="AO307" s="18"/>
      <c r="AP307" s="18">
        <v>500000.0</v>
      </c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>
        <f t="shared" si="3"/>
        <v>1000000</v>
      </c>
      <c r="BD307" s="18">
        <f t="shared" si="4"/>
        <v>500000</v>
      </c>
      <c r="BE307" s="18">
        <f t="shared" si="5"/>
        <v>0</v>
      </c>
      <c r="BF307" s="18">
        <f t="shared" si="6"/>
        <v>1500000</v>
      </c>
      <c r="BG307" s="15"/>
      <c r="BH307" s="15"/>
      <c r="BI307" s="15"/>
      <c r="BJ307" s="12" t="str">
        <f t="shared" ref="BJ307:BK307" si="310">H307</f>
        <v>E</v>
      </c>
      <c r="BK307" s="12" t="str">
        <f t="shared" si="310"/>
        <v>E-2</v>
      </c>
      <c r="BL307" s="32">
        <v>680000.0</v>
      </c>
    </row>
    <row r="308">
      <c r="A308" s="45">
        <f t="shared" si="2"/>
        <v>306</v>
      </c>
      <c r="B308" s="46" t="s">
        <v>3349</v>
      </c>
      <c r="C308" s="45">
        <v>2.024070474E9</v>
      </c>
      <c r="D308" s="46" t="s">
        <v>3350</v>
      </c>
      <c r="E308" s="46" t="s">
        <v>3351</v>
      </c>
      <c r="F308" s="46" t="s">
        <v>3352</v>
      </c>
      <c r="G308" s="47" t="s">
        <v>1897</v>
      </c>
      <c r="H308" s="45" t="s">
        <v>1527</v>
      </c>
      <c r="I308" s="48" t="s">
        <v>3353</v>
      </c>
      <c r="J308" s="47">
        <v>3.0</v>
      </c>
      <c r="K308" s="47" t="s">
        <v>2407</v>
      </c>
      <c r="L308" s="49" t="s">
        <v>3354</v>
      </c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>
        <v>500000.0</v>
      </c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>
        <f t="shared" si="3"/>
        <v>500000</v>
      </c>
      <c r="BD308" s="50">
        <f t="shared" si="4"/>
        <v>0</v>
      </c>
      <c r="BE308" s="50">
        <f t="shared" si="5"/>
        <v>0</v>
      </c>
      <c r="BF308" s="50">
        <f t="shared" si="6"/>
        <v>500000</v>
      </c>
      <c r="BG308" s="46"/>
      <c r="BH308" s="46"/>
      <c r="BI308" s="46"/>
      <c r="BJ308" s="45" t="str">
        <f t="shared" ref="BJ308:BK308" si="311">H308</f>
        <v>E</v>
      </c>
      <c r="BK308" s="45" t="str">
        <f t="shared" si="311"/>
        <v>E-3</v>
      </c>
      <c r="BL308" s="51">
        <v>680000.0</v>
      </c>
    </row>
    <row r="309">
      <c r="A309" s="12">
        <f t="shared" si="2"/>
        <v>307</v>
      </c>
      <c r="B309" s="15" t="s">
        <v>3355</v>
      </c>
      <c r="C309" s="12">
        <v>2.024070573E9</v>
      </c>
      <c r="D309" s="15" t="s">
        <v>3356</v>
      </c>
      <c r="E309" s="15" t="s">
        <v>3357</v>
      </c>
      <c r="F309" s="15" t="s">
        <v>3358</v>
      </c>
      <c r="G309" s="16" t="s">
        <v>1924</v>
      </c>
      <c r="H309" s="12" t="s">
        <v>1527</v>
      </c>
      <c r="I309" s="14" t="s">
        <v>3343</v>
      </c>
      <c r="J309" s="16">
        <v>3.0</v>
      </c>
      <c r="K309" s="16" t="s">
        <v>2396</v>
      </c>
      <c r="L309" s="44" t="s">
        <v>3359</v>
      </c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>
        <v>500000.0</v>
      </c>
      <c r="AC309" s="18"/>
      <c r="AD309" s="18"/>
      <c r="AE309" s="18"/>
      <c r="AF309" s="18"/>
      <c r="AG309" s="18"/>
      <c r="AH309" s="18"/>
      <c r="AI309" s="18"/>
      <c r="AJ309" s="18"/>
      <c r="AK309" s="18">
        <v>500000.0</v>
      </c>
      <c r="AL309" s="18">
        <v>500000.0</v>
      </c>
      <c r="AM309" s="18">
        <v>500000.0</v>
      </c>
      <c r="AN309" s="18">
        <v>500000.0</v>
      </c>
      <c r="AO309" s="18"/>
      <c r="AP309" s="18">
        <v>500000.0</v>
      </c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>
        <f t="shared" si="3"/>
        <v>2000000</v>
      </c>
      <c r="BD309" s="18">
        <f t="shared" si="4"/>
        <v>1000000</v>
      </c>
      <c r="BE309" s="18">
        <f t="shared" si="5"/>
        <v>0</v>
      </c>
      <c r="BF309" s="18">
        <f t="shared" si="6"/>
        <v>3000000</v>
      </c>
      <c r="BG309" s="15"/>
      <c r="BH309" s="15"/>
      <c r="BI309" s="15"/>
      <c r="BJ309" s="12" t="str">
        <f t="shared" ref="BJ309:BK309" si="312">H309</f>
        <v>E</v>
      </c>
      <c r="BK309" s="12" t="str">
        <f t="shared" si="312"/>
        <v>E-2</v>
      </c>
      <c r="BL309" s="32">
        <v>680000.0</v>
      </c>
    </row>
    <row r="310">
      <c r="A310" s="45">
        <f t="shared" si="2"/>
        <v>308</v>
      </c>
      <c r="B310" s="46" t="s">
        <v>3360</v>
      </c>
      <c r="C310" s="45">
        <v>2.024070634E9</v>
      </c>
      <c r="D310" s="46" t="s">
        <v>3361</v>
      </c>
      <c r="E310" s="46" t="s">
        <v>3362</v>
      </c>
      <c r="F310" s="46" t="s">
        <v>3363</v>
      </c>
      <c r="G310" s="47" t="s">
        <v>2429</v>
      </c>
      <c r="H310" s="45" t="s">
        <v>1527</v>
      </c>
      <c r="I310" s="48" t="s">
        <v>3343</v>
      </c>
      <c r="J310" s="47">
        <v>3.0</v>
      </c>
      <c r="K310" s="47" t="s">
        <v>2413</v>
      </c>
      <c r="L310" s="49" t="s">
        <v>3364</v>
      </c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>
        <v>500000.0</v>
      </c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>
        <f t="shared" si="3"/>
        <v>500000</v>
      </c>
      <c r="BD310" s="50">
        <f t="shared" si="4"/>
        <v>0</v>
      </c>
      <c r="BE310" s="50">
        <f t="shared" si="5"/>
        <v>0</v>
      </c>
      <c r="BF310" s="50">
        <f t="shared" si="6"/>
        <v>500000</v>
      </c>
      <c r="BG310" s="46"/>
      <c r="BH310" s="46"/>
      <c r="BI310" s="46"/>
      <c r="BJ310" s="45" t="str">
        <f t="shared" ref="BJ310:BK310" si="313">H310</f>
        <v>E</v>
      </c>
      <c r="BK310" s="45" t="str">
        <f t="shared" si="313"/>
        <v>E-2</v>
      </c>
      <c r="BL310" s="51">
        <v>680000.0</v>
      </c>
    </row>
    <row r="311">
      <c r="A311" s="12">
        <f t="shared" si="2"/>
        <v>309</v>
      </c>
      <c r="B311" s="15" t="s">
        <v>3365</v>
      </c>
      <c r="C311" s="12">
        <v>2.024070476E9</v>
      </c>
      <c r="D311" s="15" t="s">
        <v>3366</v>
      </c>
      <c r="E311" s="15" t="s">
        <v>3367</v>
      </c>
      <c r="F311" s="15" t="s">
        <v>3368</v>
      </c>
      <c r="G311" s="16" t="s">
        <v>1917</v>
      </c>
      <c r="H311" s="12" t="s">
        <v>1527</v>
      </c>
      <c r="I311" s="14" t="s">
        <v>3334</v>
      </c>
      <c r="J311" s="16">
        <v>3.0</v>
      </c>
      <c r="K311" s="16" t="s">
        <v>2413</v>
      </c>
      <c r="L311" s="44" t="s">
        <v>3369</v>
      </c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>
        <f t="shared" si="3"/>
        <v>0</v>
      </c>
      <c r="BD311" s="18">
        <f t="shared" si="4"/>
        <v>0</v>
      </c>
      <c r="BE311" s="18">
        <f t="shared" si="5"/>
        <v>0</v>
      </c>
      <c r="BF311" s="18">
        <f t="shared" si="6"/>
        <v>0</v>
      </c>
      <c r="BG311" s="15"/>
      <c r="BH311" s="15"/>
      <c r="BI311" s="15"/>
      <c r="BJ311" s="12" t="str">
        <f t="shared" ref="BJ311:BK311" si="314">H311</f>
        <v>E</v>
      </c>
      <c r="BK311" s="12" t="str">
        <f t="shared" si="314"/>
        <v>E-9</v>
      </c>
      <c r="BL311" s="32">
        <v>680000.0</v>
      </c>
    </row>
    <row r="312">
      <c r="A312" s="45">
        <f t="shared" si="2"/>
        <v>310</v>
      </c>
      <c r="B312" s="46" t="s">
        <v>3370</v>
      </c>
      <c r="C312" s="45">
        <v>2.024070445E9</v>
      </c>
      <c r="D312" s="46" t="s">
        <v>3371</v>
      </c>
      <c r="E312" s="46" t="s">
        <v>3372</v>
      </c>
      <c r="F312" s="46" t="s">
        <v>3373</v>
      </c>
      <c r="G312" s="47" t="s">
        <v>1897</v>
      </c>
      <c r="H312" s="45" t="s">
        <v>1527</v>
      </c>
      <c r="I312" s="48" t="s">
        <v>3343</v>
      </c>
      <c r="J312" s="47">
        <v>3.0</v>
      </c>
      <c r="K312" s="47" t="s">
        <v>2413</v>
      </c>
      <c r="L312" s="49" t="s">
        <v>3374</v>
      </c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>
        <v>500000.0</v>
      </c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>
        <v>500000.0</v>
      </c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>
        <f t="shared" si="3"/>
        <v>0</v>
      </c>
      <c r="BD312" s="50">
        <f t="shared" si="4"/>
        <v>1000000</v>
      </c>
      <c r="BE312" s="50">
        <f t="shared" si="5"/>
        <v>0</v>
      </c>
      <c r="BF312" s="50">
        <f t="shared" si="6"/>
        <v>1000000</v>
      </c>
      <c r="BG312" s="46"/>
      <c r="BH312" s="46"/>
      <c r="BI312" s="46"/>
      <c r="BJ312" s="45" t="str">
        <f t="shared" ref="BJ312:BK312" si="315">H312</f>
        <v>E</v>
      </c>
      <c r="BK312" s="45" t="str">
        <f t="shared" si="315"/>
        <v>E-2</v>
      </c>
      <c r="BL312" s="51">
        <v>680000.0</v>
      </c>
    </row>
    <row r="313">
      <c r="A313" s="12">
        <f t="shared" si="2"/>
        <v>311</v>
      </c>
      <c r="B313" s="15" t="s">
        <v>3375</v>
      </c>
      <c r="C313" s="12">
        <v>2.024070596E9</v>
      </c>
      <c r="D313" s="15" t="s">
        <v>3376</v>
      </c>
      <c r="E313" s="15" t="s">
        <v>3377</v>
      </c>
      <c r="F313" s="15" t="s">
        <v>3378</v>
      </c>
      <c r="G313" s="16" t="s">
        <v>1917</v>
      </c>
      <c r="H313" s="12" t="s">
        <v>1527</v>
      </c>
      <c r="I313" s="14" t="s">
        <v>3334</v>
      </c>
      <c r="J313" s="16">
        <v>3.0</v>
      </c>
      <c r="K313" s="16" t="s">
        <v>2407</v>
      </c>
      <c r="L313" s="44" t="s">
        <v>3379</v>
      </c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>
        <v>270000.0</v>
      </c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>
        <f t="shared" si="3"/>
        <v>270000</v>
      </c>
      <c r="BD313" s="18">
        <f t="shared" si="4"/>
        <v>0</v>
      </c>
      <c r="BE313" s="18">
        <f t="shared" si="5"/>
        <v>0</v>
      </c>
      <c r="BF313" s="18">
        <f t="shared" si="6"/>
        <v>270000</v>
      </c>
      <c r="BG313" s="15"/>
      <c r="BH313" s="15"/>
      <c r="BI313" s="15"/>
      <c r="BJ313" s="12" t="str">
        <f t="shared" ref="BJ313:BK313" si="316">H313</f>
        <v>E</v>
      </c>
      <c r="BK313" s="12" t="str">
        <f t="shared" si="316"/>
        <v>E-9</v>
      </c>
      <c r="BL313" s="32">
        <v>360000.0</v>
      </c>
    </row>
    <row r="314">
      <c r="A314" s="45">
        <f t="shared" si="2"/>
        <v>312</v>
      </c>
      <c r="B314" s="46" t="s">
        <v>3380</v>
      </c>
      <c r="C314" s="45">
        <v>2.024070475E9</v>
      </c>
      <c r="D314" s="46" t="s">
        <v>1825</v>
      </c>
      <c r="E314" s="46" t="s">
        <v>3381</v>
      </c>
      <c r="F314" s="46" t="s">
        <v>1945</v>
      </c>
      <c r="G314" s="47" t="s">
        <v>1897</v>
      </c>
      <c r="H314" s="45" t="s">
        <v>1527</v>
      </c>
      <c r="I314" s="48" t="s">
        <v>3353</v>
      </c>
      <c r="J314" s="47">
        <v>3.0</v>
      </c>
      <c r="K314" s="47" t="s">
        <v>2407</v>
      </c>
      <c r="L314" s="49" t="s">
        <v>3382</v>
      </c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>
        <v>500000.0</v>
      </c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>
        <f t="shared" si="3"/>
        <v>0</v>
      </c>
      <c r="BD314" s="50">
        <f t="shared" si="4"/>
        <v>500000</v>
      </c>
      <c r="BE314" s="50">
        <f t="shared" si="5"/>
        <v>0</v>
      </c>
      <c r="BF314" s="50">
        <f t="shared" si="6"/>
        <v>500000</v>
      </c>
      <c r="BG314" s="46"/>
      <c r="BH314" s="46"/>
      <c r="BI314" s="46"/>
      <c r="BJ314" s="45" t="str">
        <f t="shared" ref="BJ314:BK314" si="317">H314</f>
        <v>E</v>
      </c>
      <c r="BK314" s="45" t="str">
        <f t="shared" si="317"/>
        <v>E-3</v>
      </c>
      <c r="BL314" s="51">
        <v>680000.0</v>
      </c>
    </row>
    <row r="315">
      <c r="A315" s="12">
        <f t="shared" si="2"/>
        <v>313</v>
      </c>
      <c r="B315" s="15" t="s">
        <v>3383</v>
      </c>
      <c r="C315" s="12">
        <v>2.024070487E9</v>
      </c>
      <c r="D315" s="15" t="s">
        <v>3384</v>
      </c>
      <c r="E315" s="15" t="s">
        <v>3385</v>
      </c>
      <c r="F315" s="15" t="s">
        <v>3386</v>
      </c>
      <c r="G315" s="16" t="s">
        <v>1924</v>
      </c>
      <c r="H315" s="12" t="s">
        <v>1527</v>
      </c>
      <c r="I315" s="14" t="s">
        <v>3343</v>
      </c>
      <c r="J315" s="16">
        <v>3.0</v>
      </c>
      <c r="K315" s="16" t="s">
        <v>2407</v>
      </c>
      <c r="L315" s="44" t="s">
        <v>3387</v>
      </c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>
        <v>500000.0</v>
      </c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>
        <f t="shared" si="3"/>
        <v>0</v>
      </c>
      <c r="BD315" s="18">
        <f t="shared" si="4"/>
        <v>500000</v>
      </c>
      <c r="BE315" s="18">
        <f t="shared" si="5"/>
        <v>0</v>
      </c>
      <c r="BF315" s="18">
        <f t="shared" si="6"/>
        <v>500000</v>
      </c>
      <c r="BG315" s="15"/>
      <c r="BH315" s="15"/>
      <c r="BI315" s="15"/>
      <c r="BJ315" s="12" t="str">
        <f t="shared" ref="BJ315:BK315" si="318">H315</f>
        <v>E</v>
      </c>
      <c r="BK315" s="12" t="str">
        <f t="shared" si="318"/>
        <v>E-2</v>
      </c>
      <c r="BL315" s="32">
        <v>680000.0</v>
      </c>
    </row>
    <row r="316">
      <c r="A316" s="45">
        <f t="shared" si="2"/>
        <v>314</v>
      </c>
      <c r="B316" s="46" t="s">
        <v>3388</v>
      </c>
      <c r="C316" s="45">
        <v>2.024070466E9</v>
      </c>
      <c r="D316" s="46" t="s">
        <v>3389</v>
      </c>
      <c r="E316" s="46" t="s">
        <v>3390</v>
      </c>
      <c r="F316" s="46" t="s">
        <v>3391</v>
      </c>
      <c r="G316" s="47" t="s">
        <v>1917</v>
      </c>
      <c r="H316" s="45" t="s">
        <v>1527</v>
      </c>
      <c r="I316" s="48" t="s">
        <v>3334</v>
      </c>
      <c r="J316" s="47">
        <v>3.0</v>
      </c>
      <c r="K316" s="47" t="s">
        <v>2396</v>
      </c>
      <c r="L316" s="49" t="s">
        <v>3392</v>
      </c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>
        <v>500000.0</v>
      </c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>
        <f t="shared" si="3"/>
        <v>0</v>
      </c>
      <c r="BD316" s="50">
        <f t="shared" si="4"/>
        <v>500000</v>
      </c>
      <c r="BE316" s="50">
        <f t="shared" si="5"/>
        <v>0</v>
      </c>
      <c r="BF316" s="50">
        <f t="shared" si="6"/>
        <v>500000</v>
      </c>
      <c r="BG316" s="46"/>
      <c r="BH316" s="46"/>
      <c r="BI316" s="46"/>
      <c r="BJ316" s="45" t="str">
        <f t="shared" ref="BJ316:BK316" si="319">H316</f>
        <v>E</v>
      </c>
      <c r="BK316" s="45" t="str">
        <f t="shared" si="319"/>
        <v>E-9</v>
      </c>
      <c r="BL316" s="51">
        <v>680000.0</v>
      </c>
    </row>
    <row r="317">
      <c r="A317" s="12">
        <f t="shared" si="2"/>
        <v>315</v>
      </c>
      <c r="B317" s="15" t="s">
        <v>3393</v>
      </c>
      <c r="C317" s="12">
        <v>2.024070546E9</v>
      </c>
      <c r="D317" s="15" t="s">
        <v>39</v>
      </c>
      <c r="E317" s="15" t="s">
        <v>40</v>
      </c>
      <c r="F317" s="15" t="s">
        <v>41</v>
      </c>
      <c r="G317" s="16" t="s">
        <v>2429</v>
      </c>
      <c r="H317" s="12" t="s">
        <v>1527</v>
      </c>
      <c r="I317" s="14" t="s">
        <v>3353</v>
      </c>
      <c r="J317" s="16">
        <v>3.0</v>
      </c>
      <c r="K317" s="16" t="s">
        <v>2407</v>
      </c>
      <c r="L317" s="44" t="s">
        <v>3394</v>
      </c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>
        <f t="shared" si="3"/>
        <v>0</v>
      </c>
      <c r="BD317" s="18">
        <f t="shared" si="4"/>
        <v>0</v>
      </c>
      <c r="BE317" s="18">
        <f t="shared" si="5"/>
        <v>0</v>
      </c>
      <c r="BF317" s="18">
        <f t="shared" si="6"/>
        <v>0</v>
      </c>
      <c r="BG317" s="15"/>
      <c r="BH317" s="15"/>
      <c r="BI317" s="15"/>
      <c r="BJ317" s="12" t="str">
        <f t="shared" ref="BJ317:BK317" si="320">H317</f>
        <v>E</v>
      </c>
      <c r="BK317" s="12" t="str">
        <f t="shared" si="320"/>
        <v>E-3</v>
      </c>
      <c r="BL317" s="32">
        <v>680000.0</v>
      </c>
    </row>
    <row r="318">
      <c r="A318" s="45">
        <f t="shared" si="2"/>
        <v>316</v>
      </c>
      <c r="B318" s="46" t="s">
        <v>3395</v>
      </c>
      <c r="C318" s="45">
        <v>2.024070459E9</v>
      </c>
      <c r="D318" s="46" t="s">
        <v>3396</v>
      </c>
      <c r="E318" s="46" t="s">
        <v>3397</v>
      </c>
      <c r="F318" s="46" t="s">
        <v>3398</v>
      </c>
      <c r="G318" s="47" t="s">
        <v>2429</v>
      </c>
      <c r="H318" s="45" t="s">
        <v>1527</v>
      </c>
      <c r="I318" s="48" t="s">
        <v>3353</v>
      </c>
      <c r="J318" s="47">
        <v>3.0</v>
      </c>
      <c r="K318" s="47" t="s">
        <v>2396</v>
      </c>
      <c r="L318" s="49" t="s">
        <v>3399</v>
      </c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 t="s">
        <v>0</v>
      </c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>
        <f t="shared" si="3"/>
        <v>0</v>
      </c>
      <c r="BD318" s="50">
        <f t="shared" si="4"/>
        <v>0</v>
      </c>
      <c r="BE318" s="50">
        <f t="shared" si="5"/>
        <v>0</v>
      </c>
      <c r="BF318" s="50">
        <f t="shared" si="6"/>
        <v>0</v>
      </c>
      <c r="BG318" s="46"/>
      <c r="BH318" s="46"/>
      <c r="BI318" s="46"/>
      <c r="BJ318" s="45" t="str">
        <f t="shared" ref="BJ318:BK318" si="321">H318</f>
        <v>E</v>
      </c>
      <c r="BK318" s="45" t="str">
        <f t="shared" si="321"/>
        <v>E-3</v>
      </c>
      <c r="BL318" s="51">
        <v>680000.0</v>
      </c>
    </row>
    <row r="319">
      <c r="A319" s="12">
        <f t="shared" si="2"/>
        <v>317</v>
      </c>
      <c r="B319" s="15" t="s">
        <v>3400</v>
      </c>
      <c r="C319" s="12">
        <v>2.024070617E9</v>
      </c>
      <c r="D319" s="15" t="s">
        <v>3401</v>
      </c>
      <c r="E319" s="15" t="s">
        <v>3402</v>
      </c>
      <c r="F319" s="15" t="s">
        <v>2214</v>
      </c>
      <c r="G319" s="16" t="s">
        <v>2406</v>
      </c>
      <c r="H319" s="12" t="s">
        <v>1527</v>
      </c>
      <c r="I319" s="14" t="s">
        <v>3353</v>
      </c>
      <c r="J319" s="16">
        <v>3.0</v>
      </c>
      <c r="K319" s="16" t="s">
        <v>2407</v>
      </c>
      <c r="L319" s="44" t="s">
        <v>3403</v>
      </c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>
        <v>500000.0</v>
      </c>
      <c r="AC319" s="18"/>
      <c r="AD319" s="18"/>
      <c r="AE319" s="18"/>
      <c r="AF319" s="18"/>
      <c r="AG319" s="18"/>
      <c r="AH319" s="18"/>
      <c r="AI319" s="18"/>
      <c r="AJ319" s="18"/>
      <c r="AK319" s="18"/>
      <c r="AL319" s="18">
        <v>500000.0</v>
      </c>
      <c r="AM319" s="18">
        <v>500000.0</v>
      </c>
      <c r="AN319" s="18">
        <v>500000.0</v>
      </c>
      <c r="AO319" s="18"/>
      <c r="AP319" s="18">
        <v>500000.0</v>
      </c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>
        <f t="shared" si="3"/>
        <v>1500000</v>
      </c>
      <c r="BD319" s="18">
        <f t="shared" si="4"/>
        <v>1000000</v>
      </c>
      <c r="BE319" s="18">
        <f t="shared" si="5"/>
        <v>0</v>
      </c>
      <c r="BF319" s="18">
        <f t="shared" si="6"/>
        <v>2500000</v>
      </c>
      <c r="BG319" s="15"/>
      <c r="BH319" s="15"/>
      <c r="BI319" s="15"/>
      <c r="BJ319" s="12" t="str">
        <f t="shared" ref="BJ319:BK319" si="322">H319</f>
        <v>E</v>
      </c>
      <c r="BK319" s="12" t="str">
        <f t="shared" si="322"/>
        <v>E-3</v>
      </c>
      <c r="BL319" s="32">
        <v>680000.0</v>
      </c>
    </row>
    <row r="320">
      <c r="A320" s="45">
        <f t="shared" si="2"/>
        <v>318</v>
      </c>
      <c r="B320" s="46" t="s">
        <v>3404</v>
      </c>
      <c r="C320" s="45">
        <v>2.024070513E9</v>
      </c>
      <c r="D320" s="46" t="s">
        <v>3405</v>
      </c>
      <c r="E320" s="46" t="s">
        <v>3406</v>
      </c>
      <c r="F320" s="46" t="s">
        <v>3407</v>
      </c>
      <c r="G320" s="47" t="s">
        <v>2406</v>
      </c>
      <c r="H320" s="45" t="s">
        <v>1527</v>
      </c>
      <c r="I320" s="48" t="s">
        <v>3353</v>
      </c>
      <c r="J320" s="47">
        <v>3.0</v>
      </c>
      <c r="K320" s="47" t="s">
        <v>2396</v>
      </c>
      <c r="L320" s="49" t="s">
        <v>3408</v>
      </c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>
        <v>500000.0</v>
      </c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>
        <f t="shared" si="3"/>
        <v>0</v>
      </c>
      <c r="BD320" s="50">
        <f t="shared" si="4"/>
        <v>500000</v>
      </c>
      <c r="BE320" s="50">
        <f t="shared" si="5"/>
        <v>0</v>
      </c>
      <c r="BF320" s="50">
        <f t="shared" si="6"/>
        <v>500000</v>
      </c>
      <c r="BG320" s="46"/>
      <c r="BH320" s="46"/>
      <c r="BI320" s="46"/>
      <c r="BJ320" s="45" t="str">
        <f t="shared" ref="BJ320:BK320" si="323">H320</f>
        <v>E</v>
      </c>
      <c r="BK320" s="45" t="str">
        <f t="shared" si="323"/>
        <v>E-3</v>
      </c>
      <c r="BL320" s="51">
        <v>680000.0</v>
      </c>
    </row>
    <row r="321">
      <c r="A321" s="12">
        <f t="shared" si="2"/>
        <v>319</v>
      </c>
      <c r="B321" s="15" t="s">
        <v>3409</v>
      </c>
      <c r="C321" s="12">
        <v>2.024070585E9</v>
      </c>
      <c r="D321" s="15" t="s">
        <v>3410</v>
      </c>
      <c r="E321" s="15" t="s">
        <v>3411</v>
      </c>
      <c r="F321" s="15" t="s">
        <v>1276</v>
      </c>
      <c r="G321" s="16" t="s">
        <v>1897</v>
      </c>
      <c r="H321" s="12" t="s">
        <v>1527</v>
      </c>
      <c r="I321" s="14" t="s">
        <v>3353</v>
      </c>
      <c r="J321" s="16">
        <v>3.0</v>
      </c>
      <c r="K321" s="16" t="s">
        <v>2413</v>
      </c>
      <c r="L321" s="44" t="s">
        <v>3412</v>
      </c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>
        <v>500000.0</v>
      </c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>
        <v>500000.0</v>
      </c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>
        <f t="shared" si="3"/>
        <v>0</v>
      </c>
      <c r="BD321" s="18">
        <f t="shared" si="4"/>
        <v>1000000</v>
      </c>
      <c r="BE321" s="18">
        <f t="shared" si="5"/>
        <v>0</v>
      </c>
      <c r="BF321" s="18">
        <f t="shared" si="6"/>
        <v>1000000</v>
      </c>
      <c r="BG321" s="15"/>
      <c r="BH321" s="15"/>
      <c r="BI321" s="15"/>
      <c r="BJ321" s="12" t="str">
        <f t="shared" ref="BJ321:BK321" si="324">H321</f>
        <v>E</v>
      </c>
      <c r="BK321" s="12" t="str">
        <f t="shared" si="324"/>
        <v>E-3</v>
      </c>
      <c r="BL321" s="32">
        <v>680000.0</v>
      </c>
    </row>
    <row r="322">
      <c r="A322" s="45">
        <f t="shared" si="2"/>
        <v>320</v>
      </c>
      <c r="B322" s="46" t="s">
        <v>3413</v>
      </c>
      <c r="C322" s="45">
        <v>2.024070635E9</v>
      </c>
      <c r="D322" s="46" t="s">
        <v>3414</v>
      </c>
      <c r="E322" s="46" t="s">
        <v>3415</v>
      </c>
      <c r="F322" s="46" t="s">
        <v>3416</v>
      </c>
      <c r="G322" s="47" t="s">
        <v>1924</v>
      </c>
      <c r="H322" s="45" t="s">
        <v>1527</v>
      </c>
      <c r="I322" s="48" t="s">
        <v>3343</v>
      </c>
      <c r="J322" s="47">
        <v>3.0</v>
      </c>
      <c r="K322" s="47" t="s">
        <v>2396</v>
      </c>
      <c r="L322" s="49" t="s">
        <v>3417</v>
      </c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>
        <v>500000.0</v>
      </c>
      <c r="AJ322" s="50">
        <v>500000.0</v>
      </c>
      <c r="AK322" s="50">
        <v>500000.0</v>
      </c>
      <c r="AL322" s="50">
        <v>500000.0</v>
      </c>
      <c r="AM322" s="50">
        <v>500000.0</v>
      </c>
      <c r="AN322" s="50">
        <v>500000.0</v>
      </c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>
        <f t="shared" si="3"/>
        <v>3000000</v>
      </c>
      <c r="BD322" s="50">
        <f t="shared" si="4"/>
        <v>0</v>
      </c>
      <c r="BE322" s="50">
        <f t="shared" si="5"/>
        <v>0</v>
      </c>
      <c r="BF322" s="50">
        <f t="shared" si="6"/>
        <v>3000000</v>
      </c>
      <c r="BG322" s="46"/>
      <c r="BH322" s="46"/>
      <c r="BI322" s="46"/>
      <c r="BJ322" s="45" t="str">
        <f t="shared" ref="BJ322:BK322" si="325">H322</f>
        <v>E</v>
      </c>
      <c r="BK322" s="45" t="str">
        <f t="shared" si="325"/>
        <v>E-2</v>
      </c>
      <c r="BL322" s="51">
        <v>680000.0</v>
      </c>
    </row>
    <row r="323">
      <c r="A323" s="12">
        <f t="shared" si="2"/>
        <v>321</v>
      </c>
      <c r="B323" s="15" t="s">
        <v>3418</v>
      </c>
      <c r="C323" s="12">
        <v>2.024070499E9</v>
      </c>
      <c r="D323" s="15" t="s">
        <v>3419</v>
      </c>
      <c r="E323" s="15" t="s">
        <v>3420</v>
      </c>
      <c r="F323" s="15" t="s">
        <v>3421</v>
      </c>
      <c r="G323" s="16" t="s">
        <v>1897</v>
      </c>
      <c r="H323" s="12" t="s">
        <v>1527</v>
      </c>
      <c r="I323" s="14" t="s">
        <v>3343</v>
      </c>
      <c r="J323" s="16">
        <v>3.0</v>
      </c>
      <c r="K323" s="16" t="s">
        <v>2396</v>
      </c>
      <c r="L323" s="44" t="s">
        <v>3422</v>
      </c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>
        <f t="shared" si="3"/>
        <v>0</v>
      </c>
      <c r="BD323" s="18">
        <f t="shared" si="4"/>
        <v>0</v>
      </c>
      <c r="BE323" s="18">
        <f t="shared" si="5"/>
        <v>0</v>
      </c>
      <c r="BF323" s="18">
        <f t="shared" si="6"/>
        <v>0</v>
      </c>
      <c r="BG323" s="15"/>
      <c r="BH323" s="15"/>
      <c r="BI323" s="15"/>
      <c r="BJ323" s="12" t="str">
        <f t="shared" ref="BJ323:BK323" si="326">H323</f>
        <v>E</v>
      </c>
      <c r="BK323" s="12" t="str">
        <f t="shared" si="326"/>
        <v>E-2</v>
      </c>
      <c r="BL323" s="32">
        <v>680000.0</v>
      </c>
    </row>
    <row r="324">
      <c r="A324" s="45">
        <f t="shared" si="2"/>
        <v>322</v>
      </c>
      <c r="B324" s="46" t="s">
        <v>3423</v>
      </c>
      <c r="C324" s="45">
        <v>2.024070449E9</v>
      </c>
      <c r="D324" s="46" t="s">
        <v>3424</v>
      </c>
      <c r="E324" s="46" t="s">
        <v>3425</v>
      </c>
      <c r="F324" s="46" t="s">
        <v>3426</v>
      </c>
      <c r="G324" s="47" t="s">
        <v>1917</v>
      </c>
      <c r="H324" s="45" t="s">
        <v>1527</v>
      </c>
      <c r="I324" s="48" t="s">
        <v>3334</v>
      </c>
      <c r="J324" s="47">
        <v>3.0</v>
      </c>
      <c r="K324" s="47" t="s">
        <v>2413</v>
      </c>
      <c r="L324" s="49" t="s">
        <v>3427</v>
      </c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>
        <f t="shared" si="3"/>
        <v>0</v>
      </c>
      <c r="BD324" s="50">
        <f t="shared" si="4"/>
        <v>0</v>
      </c>
      <c r="BE324" s="50">
        <f t="shared" si="5"/>
        <v>0</v>
      </c>
      <c r="BF324" s="50">
        <f t="shared" si="6"/>
        <v>0</v>
      </c>
      <c r="BG324" s="46"/>
      <c r="BH324" s="46"/>
      <c r="BI324" s="46"/>
      <c r="BJ324" s="45" t="str">
        <f t="shared" ref="BJ324:BK324" si="327">H324</f>
        <v>E</v>
      </c>
      <c r="BK324" s="45" t="str">
        <f t="shared" si="327"/>
        <v>E-9</v>
      </c>
      <c r="BL324" s="51">
        <v>680000.0</v>
      </c>
    </row>
    <row r="325">
      <c r="A325" s="12">
        <f t="shared" si="2"/>
        <v>323</v>
      </c>
      <c r="B325" s="15" t="s">
        <v>3428</v>
      </c>
      <c r="C325" s="12">
        <v>2.024070581E9</v>
      </c>
      <c r="D325" s="15" t="s">
        <v>3429</v>
      </c>
      <c r="E325" s="15" t="s">
        <v>3430</v>
      </c>
      <c r="F325" s="15" t="s">
        <v>1538</v>
      </c>
      <c r="G325" s="16" t="s">
        <v>2429</v>
      </c>
      <c r="H325" s="12" t="s">
        <v>1527</v>
      </c>
      <c r="I325" s="14" t="s">
        <v>3353</v>
      </c>
      <c r="J325" s="16">
        <v>3.0</v>
      </c>
      <c r="K325" s="16" t="s">
        <v>2407</v>
      </c>
      <c r="L325" s="44" t="s">
        <v>3431</v>
      </c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>
        <f t="shared" si="3"/>
        <v>0</v>
      </c>
      <c r="BD325" s="18">
        <f t="shared" si="4"/>
        <v>0</v>
      </c>
      <c r="BE325" s="18">
        <f t="shared" si="5"/>
        <v>0</v>
      </c>
      <c r="BF325" s="18">
        <f t="shared" si="6"/>
        <v>0</v>
      </c>
      <c r="BG325" s="15"/>
      <c r="BH325" s="15"/>
      <c r="BI325" s="15"/>
      <c r="BJ325" s="12" t="str">
        <f t="shared" ref="BJ325:BK325" si="328">H325</f>
        <v>E</v>
      </c>
      <c r="BK325" s="12" t="str">
        <f t="shared" si="328"/>
        <v>E-3</v>
      </c>
      <c r="BL325" s="32">
        <v>680000.0</v>
      </c>
    </row>
    <row r="326">
      <c r="A326" s="45">
        <f t="shared" si="2"/>
        <v>324</v>
      </c>
      <c r="B326" s="46" t="s">
        <v>3432</v>
      </c>
      <c r="C326" s="45">
        <v>2.024070604E9</v>
      </c>
      <c r="D326" s="46" t="s">
        <v>3433</v>
      </c>
      <c r="E326" s="46" t="s">
        <v>3434</v>
      </c>
      <c r="F326" s="46" t="s">
        <v>3435</v>
      </c>
      <c r="G326" s="47" t="s">
        <v>1946</v>
      </c>
      <c r="H326" s="45" t="s">
        <v>1527</v>
      </c>
      <c r="I326" s="48" t="s">
        <v>3353</v>
      </c>
      <c r="J326" s="47">
        <v>3.0</v>
      </c>
      <c r="K326" s="47" t="s">
        <v>2413</v>
      </c>
      <c r="L326" s="49" t="s">
        <v>3436</v>
      </c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>
        <v>500000.0</v>
      </c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>
        <v>500000.0</v>
      </c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>
        <f t="shared" si="3"/>
        <v>0</v>
      </c>
      <c r="BD326" s="50">
        <f t="shared" si="4"/>
        <v>1000000</v>
      </c>
      <c r="BE326" s="50">
        <f t="shared" si="5"/>
        <v>0</v>
      </c>
      <c r="BF326" s="50">
        <f t="shared" si="6"/>
        <v>1000000</v>
      </c>
      <c r="BG326" s="46"/>
      <c r="BH326" s="46"/>
      <c r="BI326" s="46"/>
      <c r="BJ326" s="45" t="str">
        <f t="shared" ref="BJ326:BK326" si="329">H326</f>
        <v>E</v>
      </c>
      <c r="BK326" s="45" t="str">
        <f t="shared" si="329"/>
        <v>E-3</v>
      </c>
      <c r="BL326" s="51">
        <v>680000.0</v>
      </c>
    </row>
    <row r="327">
      <c r="A327" s="12">
        <f t="shared" si="2"/>
        <v>325</v>
      </c>
      <c r="B327" s="15" t="s">
        <v>3437</v>
      </c>
      <c r="C327" s="12">
        <v>2.024070541E9</v>
      </c>
      <c r="D327" s="15" t="s">
        <v>3438</v>
      </c>
      <c r="E327" s="15" t="s">
        <v>3439</v>
      </c>
      <c r="F327" s="15" t="s">
        <v>3440</v>
      </c>
      <c r="G327" s="16" t="s">
        <v>1897</v>
      </c>
      <c r="H327" s="12" t="s">
        <v>1527</v>
      </c>
      <c r="I327" s="14" t="s">
        <v>3343</v>
      </c>
      <c r="J327" s="16">
        <v>3.0</v>
      </c>
      <c r="K327" s="16" t="s">
        <v>2413</v>
      </c>
      <c r="L327" s="44" t="s">
        <v>3441</v>
      </c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>
        <v>500000.0</v>
      </c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>
        <v>500000.0</v>
      </c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>
        <f t="shared" si="3"/>
        <v>0</v>
      </c>
      <c r="BD327" s="18">
        <f t="shared" si="4"/>
        <v>1000000</v>
      </c>
      <c r="BE327" s="18">
        <f t="shared" si="5"/>
        <v>0</v>
      </c>
      <c r="BF327" s="18">
        <f t="shared" si="6"/>
        <v>1000000</v>
      </c>
      <c r="BG327" s="15"/>
      <c r="BH327" s="15"/>
      <c r="BI327" s="15"/>
      <c r="BJ327" s="12" t="str">
        <f t="shared" ref="BJ327:BK327" si="330">H327</f>
        <v>E</v>
      </c>
      <c r="BK327" s="12" t="str">
        <f t="shared" si="330"/>
        <v>E-2</v>
      </c>
      <c r="BL327" s="32">
        <v>680000.0</v>
      </c>
    </row>
    <row r="328">
      <c r="A328" s="45">
        <f t="shared" si="2"/>
        <v>326</v>
      </c>
      <c r="B328" s="46" t="s">
        <v>3442</v>
      </c>
      <c r="C328" s="45">
        <v>2.024070613E9</v>
      </c>
      <c r="D328" s="46" t="s">
        <v>3443</v>
      </c>
      <c r="E328" s="46" t="s">
        <v>3444</v>
      </c>
      <c r="F328" s="46" t="s">
        <v>3445</v>
      </c>
      <c r="G328" s="47" t="s">
        <v>2429</v>
      </c>
      <c r="H328" s="45" t="s">
        <v>1527</v>
      </c>
      <c r="I328" s="48" t="s">
        <v>3353</v>
      </c>
      <c r="J328" s="47">
        <v>3.0</v>
      </c>
      <c r="K328" s="47" t="s">
        <v>2396</v>
      </c>
      <c r="L328" s="49" t="s">
        <v>3446</v>
      </c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>
        <v>500000.0</v>
      </c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>
        <v>500000.0</v>
      </c>
      <c r="AO328" s="50"/>
      <c r="AP328" s="50">
        <v>500000.0</v>
      </c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>
        <f t="shared" si="3"/>
        <v>500000</v>
      </c>
      <c r="BD328" s="50">
        <f t="shared" si="4"/>
        <v>1000000</v>
      </c>
      <c r="BE328" s="50">
        <f t="shared" si="5"/>
        <v>0</v>
      </c>
      <c r="BF328" s="50">
        <f t="shared" si="6"/>
        <v>1500000</v>
      </c>
      <c r="BG328" s="46"/>
      <c r="BH328" s="46"/>
      <c r="BI328" s="46"/>
      <c r="BJ328" s="45" t="str">
        <f t="shared" ref="BJ328:BK328" si="331">H328</f>
        <v>E</v>
      </c>
      <c r="BK328" s="45" t="str">
        <f t="shared" si="331"/>
        <v>E-3</v>
      </c>
      <c r="BL328" s="51">
        <v>680000.0</v>
      </c>
    </row>
    <row r="329">
      <c r="A329" s="12">
        <f t="shared" si="2"/>
        <v>327</v>
      </c>
      <c r="B329" s="15" t="s">
        <v>3447</v>
      </c>
      <c r="C329" s="12">
        <v>2.024070518E9</v>
      </c>
      <c r="D329" s="15" t="s">
        <v>3448</v>
      </c>
      <c r="E329" s="15" t="s">
        <v>3449</v>
      </c>
      <c r="F329" s="15" t="s">
        <v>3450</v>
      </c>
      <c r="G329" s="16" t="s">
        <v>1897</v>
      </c>
      <c r="H329" s="12" t="s">
        <v>1527</v>
      </c>
      <c r="I329" s="14" t="s">
        <v>3343</v>
      </c>
      <c r="J329" s="16">
        <v>3.0</v>
      </c>
      <c r="K329" s="16" t="s">
        <v>2407</v>
      </c>
      <c r="L329" s="44" t="s">
        <v>3451</v>
      </c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>
        <v>500000.0</v>
      </c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>
        <f t="shared" si="3"/>
        <v>0</v>
      </c>
      <c r="BD329" s="18">
        <f t="shared" si="4"/>
        <v>500000</v>
      </c>
      <c r="BE329" s="18">
        <f t="shared" si="5"/>
        <v>0</v>
      </c>
      <c r="BF329" s="18">
        <f t="shared" si="6"/>
        <v>500000</v>
      </c>
      <c r="BG329" s="15"/>
      <c r="BH329" s="15"/>
      <c r="BI329" s="15"/>
      <c r="BJ329" s="12" t="str">
        <f t="shared" ref="BJ329:BK329" si="332">H329</f>
        <v>E</v>
      </c>
      <c r="BK329" s="12" t="str">
        <f t="shared" si="332"/>
        <v>E-2</v>
      </c>
      <c r="BL329" s="32">
        <v>680000.0</v>
      </c>
    </row>
    <row r="330">
      <c r="A330" s="45">
        <f t="shared" si="2"/>
        <v>328</v>
      </c>
      <c r="B330" s="46" t="s">
        <v>3452</v>
      </c>
      <c r="C330" s="45">
        <v>2.024070467E9</v>
      </c>
      <c r="D330" s="46" t="s">
        <v>3453</v>
      </c>
      <c r="E330" s="46" t="s">
        <v>3454</v>
      </c>
      <c r="F330" s="46" t="s">
        <v>3455</v>
      </c>
      <c r="G330" s="47" t="s">
        <v>1917</v>
      </c>
      <c r="H330" s="45" t="s">
        <v>1527</v>
      </c>
      <c r="I330" s="48" t="s">
        <v>3343</v>
      </c>
      <c r="J330" s="47">
        <v>3.0</v>
      </c>
      <c r="K330" s="47" t="s">
        <v>2396</v>
      </c>
      <c r="L330" s="49" t="s">
        <v>3456</v>
      </c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>
        <v>500000.0</v>
      </c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>
        <v>500000.0</v>
      </c>
      <c r="AO330" s="50"/>
      <c r="AP330" s="50">
        <v>500000.0</v>
      </c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>
        <f t="shared" si="3"/>
        <v>500000</v>
      </c>
      <c r="BD330" s="50">
        <f t="shared" si="4"/>
        <v>1000000</v>
      </c>
      <c r="BE330" s="50">
        <f t="shared" si="5"/>
        <v>0</v>
      </c>
      <c r="BF330" s="50">
        <f t="shared" si="6"/>
        <v>1500000</v>
      </c>
      <c r="BG330" s="46"/>
      <c r="BH330" s="46"/>
      <c r="BI330" s="46"/>
      <c r="BJ330" s="45" t="str">
        <f t="shared" ref="BJ330:BK330" si="333">H330</f>
        <v>E</v>
      </c>
      <c r="BK330" s="45" t="str">
        <f t="shared" si="333"/>
        <v>E-2</v>
      </c>
      <c r="BL330" s="51">
        <v>680000.0</v>
      </c>
    </row>
    <row r="331">
      <c r="A331" s="12">
        <f t="shared" si="2"/>
        <v>329</v>
      </c>
      <c r="B331" s="15" t="s">
        <v>3457</v>
      </c>
      <c r="C331" s="12">
        <v>2.024070568E9</v>
      </c>
      <c r="D331" s="15" t="s">
        <v>3458</v>
      </c>
      <c r="E331" s="15" t="s">
        <v>3459</v>
      </c>
      <c r="F331" s="15" t="s">
        <v>3460</v>
      </c>
      <c r="G331" s="16" t="s">
        <v>1946</v>
      </c>
      <c r="H331" s="12" t="s">
        <v>1527</v>
      </c>
      <c r="I331" s="14" t="s">
        <v>3353</v>
      </c>
      <c r="J331" s="16">
        <v>3.0</v>
      </c>
      <c r="K331" s="16" t="s">
        <v>2413</v>
      </c>
      <c r="L331" s="44" t="s">
        <v>3461</v>
      </c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>
        <v>500000.0</v>
      </c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>
        <v>500000.0</v>
      </c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>
        <f t="shared" si="3"/>
        <v>0</v>
      </c>
      <c r="BD331" s="18">
        <f t="shared" si="4"/>
        <v>1000000</v>
      </c>
      <c r="BE331" s="18">
        <f t="shared" si="5"/>
        <v>0</v>
      </c>
      <c r="BF331" s="18">
        <f t="shared" si="6"/>
        <v>1000000</v>
      </c>
      <c r="BG331" s="15"/>
      <c r="BH331" s="15"/>
      <c r="BI331" s="15"/>
      <c r="BJ331" s="12" t="str">
        <f t="shared" ref="BJ331:BK331" si="334">H331</f>
        <v>E</v>
      </c>
      <c r="BK331" s="12" t="str">
        <f t="shared" si="334"/>
        <v>E-3</v>
      </c>
      <c r="BL331" s="32">
        <v>680000.0</v>
      </c>
    </row>
    <row r="332">
      <c r="A332" s="45">
        <f t="shared" si="2"/>
        <v>330</v>
      </c>
      <c r="B332" s="46" t="s">
        <v>3462</v>
      </c>
      <c r="C332" s="45">
        <v>2.024070542E9</v>
      </c>
      <c r="D332" s="46" t="s">
        <v>1251</v>
      </c>
      <c r="E332" s="46" t="s">
        <v>3463</v>
      </c>
      <c r="F332" s="46" t="s">
        <v>3440</v>
      </c>
      <c r="G332" s="47" t="s">
        <v>1897</v>
      </c>
      <c r="H332" s="45" t="s">
        <v>1527</v>
      </c>
      <c r="I332" s="48" t="s">
        <v>3353</v>
      </c>
      <c r="J332" s="47">
        <v>3.0</v>
      </c>
      <c r="K332" s="47" t="s">
        <v>2407</v>
      </c>
      <c r="L332" s="49" t="s">
        <v>3464</v>
      </c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>
        <v>500000.0</v>
      </c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>
        <v>500000.0</v>
      </c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>
        <f t="shared" si="3"/>
        <v>0</v>
      </c>
      <c r="BD332" s="50">
        <f t="shared" si="4"/>
        <v>1000000</v>
      </c>
      <c r="BE332" s="50">
        <f t="shared" si="5"/>
        <v>0</v>
      </c>
      <c r="BF332" s="50">
        <f t="shared" si="6"/>
        <v>1000000</v>
      </c>
      <c r="BG332" s="46"/>
      <c r="BH332" s="46"/>
      <c r="BI332" s="46"/>
      <c r="BJ332" s="45" t="str">
        <f t="shared" ref="BJ332:BK332" si="335">H332</f>
        <v>E</v>
      </c>
      <c r="BK332" s="45" t="str">
        <f t="shared" si="335"/>
        <v>E-3</v>
      </c>
      <c r="BL332" s="51">
        <v>680000.0</v>
      </c>
    </row>
    <row r="333">
      <c r="A333" s="12">
        <f t="shared" si="2"/>
        <v>331</v>
      </c>
      <c r="B333" s="15" t="s">
        <v>3465</v>
      </c>
      <c r="C333" s="12">
        <v>2.024070481E9</v>
      </c>
      <c r="D333" s="15" t="s">
        <v>3466</v>
      </c>
      <c r="E333" s="15" t="s">
        <v>3467</v>
      </c>
      <c r="F333" s="15" t="s">
        <v>3468</v>
      </c>
      <c r="G333" s="16" t="s">
        <v>1924</v>
      </c>
      <c r="H333" s="12" t="s">
        <v>1527</v>
      </c>
      <c r="I333" s="14" t="s">
        <v>3353</v>
      </c>
      <c r="J333" s="16">
        <v>3.0</v>
      </c>
      <c r="K333" s="16" t="s">
        <v>2413</v>
      </c>
      <c r="L333" s="44" t="s">
        <v>3469</v>
      </c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>
        <f t="shared" si="3"/>
        <v>0</v>
      </c>
      <c r="BD333" s="18">
        <f t="shared" si="4"/>
        <v>0</v>
      </c>
      <c r="BE333" s="18">
        <f t="shared" si="5"/>
        <v>0</v>
      </c>
      <c r="BF333" s="18">
        <f t="shared" si="6"/>
        <v>0</v>
      </c>
      <c r="BG333" s="15"/>
      <c r="BH333" s="15"/>
      <c r="BI333" s="15"/>
      <c r="BJ333" s="12" t="str">
        <f t="shared" ref="BJ333:BK333" si="336">H333</f>
        <v>E</v>
      </c>
      <c r="BK333" s="12" t="str">
        <f t="shared" si="336"/>
        <v>E-3</v>
      </c>
      <c r="BL333" s="32">
        <v>680000.0</v>
      </c>
    </row>
    <row r="334">
      <c r="A334" s="45">
        <f t="shared" si="2"/>
        <v>332</v>
      </c>
      <c r="B334" s="46" t="s">
        <v>3470</v>
      </c>
      <c r="C334" s="45">
        <v>2.024070583E9</v>
      </c>
      <c r="D334" s="46" t="s">
        <v>3471</v>
      </c>
      <c r="E334" s="46" t="s">
        <v>3472</v>
      </c>
      <c r="F334" s="46" t="s">
        <v>3473</v>
      </c>
      <c r="G334" s="47" t="s">
        <v>1917</v>
      </c>
      <c r="H334" s="45" t="s">
        <v>1527</v>
      </c>
      <c r="I334" s="48" t="s">
        <v>3334</v>
      </c>
      <c r="J334" s="47">
        <v>3.0</v>
      </c>
      <c r="K334" s="47" t="s">
        <v>2407</v>
      </c>
      <c r="L334" s="49" t="s">
        <v>3474</v>
      </c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>
        <v>500000.0</v>
      </c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>
        <v>500000.0</v>
      </c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>
        <f t="shared" si="3"/>
        <v>0</v>
      </c>
      <c r="BD334" s="50">
        <f t="shared" si="4"/>
        <v>1000000</v>
      </c>
      <c r="BE334" s="50">
        <f t="shared" si="5"/>
        <v>0</v>
      </c>
      <c r="BF334" s="50">
        <f t="shared" si="6"/>
        <v>1000000</v>
      </c>
      <c r="BG334" s="46"/>
      <c r="BH334" s="46"/>
      <c r="BI334" s="46"/>
      <c r="BJ334" s="45" t="str">
        <f t="shared" ref="BJ334:BK334" si="337">H334</f>
        <v>E</v>
      </c>
      <c r="BK334" s="45" t="str">
        <f t="shared" si="337"/>
        <v>E-9</v>
      </c>
      <c r="BL334" s="51">
        <v>680000.0</v>
      </c>
    </row>
    <row r="335">
      <c r="A335" s="12">
        <f t="shared" si="2"/>
        <v>333</v>
      </c>
      <c r="B335" s="15" t="s">
        <v>3475</v>
      </c>
      <c r="C335" s="12">
        <v>2.024070536E9</v>
      </c>
      <c r="D335" s="15" t="s">
        <v>3476</v>
      </c>
      <c r="E335" s="15" t="s">
        <v>3477</v>
      </c>
      <c r="F335" s="15" t="s">
        <v>3478</v>
      </c>
      <c r="G335" s="16" t="s">
        <v>1917</v>
      </c>
      <c r="H335" s="12" t="s">
        <v>1527</v>
      </c>
      <c r="I335" s="14" t="s">
        <v>3334</v>
      </c>
      <c r="J335" s="16">
        <v>3.0</v>
      </c>
      <c r="K335" s="16" t="s">
        <v>2396</v>
      </c>
      <c r="L335" s="44" t="s">
        <v>3479</v>
      </c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>
        <v>500000.0</v>
      </c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>
        <f t="shared" si="3"/>
        <v>0</v>
      </c>
      <c r="BD335" s="18">
        <f t="shared" si="4"/>
        <v>500000</v>
      </c>
      <c r="BE335" s="18">
        <f t="shared" si="5"/>
        <v>0</v>
      </c>
      <c r="BF335" s="18">
        <f t="shared" si="6"/>
        <v>500000</v>
      </c>
      <c r="BG335" s="15"/>
      <c r="BH335" s="15"/>
      <c r="BI335" s="15"/>
      <c r="BJ335" s="12" t="str">
        <f t="shared" ref="BJ335:BK335" si="338">H335</f>
        <v>E</v>
      </c>
      <c r="BK335" s="12" t="str">
        <f t="shared" si="338"/>
        <v>E-9</v>
      </c>
      <c r="BL335" s="32">
        <v>680000.0</v>
      </c>
    </row>
    <row r="336">
      <c r="A336" s="45">
        <f t="shared" si="2"/>
        <v>334</v>
      </c>
      <c r="B336" s="46" t="s">
        <v>3480</v>
      </c>
      <c r="C336" s="45">
        <v>2.024070443E9</v>
      </c>
      <c r="D336" s="46" t="s">
        <v>3481</v>
      </c>
      <c r="E336" s="46" t="s">
        <v>3482</v>
      </c>
      <c r="F336" s="46" t="s">
        <v>3483</v>
      </c>
      <c r="G336" s="47" t="s">
        <v>1917</v>
      </c>
      <c r="H336" s="45" t="s">
        <v>1527</v>
      </c>
      <c r="I336" s="48" t="s">
        <v>3334</v>
      </c>
      <c r="J336" s="47">
        <v>3.0</v>
      </c>
      <c r="K336" s="47" t="s">
        <v>2396</v>
      </c>
      <c r="L336" s="49" t="s">
        <v>3484</v>
      </c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>
        <f t="shared" si="3"/>
        <v>0</v>
      </c>
      <c r="BD336" s="50">
        <f t="shared" si="4"/>
        <v>0</v>
      </c>
      <c r="BE336" s="50">
        <f t="shared" si="5"/>
        <v>0</v>
      </c>
      <c r="BF336" s="50">
        <f t="shared" si="6"/>
        <v>0</v>
      </c>
      <c r="BG336" s="46"/>
      <c r="BH336" s="46"/>
      <c r="BI336" s="46"/>
      <c r="BJ336" s="45" t="str">
        <f t="shared" ref="BJ336:BK336" si="339">H336</f>
        <v>E</v>
      </c>
      <c r="BK336" s="45" t="str">
        <f t="shared" si="339"/>
        <v>E-9</v>
      </c>
      <c r="BL336" s="51">
        <v>680000.0</v>
      </c>
    </row>
    <row r="337">
      <c r="A337" s="12">
        <f t="shared" si="2"/>
        <v>335</v>
      </c>
      <c r="B337" s="15" t="s">
        <v>3485</v>
      </c>
      <c r="C337" s="12">
        <v>2.024070574E9</v>
      </c>
      <c r="D337" s="15" t="s">
        <v>3486</v>
      </c>
      <c r="E337" s="15" t="s">
        <v>3487</v>
      </c>
      <c r="F337" s="15" t="s">
        <v>194</v>
      </c>
      <c r="G337" s="16" t="s">
        <v>1924</v>
      </c>
      <c r="H337" s="12" t="s">
        <v>1527</v>
      </c>
      <c r="I337" s="14" t="s">
        <v>3343</v>
      </c>
      <c r="J337" s="16">
        <v>3.0</v>
      </c>
      <c r="K337" s="16" t="s">
        <v>2396</v>
      </c>
      <c r="L337" s="44" t="s">
        <v>3488</v>
      </c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>
        <v>350000.0</v>
      </c>
      <c r="AB337" s="18">
        <v>500000.0</v>
      </c>
      <c r="AC337" s="18"/>
      <c r="AD337" s="18"/>
      <c r="AE337" s="18"/>
      <c r="AF337" s="18"/>
      <c r="AG337" s="18"/>
      <c r="AH337" s="18">
        <v>500000.0</v>
      </c>
      <c r="AI337" s="18">
        <v>500000.0</v>
      </c>
      <c r="AJ337" s="18">
        <v>500000.0</v>
      </c>
      <c r="AK337" s="18">
        <v>500000.0</v>
      </c>
      <c r="AL337" s="18">
        <v>500000.0</v>
      </c>
      <c r="AM337" s="18">
        <v>500000.0</v>
      </c>
      <c r="AN337" s="18">
        <v>500000.0</v>
      </c>
      <c r="AO337" s="18"/>
      <c r="AP337" s="18">
        <v>500000.0</v>
      </c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>
        <f t="shared" si="3"/>
        <v>3500000</v>
      </c>
      <c r="BD337" s="18">
        <f t="shared" si="4"/>
        <v>1000000</v>
      </c>
      <c r="BE337" s="18">
        <f t="shared" si="5"/>
        <v>350000</v>
      </c>
      <c r="BF337" s="18">
        <f t="shared" si="6"/>
        <v>4850000</v>
      </c>
      <c r="BG337" s="15"/>
      <c r="BH337" s="15"/>
      <c r="BI337" s="15"/>
      <c r="BJ337" s="12" t="str">
        <f t="shared" ref="BJ337:BK337" si="340">H337</f>
        <v>E</v>
      </c>
      <c r="BK337" s="12" t="str">
        <f t="shared" si="340"/>
        <v>E-2</v>
      </c>
      <c r="BL337" s="32">
        <v>680000.0</v>
      </c>
    </row>
    <row r="338">
      <c r="A338" s="45">
        <f t="shared" si="2"/>
        <v>336</v>
      </c>
      <c r="B338" s="46" t="s">
        <v>3489</v>
      </c>
      <c r="C338" s="45">
        <v>2.024070657E9</v>
      </c>
      <c r="D338" s="46" t="s">
        <v>3490</v>
      </c>
      <c r="E338" s="46" t="s">
        <v>3491</v>
      </c>
      <c r="F338" s="46" t="s">
        <v>3492</v>
      </c>
      <c r="G338" s="47" t="s">
        <v>1897</v>
      </c>
      <c r="H338" s="45" t="s">
        <v>1527</v>
      </c>
      <c r="I338" s="48" t="s">
        <v>3343</v>
      </c>
      <c r="J338" s="47">
        <v>3.0</v>
      </c>
      <c r="K338" s="47" t="s">
        <v>2413</v>
      </c>
      <c r="L338" s="49" t="s">
        <v>3493</v>
      </c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>
        <v>500000.0</v>
      </c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>
        <v>500000.0</v>
      </c>
      <c r="AO338" s="50"/>
      <c r="AP338" s="50">
        <v>500000.0</v>
      </c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>
        <f t="shared" si="3"/>
        <v>500000</v>
      </c>
      <c r="BD338" s="50">
        <f t="shared" si="4"/>
        <v>1000000</v>
      </c>
      <c r="BE338" s="50">
        <f t="shared" si="5"/>
        <v>0</v>
      </c>
      <c r="BF338" s="50">
        <f t="shared" si="6"/>
        <v>1500000</v>
      </c>
      <c r="BG338" s="46"/>
      <c r="BH338" s="46"/>
      <c r="BI338" s="46"/>
      <c r="BJ338" s="45" t="str">
        <f t="shared" ref="BJ338:BK338" si="341">H338</f>
        <v>E</v>
      </c>
      <c r="BK338" s="45" t="str">
        <f t="shared" si="341"/>
        <v>E-2</v>
      </c>
      <c r="BL338" s="51">
        <v>680000.0</v>
      </c>
    </row>
    <row r="339">
      <c r="A339" s="12">
        <f t="shared" si="2"/>
        <v>337</v>
      </c>
      <c r="B339" s="15" t="s">
        <v>3494</v>
      </c>
      <c r="C339" s="12">
        <v>2.024070446E9</v>
      </c>
      <c r="D339" s="15" t="s">
        <v>3495</v>
      </c>
      <c r="E339" s="15" t="s">
        <v>3496</v>
      </c>
      <c r="F339" s="15" t="s">
        <v>3497</v>
      </c>
      <c r="G339" s="16" t="s">
        <v>1917</v>
      </c>
      <c r="H339" s="12" t="s">
        <v>1527</v>
      </c>
      <c r="I339" s="14" t="s">
        <v>3334</v>
      </c>
      <c r="J339" s="16">
        <v>3.0</v>
      </c>
      <c r="K339" s="16" t="s">
        <v>2413</v>
      </c>
      <c r="L339" s="44" t="s">
        <v>3498</v>
      </c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>
        <v>500000.0</v>
      </c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>
        <v>500000.0</v>
      </c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>
        <f t="shared" si="3"/>
        <v>0</v>
      </c>
      <c r="BD339" s="18">
        <f t="shared" si="4"/>
        <v>1000000</v>
      </c>
      <c r="BE339" s="18">
        <f t="shared" si="5"/>
        <v>0</v>
      </c>
      <c r="BF339" s="18">
        <f t="shared" si="6"/>
        <v>1000000</v>
      </c>
      <c r="BG339" s="15"/>
      <c r="BH339" s="15"/>
      <c r="BI339" s="15"/>
      <c r="BJ339" s="12" t="str">
        <f t="shared" ref="BJ339:BK339" si="342">H339</f>
        <v>E</v>
      </c>
      <c r="BK339" s="12" t="str">
        <f t="shared" si="342"/>
        <v>E-9</v>
      </c>
      <c r="BL339" s="32">
        <v>680000.0</v>
      </c>
    </row>
    <row r="340">
      <c r="A340" s="45">
        <f t="shared" si="2"/>
        <v>338</v>
      </c>
      <c r="B340" s="46" t="s">
        <v>3499</v>
      </c>
      <c r="C340" s="45">
        <v>2.024070586E9</v>
      </c>
      <c r="D340" s="46" t="s">
        <v>212</v>
      </c>
      <c r="E340" s="46" t="s">
        <v>3500</v>
      </c>
      <c r="F340" s="46" t="s">
        <v>3501</v>
      </c>
      <c r="G340" s="47" t="s">
        <v>1917</v>
      </c>
      <c r="H340" s="45" t="s">
        <v>1527</v>
      </c>
      <c r="I340" s="48" t="s">
        <v>3334</v>
      </c>
      <c r="J340" s="47">
        <v>3.0</v>
      </c>
      <c r="K340" s="47" t="s">
        <v>2413</v>
      </c>
      <c r="L340" s="49" t="s">
        <v>3502</v>
      </c>
      <c r="M340" s="50">
        <v>600000.0</v>
      </c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>
        <v>500000.0</v>
      </c>
      <c r="Y340" s="50">
        <v>500000.0</v>
      </c>
      <c r="Z340" s="50">
        <v>500000.0</v>
      </c>
      <c r="AA340" s="50">
        <v>350000.0</v>
      </c>
      <c r="AB340" s="50">
        <v>500000.0</v>
      </c>
      <c r="AC340" s="50">
        <v>500000.0</v>
      </c>
      <c r="AD340" s="50">
        <v>500000.0</v>
      </c>
      <c r="AE340" s="50">
        <v>500000.0</v>
      </c>
      <c r="AF340" s="50">
        <v>500000.0</v>
      </c>
      <c r="AG340" s="50">
        <v>500000.0</v>
      </c>
      <c r="AH340" s="50">
        <v>500000.0</v>
      </c>
      <c r="AI340" s="50">
        <v>500000.0</v>
      </c>
      <c r="AJ340" s="50">
        <v>500000.0</v>
      </c>
      <c r="AK340" s="50">
        <v>500000.0</v>
      </c>
      <c r="AL340" s="50">
        <v>500000.0</v>
      </c>
      <c r="AM340" s="50">
        <v>500000.0</v>
      </c>
      <c r="AN340" s="50">
        <v>500000.0</v>
      </c>
      <c r="AO340" s="50"/>
      <c r="AP340" s="50">
        <v>500000.0</v>
      </c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>
        <f t="shared" si="3"/>
        <v>7500000</v>
      </c>
      <c r="BD340" s="50">
        <f t="shared" si="4"/>
        <v>1600000</v>
      </c>
      <c r="BE340" s="50">
        <f t="shared" si="5"/>
        <v>350000</v>
      </c>
      <c r="BF340" s="50">
        <f t="shared" si="6"/>
        <v>9450000</v>
      </c>
      <c r="BG340" s="46"/>
      <c r="BH340" s="46"/>
      <c r="BI340" s="46"/>
      <c r="BJ340" s="45" t="str">
        <f t="shared" ref="BJ340:BK340" si="343">H340</f>
        <v>E</v>
      </c>
      <c r="BK340" s="45" t="str">
        <f t="shared" si="343"/>
        <v>E-9</v>
      </c>
      <c r="BL340" s="51">
        <v>680000.0</v>
      </c>
    </row>
    <row r="341">
      <c r="A341" s="12">
        <f t="shared" si="2"/>
        <v>339</v>
      </c>
      <c r="B341" s="15" t="s">
        <v>3503</v>
      </c>
      <c r="C341" s="12">
        <v>2.024070606E9</v>
      </c>
      <c r="D341" s="15" t="s">
        <v>3504</v>
      </c>
      <c r="E341" s="15" t="s">
        <v>3505</v>
      </c>
      <c r="F341" s="15" t="s">
        <v>3506</v>
      </c>
      <c r="G341" s="16" t="s">
        <v>1917</v>
      </c>
      <c r="H341" s="12" t="s">
        <v>1527</v>
      </c>
      <c r="I341" s="14" t="s">
        <v>3334</v>
      </c>
      <c r="J341" s="16">
        <v>3.0</v>
      </c>
      <c r="K341" s="16" t="s">
        <v>2407</v>
      </c>
      <c r="L341" s="44" t="s">
        <v>3507</v>
      </c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>
        <v>500000.0</v>
      </c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>
        <v>500000.0</v>
      </c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>
        <f t="shared" si="3"/>
        <v>0</v>
      </c>
      <c r="BD341" s="18">
        <f t="shared" si="4"/>
        <v>1000000</v>
      </c>
      <c r="BE341" s="18">
        <f t="shared" si="5"/>
        <v>0</v>
      </c>
      <c r="BF341" s="18">
        <f t="shared" si="6"/>
        <v>1000000</v>
      </c>
      <c r="BG341" s="15"/>
      <c r="BH341" s="15"/>
      <c r="BI341" s="15"/>
      <c r="BJ341" s="12" t="str">
        <f t="shared" ref="BJ341:BK341" si="344">H341</f>
        <v>E</v>
      </c>
      <c r="BK341" s="12" t="str">
        <f t="shared" si="344"/>
        <v>E-9</v>
      </c>
      <c r="BL341" s="32">
        <v>680000.0</v>
      </c>
    </row>
    <row r="342">
      <c r="A342" s="45">
        <f t="shared" si="2"/>
        <v>340</v>
      </c>
      <c r="B342" s="46" t="s">
        <v>3508</v>
      </c>
      <c r="C342" s="45">
        <v>2.02407034E9</v>
      </c>
      <c r="D342" s="46" t="s">
        <v>3509</v>
      </c>
      <c r="E342" s="46" t="s">
        <v>3510</v>
      </c>
      <c r="F342" s="46" t="s">
        <v>3511</v>
      </c>
      <c r="G342" s="47" t="s">
        <v>2736</v>
      </c>
      <c r="H342" s="45" t="s">
        <v>1527</v>
      </c>
      <c r="I342" s="48" t="s">
        <v>3353</v>
      </c>
      <c r="J342" s="47">
        <v>3.0</v>
      </c>
      <c r="K342" s="47" t="s">
        <v>2493</v>
      </c>
      <c r="L342" s="49" t="s">
        <v>3512</v>
      </c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>
        <v>500000.0</v>
      </c>
      <c r="AJ342" s="50">
        <v>500000.0</v>
      </c>
      <c r="AK342" s="50">
        <v>500000.0</v>
      </c>
      <c r="AL342" s="50">
        <v>500000.0</v>
      </c>
      <c r="AM342" s="50">
        <v>500000.0</v>
      </c>
      <c r="AN342" s="50">
        <v>500000.0</v>
      </c>
      <c r="AO342" s="50"/>
      <c r="AP342" s="50">
        <v>500000.0</v>
      </c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>
        <f t="shared" si="3"/>
        <v>3000000</v>
      </c>
      <c r="BD342" s="50">
        <f t="shared" si="4"/>
        <v>500000</v>
      </c>
      <c r="BE342" s="50">
        <f t="shared" si="5"/>
        <v>0</v>
      </c>
      <c r="BF342" s="50">
        <f t="shared" si="6"/>
        <v>3500000</v>
      </c>
      <c r="BG342" s="46"/>
      <c r="BH342" s="46"/>
      <c r="BI342" s="46"/>
      <c r="BJ342" s="45" t="str">
        <f t="shared" ref="BJ342:BK342" si="345">H342</f>
        <v>E</v>
      </c>
      <c r="BK342" s="45" t="str">
        <f t="shared" si="345"/>
        <v>E-3</v>
      </c>
      <c r="BL342" s="51">
        <v>680000.0</v>
      </c>
    </row>
    <row r="343">
      <c r="A343" s="12">
        <f t="shared" si="2"/>
        <v>341</v>
      </c>
      <c r="B343" s="15" t="s">
        <v>3513</v>
      </c>
      <c r="C343" s="12">
        <v>2.024070188E9</v>
      </c>
      <c r="D343" s="15" t="s">
        <v>3514</v>
      </c>
      <c r="E343" s="15" t="s">
        <v>3515</v>
      </c>
      <c r="F343" s="15" t="s">
        <v>3516</v>
      </c>
      <c r="G343" s="16" t="s">
        <v>2362</v>
      </c>
      <c r="H343" s="12" t="s">
        <v>1527</v>
      </c>
      <c r="I343" s="14" t="s">
        <v>3353</v>
      </c>
      <c r="J343" s="16">
        <v>3.0</v>
      </c>
      <c r="K343" s="16" t="s">
        <v>2483</v>
      </c>
      <c r="L343" s="44" t="s">
        <v>3517</v>
      </c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>
        <f t="shared" si="3"/>
        <v>0</v>
      </c>
      <c r="BD343" s="18">
        <f t="shared" si="4"/>
        <v>0</v>
      </c>
      <c r="BE343" s="18">
        <f t="shared" si="5"/>
        <v>0</v>
      </c>
      <c r="BF343" s="18">
        <f t="shared" si="6"/>
        <v>0</v>
      </c>
      <c r="BG343" s="15"/>
      <c r="BH343" s="15"/>
      <c r="BI343" s="15"/>
      <c r="BJ343" s="12" t="str">
        <f t="shared" ref="BJ343:BK343" si="346">H343</f>
        <v>E</v>
      </c>
      <c r="BK343" s="12" t="str">
        <f t="shared" si="346"/>
        <v>E-3</v>
      </c>
      <c r="BL343" s="32">
        <v>680000.0</v>
      </c>
    </row>
    <row r="344">
      <c r="A344" s="45">
        <f t="shared" si="2"/>
        <v>342</v>
      </c>
      <c r="B344" s="46" t="s">
        <v>3518</v>
      </c>
      <c r="C344" s="45">
        <v>2.024070415E9</v>
      </c>
      <c r="D344" s="46" t="s">
        <v>3519</v>
      </c>
      <c r="E344" s="46" t="s">
        <v>3520</v>
      </c>
      <c r="F344" s="46" t="s">
        <v>3521</v>
      </c>
      <c r="G344" s="47" t="s">
        <v>2342</v>
      </c>
      <c r="H344" s="45" t="s">
        <v>1527</v>
      </c>
      <c r="I344" s="48" t="s">
        <v>3353</v>
      </c>
      <c r="J344" s="47">
        <v>3.0</v>
      </c>
      <c r="K344" s="47" t="s">
        <v>2765</v>
      </c>
      <c r="L344" s="49" t="s">
        <v>3522</v>
      </c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>
        <v>350000.0</v>
      </c>
      <c r="AB344" s="50"/>
      <c r="AC344" s="50"/>
      <c r="AD344" s="50"/>
      <c r="AE344" s="50"/>
      <c r="AF344" s="50"/>
      <c r="AG344" s="50">
        <v>270000.0</v>
      </c>
      <c r="AH344" s="50">
        <v>270000.0</v>
      </c>
      <c r="AI344" s="50">
        <v>270000.0</v>
      </c>
      <c r="AJ344" s="50">
        <v>270000.0</v>
      </c>
      <c r="AK344" s="50">
        <v>270000.0</v>
      </c>
      <c r="AL344" s="50">
        <v>270000.0</v>
      </c>
      <c r="AM344" s="50">
        <v>270000.0</v>
      </c>
      <c r="AN344" s="50">
        <v>270000.0</v>
      </c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>
        <f t="shared" si="3"/>
        <v>2160000</v>
      </c>
      <c r="BD344" s="50">
        <f t="shared" si="4"/>
        <v>0</v>
      </c>
      <c r="BE344" s="50">
        <f t="shared" si="5"/>
        <v>350000</v>
      </c>
      <c r="BF344" s="50">
        <f t="shared" si="6"/>
        <v>2510000</v>
      </c>
      <c r="BG344" s="46"/>
      <c r="BH344" s="46"/>
      <c r="BI344" s="46"/>
      <c r="BJ344" s="45" t="str">
        <f t="shared" ref="BJ344:BK344" si="347">H344</f>
        <v>E</v>
      </c>
      <c r="BK344" s="45" t="str">
        <f t="shared" si="347"/>
        <v>E-3</v>
      </c>
      <c r="BL344" s="51">
        <v>360000.0</v>
      </c>
    </row>
    <row r="345">
      <c r="A345" s="12">
        <f t="shared" si="2"/>
        <v>343</v>
      </c>
      <c r="B345" s="15" t="s">
        <v>3523</v>
      </c>
      <c r="C345" s="12">
        <v>2.024070329E9</v>
      </c>
      <c r="D345" s="13" t="s">
        <v>3524</v>
      </c>
      <c r="E345" s="13" t="s">
        <v>3525</v>
      </c>
      <c r="F345" s="13" t="s">
        <v>3526</v>
      </c>
      <c r="G345" s="16" t="s">
        <v>2260</v>
      </c>
      <c r="H345" s="12" t="s">
        <v>1527</v>
      </c>
      <c r="I345" s="14" t="s">
        <v>3343</v>
      </c>
      <c r="J345" s="16">
        <v>3.0</v>
      </c>
      <c r="K345" s="16" t="s">
        <v>2765</v>
      </c>
      <c r="L345" s="44" t="s">
        <v>3527</v>
      </c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>
        <v>500000.0</v>
      </c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>
        <v>500000.0</v>
      </c>
      <c r="AO345" s="18"/>
      <c r="AP345" s="18">
        <v>500000.0</v>
      </c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>
        <f t="shared" si="3"/>
        <v>500000</v>
      </c>
      <c r="BD345" s="18">
        <f t="shared" si="4"/>
        <v>1000000</v>
      </c>
      <c r="BE345" s="18">
        <f t="shared" si="5"/>
        <v>0</v>
      </c>
      <c r="BF345" s="18">
        <f t="shared" si="6"/>
        <v>1500000</v>
      </c>
      <c r="BG345" s="15"/>
      <c r="BH345" s="15"/>
      <c r="BI345" s="15"/>
      <c r="BJ345" s="12" t="str">
        <f t="shared" ref="BJ345:BK345" si="348">H345</f>
        <v>E</v>
      </c>
      <c r="BK345" s="12" t="str">
        <f t="shared" si="348"/>
        <v>E-2</v>
      </c>
      <c r="BL345" s="32">
        <v>680000.0</v>
      </c>
    </row>
    <row r="346">
      <c r="A346" s="45">
        <f t="shared" si="2"/>
        <v>344</v>
      </c>
      <c r="B346" s="46" t="s">
        <v>3528</v>
      </c>
      <c r="C346" s="45">
        <v>2.024070195E9</v>
      </c>
      <c r="D346" s="46" t="s">
        <v>2263</v>
      </c>
      <c r="E346" s="46" t="s">
        <v>3008</v>
      </c>
      <c r="F346" s="46" t="s">
        <v>3529</v>
      </c>
      <c r="G346" s="47" t="s">
        <v>2266</v>
      </c>
      <c r="H346" s="45" t="s">
        <v>1527</v>
      </c>
      <c r="I346" s="48" t="s">
        <v>3353</v>
      </c>
      <c r="J346" s="47">
        <v>3.0</v>
      </c>
      <c r="K346" s="47" t="s">
        <v>2483</v>
      </c>
      <c r="L346" s="49" t="s">
        <v>3530</v>
      </c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>
        <v>500000.0</v>
      </c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>
        <v>500000.0</v>
      </c>
      <c r="AN346" s="50">
        <v>500000.0</v>
      </c>
      <c r="AO346" s="50"/>
      <c r="AP346" s="50">
        <v>500000.0</v>
      </c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>
        <f t="shared" si="3"/>
        <v>1000000</v>
      </c>
      <c r="BD346" s="50">
        <f t="shared" si="4"/>
        <v>1000000</v>
      </c>
      <c r="BE346" s="50">
        <f t="shared" si="5"/>
        <v>0</v>
      </c>
      <c r="BF346" s="50">
        <f t="shared" si="6"/>
        <v>2000000</v>
      </c>
      <c r="BG346" s="46"/>
      <c r="BH346" s="46"/>
      <c r="BI346" s="46"/>
      <c r="BJ346" s="45" t="str">
        <f t="shared" ref="BJ346:BK346" si="349">H346</f>
        <v>E</v>
      </c>
      <c r="BK346" s="45" t="str">
        <f t="shared" si="349"/>
        <v>E-3</v>
      </c>
      <c r="BL346" s="51">
        <v>680000.0</v>
      </c>
    </row>
    <row r="347">
      <c r="A347" s="12">
        <f t="shared" si="2"/>
        <v>345</v>
      </c>
      <c r="B347" s="15" t="s">
        <v>3531</v>
      </c>
      <c r="C347" s="12">
        <v>2.024070647E9</v>
      </c>
      <c r="D347" s="15" t="s">
        <v>3532</v>
      </c>
      <c r="E347" s="15" t="s">
        <v>3533</v>
      </c>
      <c r="F347" s="15" t="s">
        <v>3534</v>
      </c>
      <c r="G347" s="16" t="s">
        <v>1917</v>
      </c>
      <c r="H347" s="12" t="s">
        <v>1527</v>
      </c>
      <c r="I347" s="14" t="s">
        <v>3334</v>
      </c>
      <c r="J347" s="16">
        <v>3.0</v>
      </c>
      <c r="K347" s="16" t="s">
        <v>2407</v>
      </c>
      <c r="L347" s="44" t="s">
        <v>3535</v>
      </c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>
        <v>500000.0</v>
      </c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>
        <v>500000.0</v>
      </c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>
        <f t="shared" si="3"/>
        <v>0</v>
      </c>
      <c r="BD347" s="18">
        <f t="shared" si="4"/>
        <v>1000000</v>
      </c>
      <c r="BE347" s="18">
        <f t="shared" si="5"/>
        <v>0</v>
      </c>
      <c r="BF347" s="18">
        <f t="shared" si="6"/>
        <v>1000000</v>
      </c>
      <c r="BG347" s="15"/>
      <c r="BH347" s="15"/>
      <c r="BI347" s="15"/>
      <c r="BJ347" s="12" t="str">
        <f t="shared" ref="BJ347:BK347" si="350">H347</f>
        <v>E</v>
      </c>
      <c r="BK347" s="12" t="str">
        <f t="shared" si="350"/>
        <v>E-9</v>
      </c>
      <c r="BL347" s="32">
        <v>680000.0</v>
      </c>
    </row>
    <row r="348">
      <c r="A348" s="45">
        <f t="shared" si="2"/>
        <v>346</v>
      </c>
      <c r="B348" s="52" t="s">
        <v>3536</v>
      </c>
      <c r="C348" s="48">
        <v>2.025070425E9</v>
      </c>
      <c r="D348" s="52" t="s">
        <v>3537</v>
      </c>
      <c r="E348" s="52" t="s">
        <v>3538</v>
      </c>
      <c r="F348" s="52" t="s">
        <v>3539</v>
      </c>
      <c r="G348" s="47" t="s">
        <v>2783</v>
      </c>
      <c r="H348" s="48" t="s">
        <v>1392</v>
      </c>
      <c r="I348" s="48" t="s">
        <v>2743</v>
      </c>
      <c r="J348" s="47">
        <v>3.0</v>
      </c>
      <c r="K348" s="47" t="s">
        <v>2483</v>
      </c>
      <c r="L348" s="49" t="s">
        <v>3540</v>
      </c>
      <c r="M348" s="50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46"/>
      <c r="AP348" s="50">
        <v>500000.0</v>
      </c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50">
        <f t="shared" si="3"/>
        <v>0</v>
      </c>
      <c r="BD348" s="50">
        <f t="shared" si="4"/>
        <v>500000</v>
      </c>
      <c r="BE348" s="50">
        <f t="shared" si="5"/>
        <v>0</v>
      </c>
      <c r="BF348" s="50">
        <f t="shared" si="6"/>
        <v>500000</v>
      </c>
      <c r="BG348" s="46"/>
      <c r="BH348" s="46"/>
      <c r="BI348" s="46"/>
      <c r="BJ348" s="45" t="str">
        <f t="shared" ref="BJ348:BK348" si="351">H348</f>
        <v>D</v>
      </c>
      <c r="BK348" s="45" t="str">
        <f t="shared" si="351"/>
        <v>D-6</v>
      </c>
      <c r="BL348" s="51">
        <v>613000.0</v>
      </c>
    </row>
    <row r="349">
      <c r="A349" s="12">
        <f t="shared" si="2"/>
        <v>347</v>
      </c>
      <c r="B349" s="13" t="s">
        <v>3541</v>
      </c>
      <c r="C349" s="14">
        <v>2.024070416E9</v>
      </c>
      <c r="D349" s="13" t="s">
        <v>3542</v>
      </c>
      <c r="E349" s="13" t="s">
        <v>3543</v>
      </c>
      <c r="F349" s="13" t="s">
        <v>3544</v>
      </c>
      <c r="G349" s="16" t="s">
        <v>2248</v>
      </c>
      <c r="H349" s="14" t="s">
        <v>1392</v>
      </c>
      <c r="I349" s="14" t="s">
        <v>2743</v>
      </c>
      <c r="J349" s="16">
        <v>3.0</v>
      </c>
      <c r="K349" s="16" t="s">
        <v>2528</v>
      </c>
      <c r="L349" s="44" t="s">
        <v>3545</v>
      </c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8"/>
      <c r="AF349" s="18"/>
      <c r="AG349" s="18"/>
      <c r="AH349" s="18"/>
      <c r="AI349" s="18">
        <v>450000.0</v>
      </c>
      <c r="AJ349" s="18">
        <v>450000.0</v>
      </c>
      <c r="AK349" s="18">
        <v>450000.0</v>
      </c>
      <c r="AL349" s="18">
        <v>450000.0</v>
      </c>
      <c r="AM349" s="18">
        <v>450000.0</v>
      </c>
      <c r="AN349" s="18">
        <v>450000.0</v>
      </c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8">
        <f t="shared" si="3"/>
        <v>2700000</v>
      </c>
      <c r="BD349" s="18">
        <f t="shared" si="4"/>
        <v>0</v>
      </c>
      <c r="BE349" s="18">
        <f t="shared" si="5"/>
        <v>0</v>
      </c>
      <c r="BF349" s="18">
        <f t="shared" si="6"/>
        <v>2700000</v>
      </c>
      <c r="BG349" s="15"/>
      <c r="BH349" s="15"/>
      <c r="BI349" s="15"/>
      <c r="BJ349" s="12" t="str">
        <f t="shared" ref="BJ349:BK349" si="352">H349</f>
        <v>D</v>
      </c>
      <c r="BK349" s="12" t="str">
        <f t="shared" si="352"/>
        <v>D-6</v>
      </c>
      <c r="BL349" s="32">
        <v>613000.0</v>
      </c>
    </row>
    <row r="350">
      <c r="A350" s="45">
        <f t="shared" si="2"/>
        <v>348</v>
      </c>
      <c r="B350" s="46" t="s">
        <v>3546</v>
      </c>
      <c r="C350" s="45">
        <v>2.024070532E9</v>
      </c>
      <c r="D350" s="46" t="s">
        <v>3547</v>
      </c>
      <c r="E350" s="46" t="s">
        <v>3548</v>
      </c>
      <c r="F350" s="46" t="s">
        <v>3549</v>
      </c>
      <c r="G350" s="47" t="s">
        <v>1946</v>
      </c>
      <c r="H350" s="48" t="s">
        <v>863</v>
      </c>
      <c r="I350" s="48" t="s">
        <v>892</v>
      </c>
      <c r="J350" s="47">
        <v>3.0</v>
      </c>
      <c r="K350" s="47" t="s">
        <v>2396</v>
      </c>
      <c r="L350" s="49" t="s">
        <v>3550</v>
      </c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>
        <v>450000.0</v>
      </c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>
        <f t="shared" si="3"/>
        <v>450000</v>
      </c>
      <c r="BD350" s="50">
        <f t="shared" si="4"/>
        <v>0</v>
      </c>
      <c r="BE350" s="50">
        <f t="shared" si="5"/>
        <v>0</v>
      </c>
      <c r="BF350" s="50">
        <f t="shared" si="6"/>
        <v>450000</v>
      </c>
      <c r="BG350" s="46"/>
      <c r="BH350" s="46"/>
      <c r="BI350" s="46"/>
      <c r="BJ350" s="45" t="str">
        <f t="shared" ref="BJ350:BK350" si="353">H350</f>
        <v>C</v>
      </c>
      <c r="BK350" s="45" t="str">
        <f t="shared" si="353"/>
        <v>C-13</v>
      </c>
      <c r="BL350" s="51">
        <v>613000.0</v>
      </c>
    </row>
    <row r="351">
      <c r="A351" s="12">
        <f t="shared" si="2"/>
        <v>349</v>
      </c>
      <c r="B351" s="15" t="s">
        <v>3551</v>
      </c>
      <c r="C351" s="12">
        <v>2.024070547E9</v>
      </c>
      <c r="D351" s="15" t="s">
        <v>3552</v>
      </c>
      <c r="E351" s="15" t="s">
        <v>3553</v>
      </c>
      <c r="F351" s="15" t="s">
        <v>3119</v>
      </c>
      <c r="G351" s="16" t="s">
        <v>1946</v>
      </c>
      <c r="H351" s="14" t="s">
        <v>863</v>
      </c>
      <c r="I351" s="14" t="s">
        <v>892</v>
      </c>
      <c r="J351" s="16">
        <v>3.0</v>
      </c>
      <c r="K351" s="16" t="s">
        <v>2407</v>
      </c>
      <c r="L351" s="44" t="s">
        <v>3554</v>
      </c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>
        <v>500000.0</v>
      </c>
      <c r="AC351" s="18"/>
      <c r="AD351" s="18"/>
      <c r="AE351" s="18"/>
      <c r="AF351" s="18"/>
      <c r="AG351" s="18"/>
      <c r="AH351" s="18"/>
      <c r="AI351" s="18"/>
      <c r="AJ351" s="18"/>
      <c r="AK351" s="18">
        <v>450000.0</v>
      </c>
      <c r="AL351" s="18">
        <v>450000.0</v>
      </c>
      <c r="AM351" s="18">
        <v>450000.0</v>
      </c>
      <c r="AN351" s="18">
        <v>450000.0</v>
      </c>
      <c r="AO351" s="18"/>
      <c r="AP351" s="18">
        <v>500000.0</v>
      </c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>
        <f t="shared" si="3"/>
        <v>1800000</v>
      </c>
      <c r="BD351" s="18">
        <f t="shared" si="4"/>
        <v>1000000</v>
      </c>
      <c r="BE351" s="18">
        <f t="shared" si="5"/>
        <v>0</v>
      </c>
      <c r="BF351" s="18">
        <f t="shared" si="6"/>
        <v>2800000</v>
      </c>
      <c r="BG351" s="15"/>
      <c r="BH351" s="15"/>
      <c r="BI351" s="15"/>
      <c r="BJ351" s="12" t="str">
        <f t="shared" ref="BJ351:BK351" si="354">H351</f>
        <v>C</v>
      </c>
      <c r="BK351" s="12" t="str">
        <f t="shared" si="354"/>
        <v>C-13</v>
      </c>
      <c r="BL351" s="32">
        <v>613000.0</v>
      </c>
    </row>
    <row r="352">
      <c r="A352" s="45">
        <f t="shared" si="2"/>
        <v>350</v>
      </c>
      <c r="B352" s="52" t="s">
        <v>182</v>
      </c>
      <c r="C352" s="48">
        <v>2.024070044E9</v>
      </c>
      <c r="D352" s="52" t="s">
        <v>3555</v>
      </c>
      <c r="E352" s="52" t="s">
        <v>3556</v>
      </c>
      <c r="F352" s="52" t="s">
        <v>3557</v>
      </c>
      <c r="G352" s="47" t="s">
        <v>2342</v>
      </c>
      <c r="H352" s="48" t="s">
        <v>1527</v>
      </c>
      <c r="I352" s="48" t="s">
        <v>3343</v>
      </c>
      <c r="J352" s="47">
        <v>3.0</v>
      </c>
      <c r="K352" s="47" t="s">
        <v>2765</v>
      </c>
      <c r="L352" s="49" t="s">
        <v>3558</v>
      </c>
      <c r="M352" s="46"/>
      <c r="N352" s="46"/>
      <c r="O352" s="46"/>
      <c r="P352" s="50">
        <v>270000.0</v>
      </c>
      <c r="Q352" s="50">
        <v>270000.0</v>
      </c>
      <c r="R352" s="50">
        <v>270000.0</v>
      </c>
      <c r="S352" s="50">
        <v>270000.0</v>
      </c>
      <c r="T352" s="50">
        <v>270000.0</v>
      </c>
      <c r="U352" s="50">
        <v>270000.0</v>
      </c>
      <c r="V352" s="50">
        <v>270000.0</v>
      </c>
      <c r="W352" s="50">
        <v>270000.0</v>
      </c>
      <c r="X352" s="50">
        <v>270000.0</v>
      </c>
      <c r="Y352" s="50">
        <v>270000.0</v>
      </c>
      <c r="Z352" s="50">
        <v>270000.0</v>
      </c>
      <c r="AA352" s="50">
        <v>350000.0</v>
      </c>
      <c r="AB352" s="46"/>
      <c r="AC352" s="50">
        <v>270000.0</v>
      </c>
      <c r="AD352" s="50">
        <v>270000.0</v>
      </c>
      <c r="AE352" s="50">
        <v>270000.0</v>
      </c>
      <c r="AF352" s="50">
        <v>270000.0</v>
      </c>
      <c r="AG352" s="50">
        <v>270000.0</v>
      </c>
      <c r="AH352" s="50">
        <v>270000.0</v>
      </c>
      <c r="AI352" s="50">
        <v>270000.0</v>
      </c>
      <c r="AJ352" s="50">
        <v>270000.0</v>
      </c>
      <c r="AK352" s="50">
        <v>270000.0</v>
      </c>
      <c r="AL352" s="50">
        <v>270000.0</v>
      </c>
      <c r="AM352" s="50">
        <v>270000.0</v>
      </c>
      <c r="AN352" s="50">
        <v>270000.0</v>
      </c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50">
        <f t="shared" si="3"/>
        <v>6210000</v>
      </c>
      <c r="BD352" s="50">
        <f t="shared" si="4"/>
        <v>0</v>
      </c>
      <c r="BE352" s="50">
        <f t="shared" si="5"/>
        <v>350000</v>
      </c>
      <c r="BF352" s="50">
        <f t="shared" si="6"/>
        <v>6560000</v>
      </c>
      <c r="BG352" s="46"/>
      <c r="BH352" s="46"/>
      <c r="BI352" s="46"/>
      <c r="BJ352" s="45" t="str">
        <f t="shared" ref="BJ352:BK352" si="355">H352</f>
        <v>E</v>
      </c>
      <c r="BK352" s="45" t="str">
        <f t="shared" si="355"/>
        <v>E-2</v>
      </c>
      <c r="BL352" s="51">
        <v>360000.0</v>
      </c>
    </row>
    <row r="353">
      <c r="A353" s="12">
        <f t="shared" si="2"/>
        <v>351</v>
      </c>
      <c r="B353" s="13" t="s">
        <v>3559</v>
      </c>
      <c r="C353" s="14">
        <v>2.024070217E9</v>
      </c>
      <c r="D353" s="13" t="s">
        <v>3560</v>
      </c>
      <c r="E353" s="13" t="s">
        <v>3561</v>
      </c>
      <c r="F353" s="13" t="s">
        <v>3562</v>
      </c>
      <c r="G353" s="16" t="s">
        <v>2301</v>
      </c>
      <c r="H353" s="14" t="s">
        <v>34</v>
      </c>
      <c r="I353" s="14" t="s">
        <v>2330</v>
      </c>
      <c r="J353" s="16">
        <v>3.0</v>
      </c>
      <c r="K353" s="16" t="s">
        <v>2231</v>
      </c>
      <c r="L353" s="44" t="s">
        <v>3563</v>
      </c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8"/>
      <c r="Y353" s="18"/>
      <c r="Z353" s="18"/>
      <c r="AA353" s="18"/>
      <c r="AB353" s="15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>
        <v>450000.0</v>
      </c>
      <c r="AM353" s="18">
        <v>450000.0</v>
      </c>
      <c r="AN353" s="18">
        <v>450000.0</v>
      </c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8">
        <f t="shared" si="3"/>
        <v>1350000</v>
      </c>
      <c r="BD353" s="18">
        <f t="shared" si="4"/>
        <v>0</v>
      </c>
      <c r="BE353" s="18">
        <f t="shared" si="5"/>
        <v>0</v>
      </c>
      <c r="BF353" s="18">
        <f t="shared" si="6"/>
        <v>1350000</v>
      </c>
      <c r="BG353" s="15"/>
      <c r="BH353" s="15"/>
      <c r="BI353" s="15"/>
      <c r="BJ353" s="12" t="str">
        <f t="shared" ref="BJ353:BK353" si="356">H353</f>
        <v>A</v>
      </c>
      <c r="BK353" s="12" t="str">
        <f t="shared" si="356"/>
        <v>A-12</v>
      </c>
      <c r="BL353" s="32">
        <v>613000.0</v>
      </c>
    </row>
    <row r="354">
      <c r="A354" s="45">
        <f t="shared" si="2"/>
        <v>352</v>
      </c>
      <c r="B354" s="52" t="s">
        <v>3564</v>
      </c>
      <c r="C354" s="48">
        <v>2.025070661E9</v>
      </c>
      <c r="D354" s="46" t="s">
        <v>3565</v>
      </c>
      <c r="E354" s="46" t="s">
        <v>3566</v>
      </c>
      <c r="F354" s="46" t="s">
        <v>1851</v>
      </c>
      <c r="G354" s="47" t="s">
        <v>1924</v>
      </c>
      <c r="H354" s="48" t="s">
        <v>34</v>
      </c>
      <c r="I354" s="48" t="s">
        <v>2230</v>
      </c>
      <c r="J354" s="47">
        <v>3.0</v>
      </c>
      <c r="K354" s="47" t="s">
        <v>1898</v>
      </c>
      <c r="L354" s="49" t="s">
        <v>3567</v>
      </c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>
        <v>450000.0</v>
      </c>
      <c r="AN354" s="50">
        <v>450000.0</v>
      </c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>
        <f t="shared" si="3"/>
        <v>900000</v>
      </c>
      <c r="BD354" s="50">
        <f t="shared" si="4"/>
        <v>0</v>
      </c>
      <c r="BE354" s="50">
        <f t="shared" si="5"/>
        <v>0</v>
      </c>
      <c r="BF354" s="50">
        <f t="shared" si="6"/>
        <v>900000</v>
      </c>
      <c r="BG354" s="46"/>
      <c r="BH354" s="46"/>
      <c r="BI354" s="46"/>
      <c r="BJ354" s="45" t="str">
        <f t="shared" ref="BJ354:BK354" si="357">H354</f>
        <v>A</v>
      </c>
      <c r="BK354" s="45" t="str">
        <f t="shared" si="357"/>
        <v>A-10</v>
      </c>
      <c r="BL354" s="51">
        <v>613000.0</v>
      </c>
    </row>
    <row r="355">
      <c r="A355" s="12">
        <f t="shared" si="2"/>
        <v>353</v>
      </c>
      <c r="B355" s="13" t="s">
        <v>3568</v>
      </c>
      <c r="C355" s="14">
        <v>2.024070182E9</v>
      </c>
      <c r="D355" s="15"/>
      <c r="E355" s="15"/>
      <c r="F355" s="15"/>
      <c r="G355" s="16" t="s">
        <v>3569</v>
      </c>
      <c r="H355" s="14" t="s">
        <v>592</v>
      </c>
      <c r="I355" s="14" t="s">
        <v>608</v>
      </c>
      <c r="J355" s="16">
        <v>3.0</v>
      </c>
      <c r="K355" s="12" t="s">
        <v>1918</v>
      </c>
      <c r="L355" s="44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8" t="s">
        <v>1918</v>
      </c>
      <c r="AI355" s="18" t="s">
        <v>1918</v>
      </c>
      <c r="AJ355" s="18" t="s">
        <v>1918</v>
      </c>
      <c r="AK355" s="18" t="s">
        <v>1918</v>
      </c>
      <c r="AL355" s="18">
        <v>450000.0</v>
      </c>
      <c r="AM355" s="18">
        <v>450000.0</v>
      </c>
      <c r="AN355" s="18">
        <v>450000.0</v>
      </c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2" t="str">
        <f t="shared" ref="BJ355:BK355" si="358">H355</f>
        <v>B</v>
      </c>
      <c r="BK355" s="12" t="str">
        <f t="shared" si="358"/>
        <v>B-2</v>
      </c>
      <c r="BL355" s="32">
        <v>613000.0</v>
      </c>
    </row>
    <row r="356">
      <c r="A356" s="45">
        <f t="shared" si="2"/>
        <v>354</v>
      </c>
      <c r="B356" s="52" t="s">
        <v>3570</v>
      </c>
      <c r="C356" s="48">
        <v>2.025070628E9</v>
      </c>
      <c r="D356" s="46" t="s">
        <v>1423</v>
      </c>
      <c r="E356" s="46" t="s">
        <v>1424</v>
      </c>
      <c r="F356" s="46" t="s">
        <v>1425</v>
      </c>
      <c r="G356" s="47" t="s">
        <v>1946</v>
      </c>
      <c r="H356" s="48" t="s">
        <v>1392</v>
      </c>
      <c r="I356" s="48" t="s">
        <v>1399</v>
      </c>
      <c r="J356" s="47">
        <v>3.0</v>
      </c>
      <c r="K356" s="47" t="s">
        <v>2396</v>
      </c>
      <c r="L356" s="49" t="s">
        <v>1426</v>
      </c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>
        <f t="shared" ref="BC356:BC359" si="360">SUM(O356:Z356)+SUM(AC356:AN356)+SUM(AQ356:BB356)</f>
        <v>0</v>
      </c>
      <c r="BD356" s="50">
        <f t="shared" ref="BD356:BD359" si="361">M356+AB356+AP356</f>
        <v>0</v>
      </c>
      <c r="BE356" s="50">
        <f t="shared" ref="BE356:BE359" si="362">AA356+AO356</f>
        <v>0</v>
      </c>
      <c r="BF356" s="50">
        <f t="shared" ref="BF356:BF359" si="363">BC356+BD356+BE356</f>
        <v>0</v>
      </c>
      <c r="BG356" s="46"/>
      <c r="BH356" s="46"/>
      <c r="BI356" s="46"/>
      <c r="BJ356" s="45" t="str">
        <f t="shared" ref="BJ356:BK356" si="359">H356</f>
        <v>D</v>
      </c>
      <c r="BK356" s="45" t="str">
        <f t="shared" si="359"/>
        <v>D-2</v>
      </c>
      <c r="BL356" s="51">
        <v>613000.0</v>
      </c>
    </row>
    <row r="357">
      <c r="A357" s="12">
        <f t="shared" si="2"/>
        <v>355</v>
      </c>
      <c r="B357" s="13" t="s">
        <v>3571</v>
      </c>
      <c r="C357" s="14">
        <v>2.025070617E9</v>
      </c>
      <c r="D357" s="15" t="s">
        <v>3572</v>
      </c>
      <c r="E357" s="15" t="s">
        <v>3573</v>
      </c>
      <c r="F357" s="15" t="s">
        <v>3574</v>
      </c>
      <c r="G357" s="16" t="s">
        <v>1897</v>
      </c>
      <c r="H357" s="14" t="s">
        <v>34</v>
      </c>
      <c r="I357" s="14" t="s">
        <v>1891</v>
      </c>
      <c r="J357" s="16">
        <v>3.0</v>
      </c>
      <c r="K357" s="16" t="s">
        <v>1898</v>
      </c>
      <c r="L357" s="44" t="s">
        <v>3575</v>
      </c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>
        <v>500000.0</v>
      </c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>
        <v>450000.0</v>
      </c>
      <c r="AO357" s="18"/>
      <c r="AP357" s="18">
        <v>500000.0</v>
      </c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>
        <f t="shared" si="360"/>
        <v>450000</v>
      </c>
      <c r="BD357" s="18">
        <f t="shared" si="361"/>
        <v>1000000</v>
      </c>
      <c r="BE357" s="18">
        <f t="shared" si="362"/>
        <v>0</v>
      </c>
      <c r="BF357" s="18">
        <f t="shared" si="363"/>
        <v>1450000</v>
      </c>
      <c r="BG357" s="15"/>
      <c r="BH357" s="15"/>
      <c r="BI357" s="15"/>
      <c r="BJ357" s="12" t="str">
        <f t="shared" ref="BJ357:BK357" si="364">H357</f>
        <v>A</v>
      </c>
      <c r="BK357" s="12" t="str">
        <f t="shared" si="364"/>
        <v>A-8</v>
      </c>
      <c r="BL357" s="32">
        <v>613000.0</v>
      </c>
    </row>
    <row r="358">
      <c r="A358" s="45">
        <f t="shared" si="2"/>
        <v>356</v>
      </c>
      <c r="B358" s="52" t="s">
        <v>3576</v>
      </c>
      <c r="C358" s="48">
        <v>2.02510068E9</v>
      </c>
      <c r="D358" s="52" t="s">
        <v>3577</v>
      </c>
      <c r="E358" s="52" t="s">
        <v>3578</v>
      </c>
      <c r="F358" s="52" t="s">
        <v>3579</v>
      </c>
      <c r="G358" s="45" t="e">
        <v>#N/A</v>
      </c>
      <c r="H358" s="48" t="s">
        <v>34</v>
      </c>
      <c r="I358" s="48" t="s">
        <v>43</v>
      </c>
      <c r="J358" s="47">
        <v>3.0</v>
      </c>
      <c r="K358" s="47" t="s">
        <v>1898</v>
      </c>
      <c r="L358" s="49" t="s">
        <v>3580</v>
      </c>
      <c r="M358" s="50"/>
      <c r="N358" s="50"/>
      <c r="O358" s="46"/>
      <c r="P358" s="46"/>
      <c r="Q358" s="46"/>
      <c r="R358" s="46"/>
      <c r="S358" s="50"/>
      <c r="T358" s="50"/>
      <c r="U358" s="50"/>
      <c r="V358" s="50"/>
      <c r="W358" s="50"/>
      <c r="X358" s="50"/>
      <c r="Y358" s="50"/>
      <c r="Z358" s="50"/>
      <c r="AA358" s="46"/>
      <c r="AB358" s="50">
        <v>500000.0</v>
      </c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50"/>
      <c r="AN358" s="50">
        <v>450000.0</v>
      </c>
      <c r="AO358" s="46"/>
      <c r="AP358" s="50">
        <v>500000.0</v>
      </c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50">
        <f t="shared" si="360"/>
        <v>450000</v>
      </c>
      <c r="BD358" s="50">
        <f t="shared" si="361"/>
        <v>1000000</v>
      </c>
      <c r="BE358" s="50">
        <f t="shared" si="362"/>
        <v>0</v>
      </c>
      <c r="BF358" s="50">
        <f t="shared" si="363"/>
        <v>1450000</v>
      </c>
      <c r="BG358" s="46"/>
      <c r="BH358" s="46"/>
      <c r="BI358" s="46"/>
      <c r="BJ358" s="45" t="str">
        <f t="shared" ref="BJ358:BK358" si="365">H358</f>
        <v>A</v>
      </c>
      <c r="BK358" s="45" t="str">
        <f t="shared" si="365"/>
        <v>A-1</v>
      </c>
      <c r="BL358" s="51">
        <v>613000.0</v>
      </c>
    </row>
    <row r="359">
      <c r="A359" s="12">
        <f t="shared" si="2"/>
        <v>357</v>
      </c>
      <c r="B359" s="13" t="s">
        <v>3581</v>
      </c>
      <c r="C359" s="14">
        <v>2.025110681E9</v>
      </c>
      <c r="D359" s="15"/>
      <c r="E359" s="15"/>
      <c r="F359" s="15"/>
      <c r="G359" s="12" t="e">
        <v>#N/A</v>
      </c>
      <c r="H359" s="14" t="s">
        <v>34</v>
      </c>
      <c r="I359" s="14" t="s">
        <v>43</v>
      </c>
      <c r="J359" s="16">
        <v>3.0</v>
      </c>
      <c r="K359" s="16" t="s">
        <v>1898</v>
      </c>
      <c r="L359" s="44"/>
      <c r="M359" s="15"/>
      <c r="N359" s="15"/>
      <c r="O359" s="15"/>
      <c r="P359" s="15"/>
      <c r="Q359" s="15"/>
      <c r="R359" s="15"/>
      <c r="S359" s="15"/>
      <c r="T359" s="15"/>
      <c r="U359" s="15"/>
      <c r="V359" s="18"/>
      <c r="W359" s="18" t="s">
        <v>1918</v>
      </c>
      <c r="X359" s="18"/>
      <c r="Y359" s="18"/>
      <c r="Z359" s="18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8"/>
      <c r="AN359" s="18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8">
        <f t="shared" si="360"/>
        <v>0</v>
      </c>
      <c r="BD359" s="18">
        <f t="shared" si="361"/>
        <v>0</v>
      </c>
      <c r="BE359" s="18">
        <f t="shared" si="362"/>
        <v>0</v>
      </c>
      <c r="BF359" s="18">
        <f t="shared" si="363"/>
        <v>0</v>
      </c>
      <c r="BG359" s="15"/>
      <c r="BH359" s="15"/>
      <c r="BI359" s="15"/>
      <c r="BJ359" s="12" t="str">
        <f t="shared" ref="BJ359:BK359" si="366">H359</f>
        <v>A</v>
      </c>
      <c r="BK359" s="12" t="str">
        <f t="shared" si="366"/>
        <v>A-1</v>
      </c>
      <c r="BL359" s="32">
        <v>613000.0</v>
      </c>
    </row>
    <row r="360">
      <c r="A360" s="56" t="str">
        <f t="shared" si="2"/>
        <v/>
      </c>
      <c r="B360" s="57"/>
      <c r="C360" s="45"/>
      <c r="D360" s="57"/>
      <c r="E360" s="57"/>
      <c r="F360" s="57"/>
      <c r="G360" s="48"/>
      <c r="H360" s="45"/>
      <c r="I360" s="45"/>
      <c r="J360" s="45"/>
      <c r="K360" s="45"/>
      <c r="L360" s="49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58" t="s">
        <v>1918</v>
      </c>
      <c r="AI360" s="50" t="s">
        <v>1918</v>
      </c>
      <c r="AJ360" s="50" t="s">
        <v>1918</v>
      </c>
      <c r="AK360" s="50" t="s">
        <v>1918</v>
      </c>
      <c r="AL360" s="50" t="s">
        <v>1918</v>
      </c>
      <c r="AM360" s="50" t="s">
        <v>1918</v>
      </c>
      <c r="AN360" s="50" t="s">
        <v>1918</v>
      </c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46"/>
      <c r="BE360" s="46"/>
      <c r="BF360" s="46"/>
      <c r="BG360" s="46"/>
      <c r="BH360" s="46"/>
      <c r="BI360" s="46"/>
      <c r="BJ360" s="56" t="str">
        <f t="shared" ref="BJ360:BK360" si="367">H360</f>
        <v/>
      </c>
      <c r="BK360" s="56" t="str">
        <f t="shared" si="367"/>
        <v/>
      </c>
      <c r="BL360" s="58" t="str">
        <f t="shared" ref="BL360:BL361" si="369">IF(BJ360="A",450000,IF(BJ360="B",450000,IF(BJ360="C",450000,IF(BJ360="D",450000,IF(BJ360="E",500000,IF(BJ360="F",450000,""))))))</f>
        <v/>
      </c>
    </row>
    <row r="361">
      <c r="A361" s="59" t="str">
        <f t="shared" si="2"/>
        <v/>
      </c>
      <c r="B361" s="60"/>
      <c r="C361" s="12"/>
      <c r="D361" s="60"/>
      <c r="E361" s="60"/>
      <c r="F361" s="60"/>
      <c r="G361" s="14"/>
      <c r="H361" s="12"/>
      <c r="I361" s="12"/>
      <c r="J361" s="12"/>
      <c r="K361" s="12"/>
      <c r="L361" s="44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61" t="s">
        <v>1918</v>
      </c>
      <c r="AI361" s="18" t="s">
        <v>1918</v>
      </c>
      <c r="AJ361" s="18" t="s">
        <v>1918</v>
      </c>
      <c r="AK361" s="18" t="s">
        <v>1918</v>
      </c>
      <c r="AL361" s="18" t="s">
        <v>1918</v>
      </c>
      <c r="AM361" s="18" t="s">
        <v>1918</v>
      </c>
      <c r="AN361" s="18" t="s">
        <v>1918</v>
      </c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59" t="str">
        <f t="shared" ref="BJ361:BK361" si="368">H361</f>
        <v/>
      </c>
      <c r="BK361" s="59" t="str">
        <f t="shared" si="368"/>
        <v/>
      </c>
      <c r="BL361" s="61" t="str">
        <f t="shared" si="369"/>
        <v/>
      </c>
    </row>
    <row r="362">
      <c r="A362" s="56" t="str">
        <f t="shared" si="2"/>
        <v/>
      </c>
      <c r="B362" s="57"/>
      <c r="C362" s="45"/>
      <c r="D362" s="57"/>
      <c r="E362" s="57"/>
      <c r="F362" s="57"/>
      <c r="G362" s="48"/>
      <c r="H362" s="45"/>
      <c r="I362" s="45"/>
      <c r="J362" s="45"/>
      <c r="K362" s="45"/>
      <c r="L362" s="49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46"/>
      <c r="BE362" s="46"/>
      <c r="BF362" s="46"/>
      <c r="BG362" s="46"/>
      <c r="BH362" s="46"/>
      <c r="BI362" s="46"/>
      <c r="BJ362" s="45"/>
      <c r="BK362" s="45"/>
      <c r="BL362" s="45"/>
    </row>
    <row r="363">
      <c r="A363" s="59" t="str">
        <f t="shared" si="2"/>
        <v/>
      </c>
      <c r="B363" s="60"/>
      <c r="C363" s="12"/>
      <c r="D363" s="60"/>
      <c r="E363" s="60"/>
      <c r="F363" s="60"/>
      <c r="G363" s="14"/>
      <c r="H363" s="12"/>
      <c r="I363" s="12"/>
      <c r="J363" s="12"/>
      <c r="K363" s="12"/>
      <c r="L363" s="44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2"/>
      <c r="BK363" s="12"/>
      <c r="BL363" s="12"/>
    </row>
    <row r="364">
      <c r="A364" s="56" t="str">
        <f t="shared" si="2"/>
        <v/>
      </c>
      <c r="B364" s="57"/>
      <c r="C364" s="45"/>
      <c r="D364" s="57"/>
      <c r="E364" s="57"/>
      <c r="F364" s="57"/>
      <c r="G364" s="48"/>
      <c r="H364" s="45"/>
      <c r="I364" s="45"/>
      <c r="J364" s="45"/>
      <c r="K364" s="45"/>
      <c r="L364" s="49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46"/>
      <c r="BE364" s="46"/>
      <c r="BF364" s="46"/>
      <c r="BG364" s="46"/>
      <c r="BH364" s="46"/>
      <c r="BI364" s="46"/>
      <c r="BJ364" s="45"/>
      <c r="BK364" s="45"/>
      <c r="BL364" s="45"/>
    </row>
    <row r="365">
      <c r="A365" s="59" t="str">
        <f t="shared" si="2"/>
        <v/>
      </c>
      <c r="B365" s="60"/>
      <c r="C365" s="12"/>
      <c r="D365" s="60"/>
      <c r="E365" s="60"/>
      <c r="F365" s="60"/>
      <c r="G365" s="14"/>
      <c r="H365" s="12"/>
      <c r="I365" s="12"/>
      <c r="J365" s="12"/>
      <c r="K365" s="12"/>
      <c r="L365" s="44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2"/>
      <c r="BK365" s="12"/>
      <c r="BL365" s="12"/>
    </row>
    <row r="366">
      <c r="A366" s="56" t="str">
        <f t="shared" si="2"/>
        <v/>
      </c>
      <c r="B366" s="57"/>
      <c r="C366" s="45"/>
      <c r="D366" s="57"/>
      <c r="E366" s="57"/>
      <c r="F366" s="57"/>
      <c r="G366" s="48"/>
      <c r="H366" s="45"/>
      <c r="I366" s="45"/>
      <c r="J366" s="45"/>
      <c r="K366" s="45"/>
      <c r="L366" s="49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46"/>
      <c r="BE366" s="46"/>
      <c r="BF366" s="46"/>
      <c r="BG366" s="46"/>
      <c r="BH366" s="46"/>
      <c r="BI366" s="46"/>
      <c r="BJ366" s="45"/>
      <c r="BK366" s="45"/>
      <c r="BL366" s="45"/>
    </row>
    <row r="367">
      <c r="A367" s="59" t="str">
        <f t="shared" si="2"/>
        <v/>
      </c>
      <c r="B367" s="60"/>
      <c r="C367" s="12"/>
      <c r="D367" s="60"/>
      <c r="E367" s="60"/>
      <c r="F367" s="60"/>
      <c r="G367" s="14"/>
      <c r="H367" s="12"/>
      <c r="I367" s="12"/>
      <c r="J367" s="12"/>
      <c r="K367" s="12"/>
      <c r="L367" s="44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2"/>
      <c r="BK367" s="12"/>
      <c r="BL367" s="12"/>
    </row>
    <row r="368">
      <c r="A368" s="56" t="str">
        <f t="shared" si="2"/>
        <v/>
      </c>
      <c r="B368" s="57"/>
      <c r="C368" s="45"/>
      <c r="D368" s="57"/>
      <c r="E368" s="57"/>
      <c r="F368" s="57"/>
      <c r="G368" s="48"/>
      <c r="H368" s="45"/>
      <c r="I368" s="45"/>
      <c r="J368" s="45"/>
      <c r="K368" s="45"/>
      <c r="L368" s="49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46"/>
      <c r="BE368" s="46"/>
      <c r="BF368" s="46"/>
      <c r="BG368" s="46"/>
      <c r="BH368" s="46"/>
      <c r="BI368" s="46"/>
      <c r="BJ368" s="45"/>
      <c r="BK368" s="45"/>
      <c r="BL368" s="45"/>
    </row>
    <row r="369">
      <c r="A369" s="59" t="str">
        <f t="shared" si="2"/>
        <v/>
      </c>
      <c r="B369" s="60"/>
      <c r="C369" s="12"/>
      <c r="D369" s="60"/>
      <c r="E369" s="60"/>
      <c r="F369" s="60"/>
      <c r="G369" s="14"/>
      <c r="H369" s="12"/>
      <c r="I369" s="12"/>
      <c r="J369" s="12"/>
      <c r="K369" s="12"/>
      <c r="L369" s="44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2"/>
      <c r="BK369" s="12"/>
      <c r="BL369" s="12"/>
    </row>
    <row r="370">
      <c r="A370" s="56" t="str">
        <f t="shared" si="2"/>
        <v/>
      </c>
      <c r="B370" s="57"/>
      <c r="C370" s="45"/>
      <c r="D370" s="57"/>
      <c r="E370" s="57"/>
      <c r="F370" s="57"/>
      <c r="G370" s="48"/>
      <c r="H370" s="45"/>
      <c r="I370" s="45"/>
      <c r="J370" s="45"/>
      <c r="K370" s="45"/>
      <c r="L370" s="49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46"/>
      <c r="BE370" s="46"/>
      <c r="BF370" s="46"/>
      <c r="BG370" s="46"/>
      <c r="BH370" s="46"/>
      <c r="BI370" s="46"/>
      <c r="BJ370" s="45"/>
      <c r="BK370" s="45"/>
      <c r="BL370" s="45"/>
    </row>
    <row r="371">
      <c r="A371" s="59" t="str">
        <f t="shared" si="2"/>
        <v/>
      </c>
      <c r="B371" s="60"/>
      <c r="C371" s="12"/>
      <c r="D371" s="60"/>
      <c r="E371" s="60"/>
      <c r="F371" s="60"/>
      <c r="G371" s="14"/>
      <c r="H371" s="12"/>
      <c r="I371" s="12"/>
      <c r="J371" s="12"/>
      <c r="K371" s="12"/>
      <c r="L371" s="44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2"/>
      <c r="BK371" s="12"/>
      <c r="BL371" s="12"/>
    </row>
    <row r="372">
      <c r="A372" s="56" t="str">
        <f t="shared" si="2"/>
        <v/>
      </c>
      <c r="B372" s="57"/>
      <c r="C372" s="45"/>
      <c r="D372" s="57"/>
      <c r="E372" s="57"/>
      <c r="F372" s="57"/>
      <c r="G372" s="48"/>
      <c r="H372" s="45"/>
      <c r="I372" s="45"/>
      <c r="J372" s="45"/>
      <c r="K372" s="45"/>
      <c r="L372" s="49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46"/>
      <c r="BE372" s="46"/>
      <c r="BF372" s="46"/>
      <c r="BG372" s="46"/>
      <c r="BH372" s="46"/>
      <c r="BI372" s="46"/>
      <c r="BJ372" s="45"/>
      <c r="BK372" s="45"/>
      <c r="BL372" s="45"/>
    </row>
    <row r="373">
      <c r="A373" s="59" t="str">
        <f t="shared" si="2"/>
        <v/>
      </c>
      <c r="B373" s="60"/>
      <c r="C373" s="12"/>
      <c r="D373" s="60"/>
      <c r="E373" s="60"/>
      <c r="F373" s="60"/>
      <c r="G373" s="14"/>
      <c r="H373" s="12"/>
      <c r="I373" s="12"/>
      <c r="J373" s="12"/>
      <c r="K373" s="12"/>
      <c r="L373" s="44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2"/>
      <c r="BK373" s="12"/>
      <c r="BL373" s="12"/>
    </row>
    <row r="374">
      <c r="A374" s="56" t="str">
        <f t="shared" si="2"/>
        <v/>
      </c>
      <c r="B374" s="57"/>
      <c r="C374" s="45"/>
      <c r="D374" s="57"/>
      <c r="E374" s="57"/>
      <c r="F374" s="57"/>
      <c r="G374" s="48"/>
      <c r="H374" s="45"/>
      <c r="I374" s="45"/>
      <c r="J374" s="45"/>
      <c r="K374" s="45"/>
      <c r="L374" s="49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46"/>
      <c r="BE374" s="46"/>
      <c r="BF374" s="46"/>
      <c r="BG374" s="46"/>
      <c r="BH374" s="46"/>
      <c r="BI374" s="46"/>
      <c r="BJ374" s="45"/>
      <c r="BK374" s="45"/>
      <c r="BL374" s="45"/>
    </row>
    <row r="375">
      <c r="A375" s="59" t="str">
        <f t="shared" si="2"/>
        <v/>
      </c>
      <c r="B375" s="60"/>
      <c r="C375" s="12"/>
      <c r="D375" s="60"/>
      <c r="E375" s="60"/>
      <c r="F375" s="60"/>
      <c r="G375" s="14"/>
      <c r="H375" s="12"/>
      <c r="I375" s="12"/>
      <c r="J375" s="12"/>
      <c r="K375" s="12"/>
      <c r="L375" s="44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2"/>
      <c r="BK375" s="12"/>
      <c r="BL375" s="12"/>
    </row>
    <row r="376">
      <c r="A376" s="56" t="str">
        <f t="shared" si="2"/>
        <v/>
      </c>
      <c r="B376" s="57"/>
      <c r="C376" s="45"/>
      <c r="D376" s="57"/>
      <c r="E376" s="57"/>
      <c r="F376" s="57"/>
      <c r="G376" s="48"/>
      <c r="H376" s="45"/>
      <c r="I376" s="45"/>
      <c r="J376" s="45"/>
      <c r="K376" s="45"/>
      <c r="L376" s="49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46"/>
      <c r="BE376" s="46"/>
      <c r="BF376" s="46"/>
      <c r="BG376" s="46"/>
      <c r="BH376" s="46"/>
      <c r="BI376" s="46"/>
      <c r="BJ376" s="45"/>
      <c r="BK376" s="45"/>
      <c r="BL376" s="45"/>
    </row>
    <row r="377">
      <c r="A377" s="59" t="str">
        <f t="shared" si="2"/>
        <v/>
      </c>
      <c r="B377" s="60"/>
      <c r="C377" s="12"/>
      <c r="D377" s="60"/>
      <c r="E377" s="60"/>
      <c r="F377" s="60"/>
      <c r="G377" s="14"/>
      <c r="H377" s="12"/>
      <c r="I377" s="12"/>
      <c r="J377" s="12"/>
      <c r="K377" s="12"/>
      <c r="L377" s="44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2"/>
      <c r="BK377" s="12"/>
      <c r="BL377" s="12"/>
    </row>
    <row r="378">
      <c r="A378" s="56" t="str">
        <f t="shared" si="2"/>
        <v/>
      </c>
      <c r="B378" s="57"/>
      <c r="C378" s="45"/>
      <c r="D378" s="57"/>
      <c r="E378" s="57"/>
      <c r="F378" s="57"/>
      <c r="G378" s="48"/>
      <c r="H378" s="45"/>
      <c r="I378" s="45"/>
      <c r="J378" s="45"/>
      <c r="K378" s="45"/>
      <c r="L378" s="49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46"/>
      <c r="BE378" s="46"/>
      <c r="BF378" s="46"/>
      <c r="BG378" s="46"/>
      <c r="BH378" s="46"/>
      <c r="BI378" s="46"/>
      <c r="BJ378" s="45"/>
      <c r="BK378" s="45"/>
      <c r="BL378" s="45"/>
    </row>
    <row r="379">
      <c r="A379" s="59" t="str">
        <f t="shared" si="2"/>
        <v/>
      </c>
      <c r="B379" s="60"/>
      <c r="C379" s="12"/>
      <c r="D379" s="60"/>
      <c r="E379" s="60"/>
      <c r="F379" s="60"/>
      <c r="G379" s="14"/>
      <c r="H379" s="12"/>
      <c r="I379" s="12"/>
      <c r="J379" s="12"/>
      <c r="K379" s="12"/>
      <c r="L379" s="44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2"/>
      <c r="BK379" s="12"/>
      <c r="BL379" s="12"/>
    </row>
    <row r="380">
      <c r="A380" s="56" t="str">
        <f t="shared" si="2"/>
        <v/>
      </c>
      <c r="B380" s="57"/>
      <c r="C380" s="45"/>
      <c r="D380" s="57"/>
      <c r="E380" s="57"/>
      <c r="F380" s="57"/>
      <c r="G380" s="48"/>
      <c r="H380" s="45"/>
      <c r="I380" s="45"/>
      <c r="J380" s="45"/>
      <c r="K380" s="45"/>
      <c r="L380" s="49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46"/>
      <c r="BE380" s="46"/>
      <c r="BF380" s="46"/>
      <c r="BG380" s="46"/>
      <c r="BH380" s="46"/>
      <c r="BI380" s="46"/>
      <c r="BJ380" s="45"/>
      <c r="BK380" s="45"/>
      <c r="BL380" s="45"/>
    </row>
    <row r="381">
      <c r="A381" s="59" t="str">
        <f t="shared" si="2"/>
        <v/>
      </c>
      <c r="B381" s="60"/>
      <c r="C381" s="12"/>
      <c r="D381" s="60"/>
      <c r="E381" s="60"/>
      <c r="F381" s="60"/>
      <c r="G381" s="14"/>
      <c r="H381" s="12"/>
      <c r="I381" s="12"/>
      <c r="J381" s="12"/>
      <c r="K381" s="12"/>
      <c r="L381" s="44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2"/>
      <c r="BK381" s="12"/>
      <c r="BL381" s="12"/>
    </row>
    <row r="382">
      <c r="A382" s="56" t="str">
        <f t="shared" si="2"/>
        <v/>
      </c>
      <c r="B382" s="57"/>
      <c r="C382" s="45"/>
      <c r="D382" s="57"/>
      <c r="E382" s="57"/>
      <c r="F382" s="57"/>
      <c r="G382" s="48"/>
      <c r="H382" s="45"/>
      <c r="I382" s="45"/>
      <c r="J382" s="45"/>
      <c r="K382" s="45"/>
      <c r="L382" s="49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46"/>
      <c r="BE382" s="46"/>
      <c r="BF382" s="46"/>
      <c r="BG382" s="46"/>
      <c r="BH382" s="46"/>
      <c r="BI382" s="46"/>
      <c r="BJ382" s="45"/>
      <c r="BK382" s="45"/>
      <c r="BL382" s="45"/>
    </row>
    <row r="383">
      <c r="A383" s="59" t="str">
        <f t="shared" si="2"/>
        <v/>
      </c>
      <c r="B383" s="60"/>
      <c r="C383" s="12"/>
      <c r="D383" s="60"/>
      <c r="E383" s="60"/>
      <c r="F383" s="60"/>
      <c r="G383" s="14"/>
      <c r="H383" s="12"/>
      <c r="I383" s="12"/>
      <c r="J383" s="12"/>
      <c r="K383" s="12"/>
      <c r="L383" s="44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2"/>
      <c r="BK383" s="12"/>
      <c r="BL383" s="12"/>
    </row>
    <row r="384">
      <c r="A384" s="56" t="str">
        <f t="shared" si="2"/>
        <v/>
      </c>
      <c r="B384" s="57"/>
      <c r="C384" s="45"/>
      <c r="D384" s="57"/>
      <c r="E384" s="57"/>
      <c r="F384" s="57"/>
      <c r="G384" s="48"/>
      <c r="H384" s="45"/>
      <c r="I384" s="45"/>
      <c r="J384" s="45"/>
      <c r="K384" s="45"/>
      <c r="L384" s="49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46"/>
      <c r="BE384" s="46"/>
      <c r="BF384" s="46"/>
      <c r="BG384" s="46"/>
      <c r="BH384" s="46"/>
      <c r="BI384" s="46"/>
      <c r="BJ384" s="45"/>
      <c r="BK384" s="45"/>
      <c r="BL384" s="45"/>
    </row>
    <row r="385">
      <c r="A385" s="59" t="str">
        <f t="shared" si="2"/>
        <v/>
      </c>
      <c r="B385" s="60"/>
      <c r="C385" s="12"/>
      <c r="D385" s="60"/>
      <c r="E385" s="60"/>
      <c r="F385" s="60"/>
      <c r="G385" s="14"/>
      <c r="H385" s="12"/>
      <c r="I385" s="12"/>
      <c r="J385" s="12"/>
      <c r="K385" s="12"/>
      <c r="L385" s="44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2"/>
      <c r="BK385" s="12"/>
      <c r="BL385" s="12"/>
    </row>
    <row r="386">
      <c r="A386" s="56" t="str">
        <f t="shared" si="2"/>
        <v/>
      </c>
      <c r="B386" s="57"/>
      <c r="C386" s="45"/>
      <c r="D386" s="57"/>
      <c r="E386" s="57"/>
      <c r="F386" s="57"/>
      <c r="G386" s="48"/>
      <c r="H386" s="45"/>
      <c r="I386" s="45"/>
      <c r="J386" s="45"/>
      <c r="K386" s="45"/>
      <c r="L386" s="49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46"/>
      <c r="BE386" s="46"/>
      <c r="BF386" s="46"/>
      <c r="BG386" s="46"/>
      <c r="BH386" s="46"/>
      <c r="BI386" s="46"/>
      <c r="BJ386" s="45"/>
      <c r="BK386" s="45"/>
      <c r="BL386" s="45"/>
    </row>
    <row r="387">
      <c r="A387" s="59" t="str">
        <f t="shared" si="2"/>
        <v/>
      </c>
      <c r="B387" s="60"/>
      <c r="C387" s="12"/>
      <c r="D387" s="60"/>
      <c r="E387" s="60"/>
      <c r="F387" s="60"/>
      <c r="G387" s="14"/>
      <c r="H387" s="12"/>
      <c r="I387" s="12"/>
      <c r="J387" s="12"/>
      <c r="K387" s="12"/>
      <c r="L387" s="44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2"/>
      <c r="BK387" s="12"/>
      <c r="BL387" s="12"/>
    </row>
    <row r="388">
      <c r="A388" s="56" t="str">
        <f t="shared" si="2"/>
        <v/>
      </c>
      <c r="B388" s="57"/>
      <c r="C388" s="45"/>
      <c r="D388" s="57"/>
      <c r="E388" s="57"/>
      <c r="F388" s="57"/>
      <c r="G388" s="48"/>
      <c r="H388" s="45"/>
      <c r="I388" s="45"/>
      <c r="J388" s="45"/>
      <c r="K388" s="45"/>
      <c r="L388" s="49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46"/>
      <c r="BE388" s="46"/>
      <c r="BF388" s="46"/>
      <c r="BG388" s="46"/>
      <c r="BH388" s="46"/>
      <c r="BI388" s="46"/>
      <c r="BJ388" s="45"/>
      <c r="BK388" s="45"/>
      <c r="BL388" s="45"/>
    </row>
    <row r="389">
      <c r="A389" s="59" t="str">
        <f t="shared" si="2"/>
        <v/>
      </c>
      <c r="B389" s="60"/>
      <c r="C389" s="12"/>
      <c r="D389" s="60"/>
      <c r="E389" s="60"/>
      <c r="F389" s="60"/>
      <c r="G389" s="14"/>
      <c r="H389" s="12"/>
      <c r="I389" s="12"/>
      <c r="J389" s="12"/>
      <c r="K389" s="12"/>
      <c r="L389" s="44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2"/>
      <c r="BK389" s="12"/>
      <c r="BL389" s="12"/>
    </row>
    <row r="390">
      <c r="A390" s="56" t="str">
        <f t="shared" si="2"/>
        <v/>
      </c>
      <c r="B390" s="57"/>
      <c r="C390" s="45"/>
      <c r="D390" s="57"/>
      <c r="E390" s="57"/>
      <c r="F390" s="57"/>
      <c r="G390" s="48"/>
      <c r="H390" s="45"/>
      <c r="I390" s="45"/>
      <c r="J390" s="45"/>
      <c r="K390" s="45"/>
      <c r="L390" s="49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46"/>
      <c r="BE390" s="46"/>
      <c r="BF390" s="46"/>
      <c r="BG390" s="46"/>
      <c r="BH390" s="46"/>
      <c r="BI390" s="46"/>
      <c r="BJ390" s="45"/>
      <c r="BK390" s="45"/>
      <c r="BL390" s="45"/>
    </row>
    <row r="391">
      <c r="A391" s="59" t="str">
        <f t="shared" si="2"/>
        <v/>
      </c>
      <c r="B391" s="60"/>
      <c r="C391" s="12"/>
      <c r="D391" s="60"/>
      <c r="E391" s="60"/>
      <c r="F391" s="60"/>
      <c r="G391" s="14"/>
      <c r="H391" s="12"/>
      <c r="I391" s="12"/>
      <c r="J391" s="12"/>
      <c r="K391" s="12"/>
      <c r="L391" s="44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2"/>
      <c r="BK391" s="12"/>
      <c r="BL391" s="12"/>
    </row>
    <row r="392">
      <c r="A392" s="56" t="str">
        <f t="shared" si="2"/>
        <v/>
      </c>
      <c r="B392" s="57"/>
      <c r="C392" s="45"/>
      <c r="D392" s="57"/>
      <c r="E392" s="57"/>
      <c r="F392" s="57"/>
      <c r="G392" s="48"/>
      <c r="H392" s="45"/>
      <c r="I392" s="45"/>
      <c r="J392" s="45"/>
      <c r="K392" s="45"/>
      <c r="L392" s="49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46"/>
      <c r="BE392" s="46"/>
      <c r="BF392" s="46"/>
      <c r="BG392" s="46"/>
      <c r="BH392" s="46"/>
      <c r="BI392" s="46"/>
      <c r="BJ392" s="45"/>
      <c r="BK392" s="45"/>
      <c r="BL392" s="45"/>
    </row>
    <row r="393">
      <c r="A393" s="59" t="str">
        <f t="shared" si="2"/>
        <v/>
      </c>
      <c r="B393" s="60"/>
      <c r="C393" s="12"/>
      <c r="D393" s="60"/>
      <c r="E393" s="60"/>
      <c r="F393" s="60"/>
      <c r="G393" s="14"/>
      <c r="H393" s="12"/>
      <c r="I393" s="12"/>
      <c r="J393" s="12"/>
      <c r="K393" s="12"/>
      <c r="L393" s="44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2"/>
      <c r="BK393" s="12"/>
      <c r="BL393" s="12"/>
    </row>
    <row r="394">
      <c r="A394" s="56" t="str">
        <f t="shared" si="2"/>
        <v/>
      </c>
      <c r="B394" s="57"/>
      <c r="C394" s="45"/>
      <c r="D394" s="57"/>
      <c r="E394" s="57"/>
      <c r="F394" s="57"/>
      <c r="G394" s="48"/>
      <c r="H394" s="45"/>
      <c r="I394" s="45"/>
      <c r="J394" s="45"/>
      <c r="K394" s="45"/>
      <c r="L394" s="49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46"/>
      <c r="BE394" s="46"/>
      <c r="BF394" s="46"/>
      <c r="BG394" s="46"/>
      <c r="BH394" s="46"/>
      <c r="BI394" s="46"/>
      <c r="BJ394" s="45"/>
      <c r="BK394" s="45"/>
      <c r="BL394" s="45"/>
    </row>
    <row r="395">
      <c r="A395" s="59" t="str">
        <f t="shared" si="2"/>
        <v/>
      </c>
      <c r="B395" s="60"/>
      <c r="C395" s="12"/>
      <c r="D395" s="60"/>
      <c r="E395" s="60"/>
      <c r="F395" s="60"/>
      <c r="G395" s="14"/>
      <c r="H395" s="12"/>
      <c r="I395" s="12"/>
      <c r="J395" s="12"/>
      <c r="K395" s="12"/>
      <c r="L395" s="44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2"/>
      <c r="BK395" s="12"/>
      <c r="BL395" s="12"/>
    </row>
    <row r="396">
      <c r="A396" s="56" t="str">
        <f t="shared" si="2"/>
        <v/>
      </c>
      <c r="B396" s="57"/>
      <c r="C396" s="45"/>
      <c r="D396" s="57"/>
      <c r="E396" s="57"/>
      <c r="F396" s="57"/>
      <c r="G396" s="48"/>
      <c r="H396" s="45"/>
      <c r="I396" s="45"/>
      <c r="J396" s="45"/>
      <c r="K396" s="45"/>
      <c r="L396" s="49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46"/>
      <c r="BE396" s="46"/>
      <c r="BF396" s="46"/>
      <c r="BG396" s="46"/>
      <c r="BH396" s="46"/>
      <c r="BI396" s="46"/>
      <c r="BJ396" s="45"/>
      <c r="BK396" s="45"/>
      <c r="BL396" s="45"/>
    </row>
    <row r="397">
      <c r="A397" s="59" t="str">
        <f t="shared" si="2"/>
        <v/>
      </c>
      <c r="B397" s="60"/>
      <c r="C397" s="12"/>
      <c r="D397" s="60"/>
      <c r="E397" s="60"/>
      <c r="F397" s="60"/>
      <c r="G397" s="14"/>
      <c r="H397" s="12"/>
      <c r="I397" s="12"/>
      <c r="J397" s="12"/>
      <c r="K397" s="12"/>
      <c r="L397" s="44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2"/>
      <c r="BK397" s="12"/>
      <c r="BL397" s="12"/>
    </row>
    <row r="398">
      <c r="A398" s="56" t="str">
        <f t="shared" si="2"/>
        <v/>
      </c>
      <c r="B398" s="57"/>
      <c r="C398" s="45"/>
      <c r="D398" s="57"/>
      <c r="E398" s="57"/>
      <c r="F398" s="57"/>
      <c r="G398" s="48"/>
      <c r="H398" s="45"/>
      <c r="I398" s="45"/>
      <c r="J398" s="45"/>
      <c r="K398" s="45"/>
      <c r="L398" s="49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46"/>
      <c r="BE398" s="46"/>
      <c r="BF398" s="46"/>
      <c r="BG398" s="46"/>
      <c r="BH398" s="46"/>
      <c r="BI398" s="46"/>
      <c r="BJ398" s="45"/>
      <c r="BK398" s="45"/>
      <c r="BL398" s="45"/>
    </row>
    <row r="399">
      <c r="A399" s="59" t="str">
        <f t="shared" si="2"/>
        <v/>
      </c>
      <c r="B399" s="60"/>
      <c r="C399" s="12"/>
      <c r="D399" s="60"/>
      <c r="E399" s="60"/>
      <c r="F399" s="60"/>
      <c r="G399" s="14"/>
      <c r="H399" s="12"/>
      <c r="I399" s="12"/>
      <c r="J399" s="12"/>
      <c r="K399" s="12"/>
      <c r="L399" s="44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2"/>
      <c r="BK399" s="12"/>
      <c r="BL399" s="12"/>
    </row>
    <row r="400">
      <c r="A400" s="56" t="str">
        <f t="shared" si="2"/>
        <v/>
      </c>
      <c r="B400" s="57"/>
      <c r="C400" s="45"/>
      <c r="D400" s="57"/>
      <c r="E400" s="57"/>
      <c r="F400" s="57"/>
      <c r="G400" s="48"/>
      <c r="H400" s="45"/>
      <c r="I400" s="45"/>
      <c r="J400" s="45"/>
      <c r="K400" s="45"/>
      <c r="L400" s="49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46"/>
      <c r="BE400" s="46"/>
      <c r="BF400" s="46"/>
      <c r="BG400" s="46"/>
      <c r="BH400" s="46"/>
      <c r="BI400" s="46"/>
      <c r="BJ400" s="45"/>
      <c r="BK400" s="45"/>
      <c r="BL400" s="45"/>
    </row>
    <row r="401">
      <c r="A401" s="59" t="str">
        <f t="shared" si="2"/>
        <v/>
      </c>
      <c r="B401" s="60"/>
      <c r="C401" s="12"/>
      <c r="D401" s="60"/>
      <c r="E401" s="60"/>
      <c r="F401" s="60"/>
      <c r="G401" s="14"/>
      <c r="H401" s="12"/>
      <c r="I401" s="12"/>
      <c r="J401" s="12"/>
      <c r="K401" s="12"/>
      <c r="L401" s="44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2"/>
      <c r="BK401" s="12"/>
      <c r="BL401" s="12"/>
    </row>
    <row r="402">
      <c r="A402" s="56" t="str">
        <f t="shared" si="2"/>
        <v/>
      </c>
      <c r="B402" s="57"/>
      <c r="C402" s="45"/>
      <c r="D402" s="57"/>
      <c r="E402" s="57"/>
      <c r="F402" s="57"/>
      <c r="G402" s="48"/>
      <c r="H402" s="45"/>
      <c r="I402" s="45"/>
      <c r="J402" s="45"/>
      <c r="K402" s="45"/>
      <c r="L402" s="49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46"/>
      <c r="BE402" s="46"/>
      <c r="BF402" s="46"/>
      <c r="BG402" s="46"/>
      <c r="BH402" s="46"/>
      <c r="BI402" s="46"/>
      <c r="BJ402" s="45"/>
      <c r="BK402" s="45"/>
      <c r="BL402" s="45"/>
    </row>
    <row r="403">
      <c r="A403" s="59" t="str">
        <f t="shared" si="2"/>
        <v/>
      </c>
      <c r="B403" s="60"/>
      <c r="C403" s="12"/>
      <c r="D403" s="60"/>
      <c r="E403" s="60"/>
      <c r="F403" s="60"/>
      <c r="G403" s="14"/>
      <c r="H403" s="12"/>
      <c r="I403" s="12"/>
      <c r="J403" s="12"/>
      <c r="K403" s="12"/>
      <c r="L403" s="44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2"/>
      <c r="BK403" s="12"/>
      <c r="BL403" s="12"/>
    </row>
    <row r="404">
      <c r="A404" s="56" t="str">
        <f t="shared" si="2"/>
        <v/>
      </c>
      <c r="B404" s="57"/>
      <c r="C404" s="45"/>
      <c r="D404" s="57"/>
      <c r="E404" s="57"/>
      <c r="F404" s="57"/>
      <c r="G404" s="48"/>
      <c r="H404" s="45"/>
      <c r="I404" s="45"/>
      <c r="J404" s="45"/>
      <c r="K404" s="45"/>
      <c r="L404" s="49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46"/>
      <c r="BE404" s="46"/>
      <c r="BF404" s="46"/>
      <c r="BG404" s="46"/>
      <c r="BH404" s="46"/>
      <c r="BI404" s="46"/>
      <c r="BJ404" s="45"/>
      <c r="BK404" s="45"/>
      <c r="BL404" s="45"/>
    </row>
    <row r="405">
      <c r="A405" s="59" t="str">
        <f t="shared" si="2"/>
        <v/>
      </c>
      <c r="B405" s="60"/>
      <c r="C405" s="12"/>
      <c r="D405" s="60"/>
      <c r="E405" s="60"/>
      <c r="F405" s="60"/>
      <c r="G405" s="14"/>
      <c r="H405" s="12"/>
      <c r="I405" s="12"/>
      <c r="J405" s="12"/>
      <c r="K405" s="12"/>
      <c r="L405" s="44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2"/>
      <c r="BK405" s="12"/>
      <c r="BL405" s="12"/>
    </row>
    <row r="406">
      <c r="A406" s="56" t="str">
        <f t="shared" si="2"/>
        <v/>
      </c>
      <c r="B406" s="57"/>
      <c r="C406" s="45"/>
      <c r="D406" s="57"/>
      <c r="E406" s="57"/>
      <c r="F406" s="57"/>
      <c r="G406" s="48"/>
      <c r="H406" s="45"/>
      <c r="I406" s="45"/>
      <c r="J406" s="45"/>
      <c r="K406" s="45"/>
      <c r="L406" s="49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46"/>
      <c r="BE406" s="46"/>
      <c r="BF406" s="46"/>
      <c r="BG406" s="46"/>
      <c r="BH406" s="46"/>
      <c r="BI406" s="46"/>
      <c r="BJ406" s="45"/>
      <c r="BK406" s="45"/>
      <c r="BL406" s="45"/>
    </row>
    <row r="407">
      <c r="A407" s="59" t="str">
        <f t="shared" si="2"/>
        <v/>
      </c>
      <c r="B407" s="60"/>
      <c r="C407" s="12"/>
      <c r="D407" s="60"/>
      <c r="E407" s="60"/>
      <c r="F407" s="60"/>
      <c r="G407" s="14"/>
      <c r="H407" s="12"/>
      <c r="I407" s="12"/>
      <c r="J407" s="12"/>
      <c r="K407" s="12"/>
      <c r="L407" s="44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2"/>
      <c r="BK407" s="12"/>
      <c r="BL407" s="12"/>
    </row>
    <row r="408">
      <c r="A408" s="56" t="str">
        <f t="shared" si="2"/>
        <v/>
      </c>
      <c r="B408" s="57"/>
      <c r="C408" s="45"/>
      <c r="D408" s="57"/>
      <c r="E408" s="57"/>
      <c r="F408" s="57"/>
      <c r="G408" s="48"/>
      <c r="H408" s="45"/>
      <c r="I408" s="45"/>
      <c r="J408" s="45"/>
      <c r="K408" s="45"/>
      <c r="L408" s="49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46"/>
      <c r="BE408" s="46"/>
      <c r="BF408" s="46"/>
      <c r="BG408" s="46"/>
      <c r="BH408" s="46"/>
      <c r="BI408" s="46"/>
      <c r="BJ408" s="45"/>
      <c r="BK408" s="45"/>
      <c r="BL408" s="45"/>
    </row>
    <row r="409">
      <c r="A409" s="59" t="str">
        <f t="shared" si="2"/>
        <v/>
      </c>
      <c r="B409" s="60"/>
      <c r="C409" s="12"/>
      <c r="D409" s="60"/>
      <c r="E409" s="60"/>
      <c r="F409" s="60"/>
      <c r="G409" s="14"/>
      <c r="H409" s="12"/>
      <c r="I409" s="12"/>
      <c r="J409" s="12"/>
      <c r="K409" s="12"/>
      <c r="L409" s="44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2"/>
      <c r="BK409" s="12"/>
      <c r="BL409" s="12"/>
    </row>
    <row r="410">
      <c r="A410" s="56" t="str">
        <f t="shared" si="2"/>
        <v/>
      </c>
      <c r="B410" s="57"/>
      <c r="C410" s="45"/>
      <c r="D410" s="57"/>
      <c r="E410" s="57"/>
      <c r="F410" s="57"/>
      <c r="G410" s="48"/>
      <c r="H410" s="45"/>
      <c r="I410" s="45"/>
      <c r="J410" s="45"/>
      <c r="K410" s="45"/>
      <c r="L410" s="49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46"/>
      <c r="BE410" s="46"/>
      <c r="BF410" s="46"/>
      <c r="BG410" s="46"/>
      <c r="BH410" s="46"/>
      <c r="BI410" s="46"/>
      <c r="BJ410" s="45"/>
      <c r="BK410" s="45"/>
      <c r="BL410" s="45"/>
    </row>
    <row r="411">
      <c r="A411" s="59" t="str">
        <f t="shared" si="2"/>
        <v/>
      </c>
      <c r="B411" s="60"/>
      <c r="C411" s="12"/>
      <c r="D411" s="60"/>
      <c r="E411" s="60"/>
      <c r="F411" s="60"/>
      <c r="G411" s="14"/>
      <c r="H411" s="12"/>
      <c r="I411" s="12"/>
      <c r="J411" s="12"/>
      <c r="K411" s="12"/>
      <c r="L411" s="44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2"/>
      <c r="BK411" s="12"/>
      <c r="BL411" s="12"/>
    </row>
    <row r="412">
      <c r="A412" s="56" t="str">
        <f t="shared" si="2"/>
        <v/>
      </c>
      <c r="B412" s="57"/>
      <c r="C412" s="45"/>
      <c r="D412" s="57"/>
      <c r="E412" s="57"/>
      <c r="F412" s="57"/>
      <c r="G412" s="48"/>
      <c r="H412" s="45"/>
      <c r="I412" s="45"/>
      <c r="J412" s="45"/>
      <c r="K412" s="45"/>
      <c r="L412" s="49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46"/>
      <c r="BE412" s="46"/>
      <c r="BF412" s="46"/>
      <c r="BG412" s="46"/>
      <c r="BH412" s="46"/>
      <c r="BI412" s="46"/>
      <c r="BJ412" s="45"/>
      <c r="BK412" s="45"/>
      <c r="BL412" s="45"/>
    </row>
    <row r="413">
      <c r="A413" s="59" t="str">
        <f t="shared" si="2"/>
        <v/>
      </c>
      <c r="B413" s="60"/>
      <c r="C413" s="12"/>
      <c r="D413" s="60"/>
      <c r="E413" s="60"/>
      <c r="F413" s="60"/>
      <c r="G413" s="14"/>
      <c r="H413" s="12"/>
      <c r="I413" s="12"/>
      <c r="J413" s="12"/>
      <c r="K413" s="12"/>
      <c r="L413" s="44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2"/>
      <c r="BK413" s="12"/>
      <c r="BL413" s="12"/>
    </row>
    <row r="414">
      <c r="A414" s="56" t="str">
        <f t="shared" si="2"/>
        <v/>
      </c>
      <c r="B414" s="57"/>
      <c r="C414" s="45"/>
      <c r="D414" s="57"/>
      <c r="E414" s="57"/>
      <c r="F414" s="57"/>
      <c r="G414" s="48"/>
      <c r="H414" s="45"/>
      <c r="I414" s="45"/>
      <c r="J414" s="45"/>
      <c r="K414" s="45"/>
      <c r="L414" s="49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46"/>
      <c r="BE414" s="46"/>
      <c r="BF414" s="46"/>
      <c r="BG414" s="46"/>
      <c r="BH414" s="46"/>
      <c r="BI414" s="46"/>
      <c r="BJ414" s="45"/>
      <c r="BK414" s="45"/>
      <c r="BL414" s="45"/>
    </row>
    <row r="415">
      <c r="A415" s="59" t="str">
        <f t="shared" si="2"/>
        <v/>
      </c>
      <c r="B415" s="60"/>
      <c r="C415" s="12"/>
      <c r="D415" s="60"/>
      <c r="E415" s="60"/>
      <c r="F415" s="60"/>
      <c r="G415" s="14"/>
      <c r="H415" s="12"/>
      <c r="I415" s="12"/>
      <c r="J415" s="12"/>
      <c r="K415" s="12"/>
      <c r="L415" s="44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2"/>
      <c r="BK415" s="12"/>
      <c r="BL415" s="12"/>
    </row>
    <row r="416">
      <c r="A416" s="56" t="str">
        <f t="shared" si="2"/>
        <v/>
      </c>
      <c r="B416" s="57"/>
      <c r="C416" s="45"/>
      <c r="D416" s="57"/>
      <c r="E416" s="57"/>
      <c r="F416" s="57"/>
      <c r="G416" s="48"/>
      <c r="H416" s="45"/>
      <c r="I416" s="45"/>
      <c r="J416" s="45"/>
      <c r="K416" s="45"/>
      <c r="L416" s="49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46"/>
      <c r="BE416" s="46"/>
      <c r="BF416" s="46"/>
      <c r="BG416" s="46"/>
      <c r="BH416" s="46"/>
      <c r="BI416" s="46"/>
      <c r="BJ416" s="45"/>
      <c r="BK416" s="45"/>
      <c r="BL416" s="45"/>
    </row>
    <row r="417">
      <c r="A417" s="59" t="str">
        <f t="shared" si="2"/>
        <v/>
      </c>
      <c r="B417" s="60"/>
      <c r="C417" s="12"/>
      <c r="D417" s="60"/>
      <c r="E417" s="60"/>
      <c r="F417" s="60"/>
      <c r="G417" s="14"/>
      <c r="H417" s="12"/>
      <c r="I417" s="12"/>
      <c r="J417" s="12"/>
      <c r="K417" s="12"/>
      <c r="L417" s="44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2"/>
      <c r="BK417" s="12"/>
      <c r="BL417" s="12"/>
    </row>
    <row r="418">
      <c r="A418" s="56" t="str">
        <f t="shared" si="2"/>
        <v/>
      </c>
      <c r="B418" s="57"/>
      <c r="C418" s="45"/>
      <c r="D418" s="57"/>
      <c r="E418" s="57"/>
      <c r="F418" s="57"/>
      <c r="G418" s="48"/>
      <c r="H418" s="45"/>
      <c r="I418" s="45"/>
      <c r="J418" s="45"/>
      <c r="K418" s="45"/>
      <c r="L418" s="49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46"/>
      <c r="BE418" s="46"/>
      <c r="BF418" s="46"/>
      <c r="BG418" s="46"/>
      <c r="BH418" s="46"/>
      <c r="BI418" s="46"/>
      <c r="BJ418" s="45"/>
      <c r="BK418" s="45"/>
      <c r="BL418" s="45"/>
    </row>
    <row r="419">
      <c r="A419" s="59" t="str">
        <f t="shared" si="2"/>
        <v/>
      </c>
      <c r="B419" s="60"/>
      <c r="C419" s="12"/>
      <c r="D419" s="60"/>
      <c r="E419" s="60"/>
      <c r="F419" s="60"/>
      <c r="G419" s="14"/>
      <c r="H419" s="12"/>
      <c r="I419" s="12"/>
      <c r="J419" s="12"/>
      <c r="K419" s="12"/>
      <c r="L419" s="44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2"/>
      <c r="BK419" s="12"/>
      <c r="BL419" s="12"/>
    </row>
    <row r="420">
      <c r="A420" s="56" t="str">
        <f t="shared" si="2"/>
        <v/>
      </c>
      <c r="B420" s="57"/>
      <c r="C420" s="45"/>
      <c r="D420" s="57"/>
      <c r="E420" s="57"/>
      <c r="F420" s="57"/>
      <c r="G420" s="48"/>
      <c r="H420" s="45"/>
      <c r="I420" s="45"/>
      <c r="J420" s="45"/>
      <c r="K420" s="45"/>
      <c r="L420" s="49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46"/>
      <c r="BE420" s="46"/>
      <c r="BF420" s="46"/>
      <c r="BG420" s="46"/>
      <c r="BH420" s="46"/>
      <c r="BI420" s="46"/>
      <c r="BJ420" s="45"/>
      <c r="BK420" s="45"/>
      <c r="BL420" s="45"/>
    </row>
    <row r="421">
      <c r="A421" s="59" t="str">
        <f t="shared" si="2"/>
        <v/>
      </c>
      <c r="B421" s="60"/>
      <c r="C421" s="12"/>
      <c r="D421" s="60"/>
      <c r="E421" s="60"/>
      <c r="F421" s="60"/>
      <c r="G421" s="14"/>
      <c r="H421" s="12"/>
      <c r="I421" s="12"/>
      <c r="J421" s="12"/>
      <c r="K421" s="12"/>
      <c r="L421" s="44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2"/>
      <c r="BK421" s="12"/>
      <c r="BL421" s="12"/>
    </row>
    <row r="422">
      <c r="A422" s="56" t="str">
        <f t="shared" si="2"/>
        <v/>
      </c>
      <c r="B422" s="57"/>
      <c r="C422" s="45"/>
      <c r="D422" s="57"/>
      <c r="E422" s="57"/>
      <c r="F422" s="57"/>
      <c r="G422" s="48"/>
      <c r="H422" s="45"/>
      <c r="I422" s="45"/>
      <c r="J422" s="45"/>
      <c r="K422" s="45"/>
      <c r="L422" s="49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46"/>
      <c r="BE422" s="46"/>
      <c r="BF422" s="46"/>
      <c r="BG422" s="46"/>
      <c r="BH422" s="46"/>
      <c r="BI422" s="46"/>
      <c r="BJ422" s="45"/>
      <c r="BK422" s="45"/>
      <c r="BL422" s="45"/>
    </row>
    <row r="423">
      <c r="A423" s="59" t="str">
        <f t="shared" si="2"/>
        <v/>
      </c>
      <c r="B423" s="60"/>
      <c r="C423" s="12"/>
      <c r="D423" s="60"/>
      <c r="E423" s="60"/>
      <c r="F423" s="60"/>
      <c r="G423" s="14"/>
      <c r="H423" s="12"/>
      <c r="I423" s="12"/>
      <c r="J423" s="12"/>
      <c r="K423" s="12"/>
      <c r="L423" s="44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2"/>
      <c r="BK423" s="12"/>
      <c r="BL423" s="12"/>
    </row>
    <row r="424">
      <c r="A424" s="56" t="str">
        <f t="shared" si="2"/>
        <v/>
      </c>
      <c r="B424" s="57"/>
      <c r="C424" s="45"/>
      <c r="D424" s="57"/>
      <c r="E424" s="57"/>
      <c r="F424" s="57"/>
      <c r="G424" s="48"/>
      <c r="H424" s="45"/>
      <c r="I424" s="45"/>
      <c r="J424" s="45"/>
      <c r="K424" s="45"/>
      <c r="L424" s="49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46"/>
      <c r="BE424" s="46"/>
      <c r="BF424" s="46"/>
      <c r="BG424" s="46"/>
      <c r="BH424" s="46"/>
      <c r="BI424" s="46"/>
      <c r="BJ424" s="45"/>
      <c r="BK424" s="45"/>
      <c r="BL424" s="45"/>
    </row>
    <row r="425">
      <c r="A425" s="59" t="str">
        <f t="shared" si="2"/>
        <v/>
      </c>
      <c r="B425" s="60"/>
      <c r="C425" s="12"/>
      <c r="D425" s="60"/>
      <c r="E425" s="60"/>
      <c r="F425" s="60"/>
      <c r="G425" s="14"/>
      <c r="H425" s="12"/>
      <c r="I425" s="12"/>
      <c r="J425" s="12"/>
      <c r="K425" s="12"/>
      <c r="L425" s="44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2"/>
      <c r="BK425" s="12"/>
      <c r="BL425" s="12"/>
    </row>
    <row r="426">
      <c r="A426" s="56" t="str">
        <f t="shared" si="2"/>
        <v/>
      </c>
      <c r="B426" s="57"/>
      <c r="C426" s="45"/>
      <c r="D426" s="57"/>
      <c r="E426" s="57"/>
      <c r="F426" s="57"/>
      <c r="G426" s="48"/>
      <c r="H426" s="45"/>
      <c r="I426" s="45"/>
      <c r="J426" s="45"/>
      <c r="K426" s="45"/>
      <c r="L426" s="49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46"/>
      <c r="BE426" s="46"/>
      <c r="BF426" s="46"/>
      <c r="BG426" s="46"/>
      <c r="BH426" s="46"/>
      <c r="BI426" s="46"/>
      <c r="BJ426" s="45"/>
      <c r="BK426" s="45"/>
      <c r="BL426" s="45"/>
    </row>
    <row r="427">
      <c r="A427" s="59" t="str">
        <f t="shared" si="2"/>
        <v/>
      </c>
      <c r="B427" s="60"/>
      <c r="C427" s="12"/>
      <c r="D427" s="60"/>
      <c r="E427" s="60"/>
      <c r="F427" s="60"/>
      <c r="G427" s="14"/>
      <c r="H427" s="12"/>
      <c r="I427" s="12"/>
      <c r="J427" s="12"/>
      <c r="K427" s="12"/>
      <c r="L427" s="44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2"/>
      <c r="BK427" s="12"/>
      <c r="BL427" s="12"/>
    </row>
    <row r="428">
      <c r="A428" s="56" t="str">
        <f t="shared" si="2"/>
        <v/>
      </c>
      <c r="B428" s="57"/>
      <c r="C428" s="45"/>
      <c r="D428" s="57"/>
      <c r="E428" s="57"/>
      <c r="F428" s="57"/>
      <c r="G428" s="48"/>
      <c r="H428" s="45"/>
      <c r="I428" s="45"/>
      <c r="J428" s="45"/>
      <c r="K428" s="45"/>
      <c r="L428" s="49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46"/>
      <c r="BE428" s="46"/>
      <c r="BF428" s="46"/>
      <c r="BG428" s="46"/>
      <c r="BH428" s="46"/>
      <c r="BI428" s="46"/>
      <c r="BJ428" s="45"/>
      <c r="BK428" s="45"/>
      <c r="BL428" s="45"/>
    </row>
    <row r="429">
      <c r="A429" s="59" t="str">
        <f t="shared" si="2"/>
        <v/>
      </c>
      <c r="B429" s="60"/>
      <c r="C429" s="12"/>
      <c r="D429" s="60"/>
      <c r="E429" s="60"/>
      <c r="F429" s="60"/>
      <c r="G429" s="14"/>
      <c r="H429" s="12"/>
      <c r="I429" s="12"/>
      <c r="J429" s="12"/>
      <c r="K429" s="12"/>
      <c r="L429" s="44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2"/>
      <c r="BK429" s="12"/>
      <c r="BL429" s="12"/>
    </row>
    <row r="430">
      <c r="A430" s="56" t="str">
        <f t="shared" si="2"/>
        <v/>
      </c>
      <c r="B430" s="57"/>
      <c r="C430" s="45"/>
      <c r="D430" s="57"/>
      <c r="E430" s="57"/>
      <c r="F430" s="57"/>
      <c r="G430" s="48"/>
      <c r="H430" s="45"/>
      <c r="I430" s="45"/>
      <c r="J430" s="45"/>
      <c r="K430" s="45"/>
      <c r="L430" s="49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46"/>
      <c r="BE430" s="46"/>
      <c r="BF430" s="46"/>
      <c r="BG430" s="46"/>
      <c r="BH430" s="46"/>
      <c r="BI430" s="46"/>
      <c r="BJ430" s="45"/>
      <c r="BK430" s="45"/>
      <c r="BL430" s="45"/>
    </row>
    <row r="431">
      <c r="A431" s="59" t="str">
        <f t="shared" si="2"/>
        <v/>
      </c>
      <c r="B431" s="60"/>
      <c r="C431" s="12"/>
      <c r="D431" s="60"/>
      <c r="E431" s="60"/>
      <c r="F431" s="60"/>
      <c r="G431" s="14"/>
      <c r="H431" s="12"/>
      <c r="I431" s="12"/>
      <c r="J431" s="12"/>
      <c r="K431" s="12"/>
      <c r="L431" s="44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2"/>
      <c r="BK431" s="12"/>
      <c r="BL431" s="12"/>
    </row>
    <row r="432">
      <c r="A432" s="56" t="str">
        <f t="shared" si="2"/>
        <v/>
      </c>
      <c r="B432" s="57"/>
      <c r="C432" s="45"/>
      <c r="D432" s="57"/>
      <c r="E432" s="57"/>
      <c r="F432" s="57"/>
      <c r="G432" s="48"/>
      <c r="H432" s="45"/>
      <c r="I432" s="45"/>
      <c r="J432" s="45"/>
      <c r="K432" s="45"/>
      <c r="L432" s="49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46"/>
      <c r="BE432" s="46"/>
      <c r="BF432" s="46"/>
      <c r="BG432" s="46"/>
      <c r="BH432" s="46"/>
      <c r="BI432" s="46"/>
      <c r="BJ432" s="45"/>
      <c r="BK432" s="45"/>
      <c r="BL432" s="45"/>
    </row>
    <row r="433">
      <c r="A433" s="59" t="str">
        <f t="shared" si="2"/>
        <v/>
      </c>
      <c r="B433" s="60"/>
      <c r="C433" s="12"/>
      <c r="D433" s="60"/>
      <c r="E433" s="60"/>
      <c r="F433" s="60"/>
      <c r="G433" s="14"/>
      <c r="H433" s="12"/>
      <c r="I433" s="12"/>
      <c r="J433" s="12"/>
      <c r="K433" s="12"/>
      <c r="L433" s="44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2"/>
      <c r="BK433" s="12"/>
      <c r="BL433" s="12"/>
    </row>
    <row r="434">
      <c r="A434" s="56" t="str">
        <f t="shared" si="2"/>
        <v/>
      </c>
      <c r="B434" s="57"/>
      <c r="C434" s="45"/>
      <c r="D434" s="57"/>
      <c r="E434" s="57"/>
      <c r="F434" s="57"/>
      <c r="G434" s="48"/>
      <c r="H434" s="45"/>
      <c r="I434" s="45"/>
      <c r="J434" s="45"/>
      <c r="K434" s="45"/>
      <c r="L434" s="49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46"/>
      <c r="BE434" s="46"/>
      <c r="BF434" s="46"/>
      <c r="BG434" s="46"/>
      <c r="BH434" s="46"/>
      <c r="BI434" s="46"/>
      <c r="BJ434" s="45"/>
      <c r="BK434" s="45"/>
      <c r="BL434" s="45"/>
    </row>
    <row r="435">
      <c r="A435" s="59" t="str">
        <f t="shared" si="2"/>
        <v/>
      </c>
      <c r="B435" s="60"/>
      <c r="C435" s="12"/>
      <c r="D435" s="60"/>
      <c r="E435" s="60"/>
      <c r="F435" s="60"/>
      <c r="G435" s="14"/>
      <c r="H435" s="12"/>
      <c r="I435" s="12"/>
      <c r="J435" s="12"/>
      <c r="K435" s="12"/>
      <c r="L435" s="44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2"/>
      <c r="BK435" s="12"/>
      <c r="BL435" s="12"/>
    </row>
    <row r="436">
      <c r="A436" s="56" t="str">
        <f t="shared" si="2"/>
        <v/>
      </c>
      <c r="B436" s="57"/>
      <c r="C436" s="45"/>
      <c r="D436" s="57"/>
      <c r="E436" s="57"/>
      <c r="F436" s="57"/>
      <c r="G436" s="48"/>
      <c r="H436" s="45"/>
      <c r="I436" s="45"/>
      <c r="J436" s="45"/>
      <c r="K436" s="45"/>
      <c r="L436" s="49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46"/>
      <c r="BE436" s="46"/>
      <c r="BF436" s="46"/>
      <c r="BG436" s="46"/>
      <c r="BH436" s="46"/>
      <c r="BI436" s="46"/>
      <c r="BJ436" s="45"/>
      <c r="BK436" s="45"/>
      <c r="BL436" s="45"/>
    </row>
    <row r="437">
      <c r="A437" s="59" t="str">
        <f t="shared" si="2"/>
        <v/>
      </c>
      <c r="B437" s="60"/>
      <c r="C437" s="12"/>
      <c r="D437" s="60"/>
      <c r="E437" s="60"/>
      <c r="F437" s="60"/>
      <c r="G437" s="14"/>
      <c r="H437" s="12"/>
      <c r="I437" s="12"/>
      <c r="J437" s="12"/>
      <c r="K437" s="12"/>
      <c r="L437" s="44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2"/>
      <c r="BK437" s="12"/>
      <c r="BL437" s="12"/>
    </row>
    <row r="438">
      <c r="A438" s="56" t="str">
        <f t="shared" si="2"/>
        <v/>
      </c>
      <c r="B438" s="57"/>
      <c r="C438" s="45"/>
      <c r="D438" s="57"/>
      <c r="E438" s="57"/>
      <c r="F438" s="57"/>
      <c r="G438" s="48"/>
      <c r="H438" s="45"/>
      <c r="I438" s="45"/>
      <c r="J438" s="45"/>
      <c r="K438" s="45"/>
      <c r="L438" s="49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46"/>
      <c r="BE438" s="46"/>
      <c r="BF438" s="46"/>
      <c r="BG438" s="46"/>
      <c r="BH438" s="46"/>
      <c r="BI438" s="46"/>
      <c r="BJ438" s="45"/>
      <c r="BK438" s="45"/>
      <c r="BL438" s="45"/>
    </row>
    <row r="439">
      <c r="A439" s="59" t="str">
        <f t="shared" si="2"/>
        <v/>
      </c>
      <c r="B439" s="60"/>
      <c r="C439" s="12"/>
      <c r="D439" s="60"/>
      <c r="E439" s="60"/>
      <c r="F439" s="60"/>
      <c r="G439" s="14"/>
      <c r="H439" s="12"/>
      <c r="I439" s="12"/>
      <c r="J439" s="12"/>
      <c r="K439" s="12"/>
      <c r="L439" s="44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2"/>
      <c r="BK439" s="12"/>
      <c r="BL439" s="12"/>
    </row>
    <row r="440">
      <c r="A440" s="56" t="str">
        <f t="shared" si="2"/>
        <v/>
      </c>
      <c r="B440" s="57"/>
      <c r="C440" s="45"/>
      <c r="D440" s="57"/>
      <c r="E440" s="57"/>
      <c r="F440" s="57"/>
      <c r="G440" s="48"/>
      <c r="H440" s="45"/>
      <c r="I440" s="45"/>
      <c r="J440" s="45"/>
      <c r="K440" s="45"/>
      <c r="L440" s="49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46"/>
      <c r="BE440" s="46"/>
      <c r="BF440" s="46"/>
      <c r="BG440" s="46"/>
      <c r="BH440" s="46"/>
      <c r="BI440" s="46"/>
      <c r="BJ440" s="45"/>
      <c r="BK440" s="45"/>
      <c r="BL440" s="45"/>
    </row>
    <row r="441">
      <c r="A441" s="59" t="str">
        <f t="shared" si="2"/>
        <v/>
      </c>
      <c r="B441" s="60"/>
      <c r="C441" s="12"/>
      <c r="D441" s="60"/>
      <c r="E441" s="60"/>
      <c r="F441" s="60"/>
      <c r="G441" s="14"/>
      <c r="H441" s="12"/>
      <c r="I441" s="12"/>
      <c r="J441" s="12"/>
      <c r="K441" s="12"/>
      <c r="L441" s="44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2"/>
      <c r="BK441" s="12"/>
      <c r="BL441" s="12"/>
    </row>
    <row r="442">
      <c r="A442" s="56" t="str">
        <f t="shared" si="2"/>
        <v/>
      </c>
      <c r="B442" s="57"/>
      <c r="C442" s="45"/>
      <c r="D442" s="57"/>
      <c r="E442" s="57"/>
      <c r="F442" s="57"/>
      <c r="G442" s="48"/>
      <c r="H442" s="45"/>
      <c r="I442" s="45"/>
      <c r="J442" s="45"/>
      <c r="K442" s="45"/>
      <c r="L442" s="49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46"/>
      <c r="BE442" s="46"/>
      <c r="BF442" s="46"/>
      <c r="BG442" s="46"/>
      <c r="BH442" s="46"/>
      <c r="BI442" s="46"/>
      <c r="BJ442" s="45"/>
      <c r="BK442" s="45"/>
      <c r="BL442" s="45"/>
    </row>
    <row r="443">
      <c r="A443" s="59" t="str">
        <f t="shared" si="2"/>
        <v/>
      </c>
      <c r="B443" s="60"/>
      <c r="C443" s="12"/>
      <c r="D443" s="60"/>
      <c r="E443" s="60"/>
      <c r="F443" s="60"/>
      <c r="G443" s="14"/>
      <c r="H443" s="12"/>
      <c r="I443" s="12"/>
      <c r="J443" s="12"/>
      <c r="K443" s="12"/>
      <c r="L443" s="44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2"/>
      <c r="BK443" s="12"/>
      <c r="BL443" s="12"/>
    </row>
    <row r="444">
      <c r="A444" s="56" t="str">
        <f t="shared" si="2"/>
        <v/>
      </c>
      <c r="B444" s="57"/>
      <c r="C444" s="45"/>
      <c r="D444" s="57"/>
      <c r="E444" s="57"/>
      <c r="F444" s="57"/>
      <c r="G444" s="48"/>
      <c r="H444" s="45"/>
      <c r="I444" s="45"/>
      <c r="J444" s="45"/>
      <c r="K444" s="45"/>
      <c r="L444" s="49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46"/>
      <c r="BE444" s="46"/>
      <c r="BF444" s="46"/>
      <c r="BG444" s="46"/>
      <c r="BH444" s="46"/>
      <c r="BI444" s="46"/>
      <c r="BJ444" s="45"/>
      <c r="BK444" s="45"/>
      <c r="BL444" s="45"/>
    </row>
    <row r="445">
      <c r="A445" s="59" t="str">
        <f t="shared" si="2"/>
        <v/>
      </c>
      <c r="B445" s="60"/>
      <c r="C445" s="12"/>
      <c r="D445" s="60"/>
      <c r="E445" s="60"/>
      <c r="F445" s="60"/>
      <c r="G445" s="14"/>
      <c r="H445" s="12"/>
      <c r="I445" s="12"/>
      <c r="J445" s="12"/>
      <c r="K445" s="12"/>
      <c r="L445" s="44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2"/>
      <c r="BK445" s="12"/>
      <c r="BL445" s="12"/>
    </row>
    <row r="446">
      <c r="A446" s="56" t="str">
        <f t="shared" si="2"/>
        <v/>
      </c>
      <c r="B446" s="57"/>
      <c r="C446" s="45"/>
      <c r="D446" s="57"/>
      <c r="E446" s="57"/>
      <c r="F446" s="57"/>
      <c r="G446" s="48"/>
      <c r="H446" s="45"/>
      <c r="I446" s="45"/>
      <c r="J446" s="45"/>
      <c r="K446" s="45"/>
      <c r="L446" s="49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46"/>
      <c r="BE446" s="46"/>
      <c r="BF446" s="46"/>
      <c r="BG446" s="46"/>
      <c r="BH446" s="46"/>
      <c r="BI446" s="46"/>
      <c r="BJ446" s="45"/>
      <c r="BK446" s="45"/>
      <c r="BL446" s="45"/>
    </row>
    <row r="447">
      <c r="A447" s="59" t="str">
        <f t="shared" si="2"/>
        <v/>
      </c>
      <c r="B447" s="60"/>
      <c r="C447" s="12"/>
      <c r="D447" s="60"/>
      <c r="E447" s="60"/>
      <c r="F447" s="60"/>
      <c r="G447" s="14"/>
      <c r="H447" s="12"/>
      <c r="I447" s="12"/>
      <c r="J447" s="12"/>
      <c r="K447" s="12"/>
      <c r="L447" s="44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2"/>
      <c r="BK447" s="12"/>
      <c r="BL447" s="12"/>
    </row>
    <row r="448">
      <c r="A448" s="59" t="str">
        <f t="shared" si="2"/>
        <v/>
      </c>
      <c r="B448" s="60"/>
      <c r="C448" s="12"/>
      <c r="D448" s="60"/>
      <c r="E448" s="60"/>
      <c r="F448" s="60"/>
      <c r="G448" s="14"/>
      <c r="H448" s="12"/>
      <c r="I448" s="12"/>
      <c r="J448" s="12"/>
      <c r="K448" s="12"/>
      <c r="L448" s="44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2"/>
      <c r="BK448" s="12"/>
      <c r="BL448" s="12"/>
    </row>
    <row r="449">
      <c r="A449" s="59" t="str">
        <f t="shared" si="2"/>
        <v/>
      </c>
      <c r="B449" s="60"/>
      <c r="C449" s="12"/>
      <c r="D449" s="60"/>
      <c r="E449" s="60"/>
      <c r="F449" s="60"/>
      <c r="G449" s="14"/>
      <c r="H449" s="12"/>
      <c r="I449" s="12"/>
      <c r="J449" s="12"/>
      <c r="K449" s="12"/>
      <c r="L449" s="44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2"/>
      <c r="BK449" s="12"/>
      <c r="BL449" s="12"/>
    </row>
    <row r="450">
      <c r="A450" s="59" t="str">
        <f t="shared" si="2"/>
        <v/>
      </c>
      <c r="B450" s="60"/>
      <c r="C450" s="12"/>
      <c r="D450" s="60"/>
      <c r="E450" s="60"/>
      <c r="F450" s="60"/>
      <c r="G450" s="14"/>
      <c r="H450" s="12"/>
      <c r="I450" s="12"/>
      <c r="J450" s="12"/>
      <c r="K450" s="12"/>
      <c r="L450" s="44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2"/>
      <c r="BK450" s="12"/>
      <c r="BL450" s="12"/>
    </row>
    <row r="451">
      <c r="A451" s="59" t="str">
        <f t="shared" si="2"/>
        <v/>
      </c>
      <c r="B451" s="60"/>
      <c r="C451" s="12"/>
      <c r="D451" s="60"/>
      <c r="E451" s="60"/>
      <c r="F451" s="60"/>
      <c r="G451" s="14"/>
      <c r="H451" s="12"/>
      <c r="I451" s="12"/>
      <c r="J451" s="12"/>
      <c r="K451" s="12"/>
      <c r="L451" s="44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2"/>
      <c r="BK451" s="12"/>
      <c r="BL451" s="12"/>
    </row>
    <row r="452">
      <c r="A452" s="59" t="str">
        <f t="shared" si="2"/>
        <v/>
      </c>
      <c r="B452" s="60"/>
      <c r="C452" s="12"/>
      <c r="D452" s="60"/>
      <c r="E452" s="60"/>
      <c r="F452" s="60"/>
      <c r="G452" s="14"/>
      <c r="H452" s="12"/>
      <c r="I452" s="12"/>
      <c r="J452" s="12"/>
      <c r="K452" s="12"/>
      <c r="L452" s="44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2"/>
      <c r="BK452" s="12"/>
      <c r="BL452" s="12"/>
    </row>
    <row r="453">
      <c r="A453" s="59" t="str">
        <f t="shared" si="2"/>
        <v/>
      </c>
      <c r="B453" s="60"/>
      <c r="C453" s="12"/>
      <c r="D453" s="60"/>
      <c r="E453" s="60"/>
      <c r="F453" s="60"/>
      <c r="G453" s="14"/>
      <c r="H453" s="12"/>
      <c r="I453" s="12"/>
      <c r="J453" s="12"/>
      <c r="K453" s="12"/>
      <c r="L453" s="44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2"/>
      <c r="BK453" s="12"/>
      <c r="BL453" s="12"/>
    </row>
    <row r="454">
      <c r="A454" s="59" t="str">
        <f t="shared" si="2"/>
        <v/>
      </c>
      <c r="B454" s="60"/>
      <c r="C454" s="12"/>
      <c r="D454" s="60"/>
      <c r="E454" s="60"/>
      <c r="F454" s="60"/>
      <c r="G454" s="14"/>
      <c r="H454" s="12"/>
      <c r="I454" s="12"/>
      <c r="J454" s="12"/>
      <c r="K454" s="12"/>
      <c r="L454" s="44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2"/>
      <c r="BK454" s="12"/>
      <c r="BL454" s="12"/>
    </row>
    <row r="455">
      <c r="A455" s="59" t="str">
        <f t="shared" si="2"/>
        <v/>
      </c>
      <c r="B455" s="60"/>
      <c r="C455" s="12"/>
      <c r="D455" s="60"/>
      <c r="E455" s="60"/>
      <c r="F455" s="60"/>
      <c r="G455" s="14"/>
      <c r="H455" s="12"/>
      <c r="I455" s="12"/>
      <c r="J455" s="12"/>
      <c r="K455" s="12"/>
      <c r="L455" s="44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2"/>
      <c r="BK455" s="12"/>
      <c r="BL455" s="12"/>
    </row>
    <row r="456">
      <c r="A456" s="59" t="str">
        <f t="shared" si="2"/>
        <v/>
      </c>
      <c r="B456" s="60"/>
      <c r="C456" s="12"/>
      <c r="D456" s="60"/>
      <c r="E456" s="60"/>
      <c r="F456" s="60"/>
      <c r="G456" s="14"/>
      <c r="H456" s="12"/>
      <c r="I456" s="12"/>
      <c r="J456" s="12"/>
      <c r="K456" s="12"/>
      <c r="L456" s="44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2"/>
      <c r="BK456" s="12"/>
      <c r="BL456" s="12"/>
    </row>
    <row r="457">
      <c r="A457" s="59" t="str">
        <f t="shared" si="2"/>
        <v/>
      </c>
      <c r="B457" s="60"/>
      <c r="C457" s="12"/>
      <c r="D457" s="60"/>
      <c r="E457" s="60"/>
      <c r="F457" s="60"/>
      <c r="G457" s="14"/>
      <c r="H457" s="12"/>
      <c r="I457" s="12"/>
      <c r="J457" s="12"/>
      <c r="K457" s="12"/>
      <c r="L457" s="44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2"/>
      <c r="BK457" s="12"/>
      <c r="BL457" s="12"/>
    </row>
    <row r="458">
      <c r="A458" s="59" t="str">
        <f t="shared" si="2"/>
        <v/>
      </c>
      <c r="B458" s="60"/>
      <c r="C458" s="12"/>
      <c r="D458" s="60"/>
      <c r="E458" s="60"/>
      <c r="F458" s="60"/>
      <c r="G458" s="14"/>
      <c r="H458" s="12"/>
      <c r="I458" s="12"/>
      <c r="J458" s="12"/>
      <c r="K458" s="12"/>
      <c r="L458" s="44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2"/>
      <c r="BK458" s="12"/>
      <c r="BL458" s="12"/>
    </row>
    <row r="459">
      <c r="A459" s="59" t="str">
        <f t="shared" si="2"/>
        <v/>
      </c>
      <c r="B459" s="60"/>
      <c r="C459" s="12"/>
      <c r="D459" s="60"/>
      <c r="E459" s="60"/>
      <c r="F459" s="60"/>
      <c r="G459" s="14"/>
      <c r="H459" s="12"/>
      <c r="I459" s="12"/>
      <c r="J459" s="12"/>
      <c r="K459" s="12"/>
      <c r="L459" s="44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2"/>
      <c r="BK459" s="12"/>
      <c r="BL459" s="12"/>
    </row>
    <row r="460">
      <c r="A460" s="59" t="str">
        <f t="shared" si="2"/>
        <v/>
      </c>
      <c r="B460" s="60"/>
      <c r="C460" s="12"/>
      <c r="D460" s="60"/>
      <c r="E460" s="60"/>
      <c r="F460" s="60"/>
      <c r="G460" s="14"/>
      <c r="H460" s="12"/>
      <c r="I460" s="12"/>
      <c r="J460" s="12"/>
      <c r="K460" s="12"/>
      <c r="L460" s="44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2"/>
      <c r="BK460" s="12"/>
      <c r="BL460" s="12"/>
    </row>
    <row r="461">
      <c r="A461" s="59" t="str">
        <f t="shared" si="2"/>
        <v/>
      </c>
      <c r="B461" s="60"/>
      <c r="C461" s="12"/>
      <c r="D461" s="60"/>
      <c r="E461" s="60"/>
      <c r="F461" s="60"/>
      <c r="G461" s="14"/>
      <c r="H461" s="12"/>
      <c r="I461" s="12"/>
      <c r="J461" s="12"/>
      <c r="K461" s="12"/>
      <c r="L461" s="44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2"/>
      <c r="BK461" s="12"/>
      <c r="BL461" s="12"/>
    </row>
    <row r="462">
      <c r="A462" s="59" t="str">
        <f t="shared" si="2"/>
        <v/>
      </c>
      <c r="B462" s="60"/>
      <c r="C462" s="12"/>
      <c r="D462" s="60"/>
      <c r="E462" s="60"/>
      <c r="F462" s="60"/>
      <c r="G462" s="14"/>
      <c r="H462" s="12"/>
      <c r="I462" s="12"/>
      <c r="J462" s="12"/>
      <c r="K462" s="12"/>
      <c r="L462" s="44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2"/>
      <c r="BK462" s="12"/>
      <c r="BL462" s="12"/>
    </row>
    <row r="463">
      <c r="A463" s="59" t="str">
        <f t="shared" si="2"/>
        <v/>
      </c>
      <c r="B463" s="60"/>
      <c r="C463" s="12"/>
      <c r="D463" s="60"/>
      <c r="E463" s="60"/>
      <c r="F463" s="60"/>
      <c r="G463" s="14"/>
      <c r="H463" s="12"/>
      <c r="I463" s="12"/>
      <c r="J463" s="12"/>
      <c r="K463" s="12"/>
      <c r="L463" s="44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2"/>
      <c r="BK463" s="12"/>
      <c r="BL463" s="12"/>
    </row>
    <row r="464">
      <c r="A464" s="59" t="str">
        <f t="shared" si="2"/>
        <v/>
      </c>
      <c r="B464" s="60"/>
      <c r="C464" s="12"/>
      <c r="D464" s="60"/>
      <c r="E464" s="60"/>
      <c r="F464" s="60"/>
      <c r="G464" s="14"/>
      <c r="H464" s="12"/>
      <c r="I464" s="12"/>
      <c r="J464" s="12"/>
      <c r="K464" s="12"/>
      <c r="L464" s="44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2"/>
      <c r="BK464" s="12"/>
      <c r="BL464" s="12"/>
    </row>
    <row r="465">
      <c r="A465" s="59" t="str">
        <f t="shared" si="2"/>
        <v/>
      </c>
      <c r="B465" s="60"/>
      <c r="C465" s="12"/>
      <c r="D465" s="60"/>
      <c r="E465" s="60"/>
      <c r="F465" s="60"/>
      <c r="G465" s="14"/>
      <c r="H465" s="12"/>
      <c r="I465" s="12"/>
      <c r="J465" s="12"/>
      <c r="K465" s="12"/>
      <c r="L465" s="44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2"/>
      <c r="BK465" s="12"/>
      <c r="BL465" s="12"/>
    </row>
    <row r="466">
      <c r="A466" s="59" t="str">
        <f t="shared" si="2"/>
        <v/>
      </c>
      <c r="B466" s="60"/>
      <c r="C466" s="12"/>
      <c r="D466" s="60"/>
      <c r="E466" s="60"/>
      <c r="F466" s="60"/>
      <c r="G466" s="14"/>
      <c r="H466" s="12"/>
      <c r="I466" s="12"/>
      <c r="J466" s="12"/>
      <c r="K466" s="12"/>
      <c r="L466" s="44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2"/>
      <c r="BK466" s="12"/>
      <c r="BL466" s="12"/>
    </row>
    <row r="467">
      <c r="A467" s="59" t="str">
        <f t="shared" si="2"/>
        <v/>
      </c>
      <c r="B467" s="60"/>
      <c r="C467" s="12"/>
      <c r="D467" s="60"/>
      <c r="E467" s="60"/>
      <c r="F467" s="60"/>
      <c r="G467" s="14"/>
      <c r="H467" s="12"/>
      <c r="I467" s="12"/>
      <c r="J467" s="12"/>
      <c r="K467" s="12"/>
      <c r="L467" s="44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2"/>
      <c r="BK467" s="12"/>
      <c r="BL467" s="12"/>
    </row>
    <row r="468">
      <c r="A468" s="59" t="str">
        <f t="shared" si="2"/>
        <v/>
      </c>
      <c r="B468" s="60"/>
      <c r="C468" s="12"/>
      <c r="D468" s="60"/>
      <c r="E468" s="60"/>
      <c r="F468" s="60"/>
      <c r="G468" s="14"/>
      <c r="H468" s="12"/>
      <c r="I468" s="12"/>
      <c r="J468" s="12"/>
      <c r="K468" s="12"/>
      <c r="L468" s="44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2"/>
      <c r="BK468" s="12"/>
      <c r="BL468" s="12"/>
    </row>
    <row r="469">
      <c r="A469" s="59" t="str">
        <f t="shared" si="2"/>
        <v/>
      </c>
      <c r="B469" s="60"/>
      <c r="C469" s="12"/>
      <c r="D469" s="60"/>
      <c r="E469" s="60"/>
      <c r="F469" s="60"/>
      <c r="G469" s="14"/>
      <c r="H469" s="12"/>
      <c r="I469" s="12"/>
      <c r="J469" s="12"/>
      <c r="K469" s="12"/>
      <c r="L469" s="44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2"/>
      <c r="BK469" s="12"/>
      <c r="BL469" s="12"/>
    </row>
    <row r="470">
      <c r="A470" s="59" t="str">
        <f t="shared" si="2"/>
        <v/>
      </c>
      <c r="B470" s="60"/>
      <c r="C470" s="12"/>
      <c r="D470" s="60"/>
      <c r="E470" s="60"/>
      <c r="F470" s="60"/>
      <c r="G470" s="14"/>
      <c r="H470" s="12"/>
      <c r="I470" s="12"/>
      <c r="J470" s="12"/>
      <c r="K470" s="12"/>
      <c r="L470" s="44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2"/>
      <c r="BK470" s="12"/>
      <c r="BL470" s="12"/>
    </row>
    <row r="471">
      <c r="A471" s="59" t="str">
        <f t="shared" si="2"/>
        <v/>
      </c>
      <c r="B471" s="60"/>
      <c r="C471" s="12"/>
      <c r="D471" s="60"/>
      <c r="E471" s="60"/>
      <c r="F471" s="60"/>
      <c r="G471" s="14"/>
      <c r="H471" s="12"/>
      <c r="I471" s="12"/>
      <c r="J471" s="12"/>
      <c r="K471" s="12"/>
      <c r="L471" s="44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2"/>
      <c r="BK471" s="12"/>
      <c r="BL471" s="12"/>
    </row>
    <row r="472">
      <c r="A472" s="59" t="str">
        <f t="shared" si="2"/>
        <v/>
      </c>
      <c r="B472" s="60"/>
      <c r="C472" s="12"/>
      <c r="D472" s="60"/>
      <c r="E472" s="60"/>
      <c r="F472" s="60"/>
      <c r="G472" s="14"/>
      <c r="H472" s="12"/>
      <c r="I472" s="12"/>
      <c r="J472" s="12"/>
      <c r="K472" s="12"/>
      <c r="L472" s="44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2"/>
      <c r="BK472" s="12"/>
      <c r="BL472" s="12"/>
    </row>
    <row r="473">
      <c r="A473" s="59" t="str">
        <f t="shared" si="2"/>
        <v/>
      </c>
      <c r="B473" s="60"/>
      <c r="C473" s="12"/>
      <c r="D473" s="60"/>
      <c r="E473" s="60"/>
      <c r="F473" s="60"/>
      <c r="G473" s="14"/>
      <c r="H473" s="12"/>
      <c r="I473" s="12"/>
      <c r="J473" s="12"/>
      <c r="K473" s="12"/>
      <c r="L473" s="44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2"/>
      <c r="BK473" s="12"/>
      <c r="BL473" s="12"/>
    </row>
    <row r="474">
      <c r="A474" s="59" t="str">
        <f t="shared" si="2"/>
        <v/>
      </c>
      <c r="B474" s="60"/>
      <c r="C474" s="12"/>
      <c r="D474" s="60"/>
      <c r="E474" s="60"/>
      <c r="F474" s="60"/>
      <c r="G474" s="14"/>
      <c r="H474" s="12"/>
      <c r="I474" s="12"/>
      <c r="J474" s="12"/>
      <c r="K474" s="12"/>
      <c r="L474" s="44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2"/>
      <c r="BK474" s="12"/>
      <c r="BL474" s="12"/>
    </row>
    <row r="475">
      <c r="A475" s="59" t="str">
        <f t="shared" si="2"/>
        <v/>
      </c>
      <c r="B475" s="60"/>
      <c r="C475" s="12"/>
      <c r="D475" s="60"/>
      <c r="E475" s="60"/>
      <c r="F475" s="60"/>
      <c r="G475" s="14"/>
      <c r="H475" s="12"/>
      <c r="I475" s="12"/>
      <c r="J475" s="12"/>
      <c r="K475" s="12"/>
      <c r="L475" s="44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2"/>
      <c r="BK475" s="12"/>
      <c r="BL475" s="12"/>
    </row>
    <row r="476">
      <c r="A476" s="59" t="str">
        <f t="shared" si="2"/>
        <v/>
      </c>
      <c r="B476" s="60"/>
      <c r="C476" s="12"/>
      <c r="D476" s="60"/>
      <c r="E476" s="60"/>
      <c r="F476" s="60"/>
      <c r="G476" s="14"/>
      <c r="H476" s="12"/>
      <c r="I476" s="12"/>
      <c r="J476" s="12"/>
      <c r="K476" s="12"/>
      <c r="L476" s="44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2"/>
      <c r="BK476" s="12"/>
      <c r="BL476" s="12"/>
    </row>
    <row r="477">
      <c r="A477" s="59" t="str">
        <f t="shared" si="2"/>
        <v/>
      </c>
      <c r="B477" s="60"/>
      <c r="C477" s="12"/>
      <c r="D477" s="60"/>
      <c r="E477" s="60"/>
      <c r="F477" s="60"/>
      <c r="G477" s="14"/>
      <c r="H477" s="12"/>
      <c r="I477" s="12"/>
      <c r="J477" s="12"/>
      <c r="K477" s="12"/>
      <c r="L477" s="44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2"/>
      <c r="BK477" s="12"/>
      <c r="BL477" s="12"/>
    </row>
    <row r="478">
      <c r="A478" s="59" t="str">
        <f t="shared" si="2"/>
        <v/>
      </c>
      <c r="B478" s="60"/>
      <c r="C478" s="12"/>
      <c r="D478" s="60"/>
      <c r="E478" s="60"/>
      <c r="F478" s="60"/>
      <c r="G478" s="14"/>
      <c r="H478" s="12"/>
      <c r="I478" s="12"/>
      <c r="J478" s="12"/>
      <c r="K478" s="12"/>
      <c r="L478" s="44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2"/>
      <c r="BK478" s="12"/>
      <c r="BL478" s="12"/>
    </row>
    <row r="479">
      <c r="A479" s="59" t="str">
        <f t="shared" si="2"/>
        <v/>
      </c>
      <c r="B479" s="60"/>
      <c r="C479" s="12"/>
      <c r="D479" s="60"/>
      <c r="E479" s="60"/>
      <c r="F479" s="60"/>
      <c r="G479" s="14"/>
      <c r="H479" s="12"/>
      <c r="I479" s="12"/>
      <c r="J479" s="12"/>
      <c r="K479" s="12"/>
      <c r="L479" s="44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2"/>
      <c r="BK479" s="12"/>
      <c r="BL479" s="12"/>
    </row>
    <row r="480">
      <c r="A480" s="59" t="str">
        <f t="shared" si="2"/>
        <v/>
      </c>
      <c r="B480" s="60"/>
      <c r="C480" s="12"/>
      <c r="D480" s="60"/>
      <c r="E480" s="60"/>
      <c r="F480" s="60"/>
      <c r="G480" s="14"/>
      <c r="H480" s="12"/>
      <c r="I480" s="12"/>
      <c r="J480" s="12"/>
      <c r="K480" s="12"/>
      <c r="L480" s="44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2"/>
      <c r="BK480" s="12"/>
      <c r="BL480" s="12"/>
    </row>
    <row r="481">
      <c r="A481" s="59" t="str">
        <f t="shared" si="2"/>
        <v/>
      </c>
      <c r="B481" s="60"/>
      <c r="C481" s="12"/>
      <c r="D481" s="60"/>
      <c r="E481" s="60"/>
      <c r="F481" s="60"/>
      <c r="G481" s="14"/>
      <c r="H481" s="12"/>
      <c r="I481" s="12"/>
      <c r="J481" s="12"/>
      <c r="K481" s="12"/>
      <c r="L481" s="44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2"/>
      <c r="BK481" s="12"/>
      <c r="BL481" s="12"/>
    </row>
    <row r="482">
      <c r="A482" s="59" t="str">
        <f t="shared" si="2"/>
        <v/>
      </c>
      <c r="B482" s="60"/>
      <c r="C482" s="12"/>
      <c r="D482" s="60"/>
      <c r="E482" s="60"/>
      <c r="F482" s="60"/>
      <c r="G482" s="14"/>
      <c r="H482" s="12"/>
      <c r="I482" s="12"/>
      <c r="J482" s="12"/>
      <c r="K482" s="12"/>
      <c r="L482" s="44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2"/>
      <c r="BK482" s="12"/>
      <c r="BL482" s="12"/>
    </row>
    <row r="483">
      <c r="A483" s="59" t="str">
        <f t="shared" si="2"/>
        <v/>
      </c>
      <c r="B483" s="60"/>
      <c r="C483" s="12"/>
      <c r="D483" s="60"/>
      <c r="E483" s="60"/>
      <c r="F483" s="60"/>
      <c r="G483" s="14"/>
      <c r="H483" s="12"/>
      <c r="I483" s="12"/>
      <c r="J483" s="12"/>
      <c r="K483" s="12"/>
      <c r="L483" s="44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2"/>
      <c r="BK483" s="12"/>
      <c r="BL483" s="12"/>
    </row>
    <row r="484">
      <c r="A484" s="59" t="str">
        <f t="shared" si="2"/>
        <v/>
      </c>
      <c r="B484" s="60"/>
      <c r="C484" s="12"/>
      <c r="D484" s="60"/>
      <c r="E484" s="60"/>
      <c r="F484" s="60"/>
      <c r="G484" s="14"/>
      <c r="H484" s="12"/>
      <c r="I484" s="12"/>
      <c r="J484" s="12"/>
      <c r="K484" s="12"/>
      <c r="L484" s="44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2"/>
      <c r="BK484" s="12"/>
      <c r="BL484" s="12"/>
    </row>
    <row r="485">
      <c r="A485" s="59" t="str">
        <f t="shared" si="2"/>
        <v/>
      </c>
      <c r="B485" s="60"/>
      <c r="C485" s="12"/>
      <c r="D485" s="60"/>
      <c r="E485" s="60"/>
      <c r="F485" s="60"/>
      <c r="G485" s="14"/>
      <c r="H485" s="12"/>
      <c r="I485" s="12"/>
      <c r="J485" s="12"/>
      <c r="K485" s="12"/>
      <c r="L485" s="44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2"/>
      <c r="BK485" s="12"/>
      <c r="BL485" s="12"/>
    </row>
    <row r="486">
      <c r="A486" s="59" t="str">
        <f t="shared" si="2"/>
        <v/>
      </c>
      <c r="B486" s="60"/>
      <c r="C486" s="12"/>
      <c r="D486" s="60"/>
      <c r="E486" s="60"/>
      <c r="F486" s="60"/>
      <c r="G486" s="14"/>
      <c r="H486" s="12"/>
      <c r="I486" s="12"/>
      <c r="J486" s="12"/>
      <c r="K486" s="12"/>
      <c r="L486" s="44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2"/>
      <c r="BK486" s="12"/>
      <c r="BL486" s="12"/>
    </row>
    <row r="487">
      <c r="A487" s="59" t="str">
        <f t="shared" si="2"/>
        <v/>
      </c>
      <c r="B487" s="60"/>
      <c r="C487" s="12"/>
      <c r="D487" s="60"/>
      <c r="E487" s="60"/>
      <c r="F487" s="60"/>
      <c r="G487" s="14"/>
      <c r="H487" s="12"/>
      <c r="I487" s="12"/>
      <c r="J487" s="12"/>
      <c r="K487" s="12"/>
      <c r="L487" s="44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2"/>
      <c r="BK487" s="12"/>
      <c r="BL487" s="12"/>
    </row>
    <row r="488">
      <c r="A488" s="59" t="str">
        <f t="shared" si="2"/>
        <v/>
      </c>
      <c r="B488" s="60"/>
      <c r="C488" s="12"/>
      <c r="D488" s="60"/>
      <c r="E488" s="60"/>
      <c r="F488" s="60"/>
      <c r="G488" s="14"/>
      <c r="H488" s="12"/>
      <c r="I488" s="12"/>
      <c r="J488" s="12"/>
      <c r="K488" s="12"/>
      <c r="L488" s="44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2"/>
      <c r="BK488" s="12"/>
      <c r="BL488" s="12"/>
    </row>
    <row r="489">
      <c r="A489" s="59" t="str">
        <f t="shared" si="2"/>
        <v/>
      </c>
      <c r="B489" s="60"/>
      <c r="C489" s="12"/>
      <c r="D489" s="60"/>
      <c r="E489" s="60"/>
      <c r="F489" s="60"/>
      <c r="G489" s="14"/>
      <c r="H489" s="12"/>
      <c r="I489" s="12"/>
      <c r="J489" s="12"/>
      <c r="K489" s="12"/>
      <c r="L489" s="44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2"/>
      <c r="BK489" s="12"/>
      <c r="BL489" s="12"/>
    </row>
    <row r="490">
      <c r="A490" s="59" t="str">
        <f t="shared" si="2"/>
        <v/>
      </c>
      <c r="B490" s="60"/>
      <c r="C490" s="12"/>
      <c r="D490" s="60"/>
      <c r="E490" s="60"/>
      <c r="F490" s="60"/>
      <c r="G490" s="14"/>
      <c r="H490" s="12"/>
      <c r="I490" s="12"/>
      <c r="J490" s="12"/>
      <c r="K490" s="12"/>
      <c r="L490" s="44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2"/>
      <c r="BK490" s="12"/>
      <c r="BL490" s="12"/>
    </row>
    <row r="491">
      <c r="A491" s="59" t="str">
        <f t="shared" si="2"/>
        <v/>
      </c>
      <c r="B491" s="60"/>
      <c r="C491" s="12"/>
      <c r="D491" s="60"/>
      <c r="E491" s="60"/>
      <c r="F491" s="60"/>
      <c r="G491" s="14"/>
      <c r="H491" s="12"/>
      <c r="I491" s="12"/>
      <c r="J491" s="12"/>
      <c r="K491" s="12"/>
      <c r="L491" s="44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2"/>
      <c r="BK491" s="12"/>
      <c r="BL491" s="12"/>
    </row>
    <row r="492">
      <c r="A492" s="59" t="str">
        <f t="shared" si="2"/>
        <v/>
      </c>
      <c r="B492" s="60"/>
      <c r="C492" s="12"/>
      <c r="D492" s="60"/>
      <c r="E492" s="60"/>
      <c r="F492" s="60"/>
      <c r="G492" s="14"/>
      <c r="H492" s="12"/>
      <c r="I492" s="12"/>
      <c r="J492" s="12"/>
      <c r="K492" s="12"/>
      <c r="L492" s="44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2"/>
      <c r="BK492" s="12"/>
      <c r="BL492" s="12"/>
    </row>
    <row r="493">
      <c r="A493" s="59" t="str">
        <f t="shared" si="2"/>
        <v/>
      </c>
      <c r="B493" s="60"/>
      <c r="C493" s="12"/>
      <c r="D493" s="60"/>
      <c r="E493" s="60"/>
      <c r="F493" s="60"/>
      <c r="G493" s="14"/>
      <c r="H493" s="12"/>
      <c r="I493" s="12"/>
      <c r="J493" s="12"/>
      <c r="K493" s="12"/>
      <c r="L493" s="44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2"/>
      <c r="BK493" s="12"/>
      <c r="BL493" s="12"/>
    </row>
    <row r="494">
      <c r="A494" s="59" t="str">
        <f t="shared" si="2"/>
        <v/>
      </c>
      <c r="B494" s="60"/>
      <c r="C494" s="12"/>
      <c r="D494" s="60"/>
      <c r="E494" s="60"/>
      <c r="F494" s="60"/>
      <c r="G494" s="14"/>
      <c r="H494" s="12"/>
      <c r="I494" s="12"/>
      <c r="J494" s="12"/>
      <c r="K494" s="12"/>
      <c r="L494" s="44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2"/>
      <c r="BK494" s="12"/>
      <c r="BL494" s="12"/>
    </row>
    <row r="495">
      <c r="A495" s="59" t="str">
        <f t="shared" si="2"/>
        <v/>
      </c>
      <c r="B495" s="60"/>
      <c r="C495" s="12"/>
      <c r="D495" s="60"/>
      <c r="E495" s="60"/>
      <c r="F495" s="60"/>
      <c r="G495" s="14"/>
      <c r="H495" s="12"/>
      <c r="I495" s="12"/>
      <c r="J495" s="12"/>
      <c r="K495" s="12"/>
      <c r="L495" s="44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2"/>
      <c r="BK495" s="12"/>
      <c r="BL495" s="12"/>
    </row>
    <row r="496">
      <c r="A496" s="59" t="str">
        <f t="shared" si="2"/>
        <v/>
      </c>
      <c r="B496" s="60"/>
      <c r="C496" s="12"/>
      <c r="D496" s="60"/>
      <c r="E496" s="60"/>
      <c r="F496" s="60"/>
      <c r="G496" s="14"/>
      <c r="H496" s="12"/>
      <c r="I496" s="12"/>
      <c r="J496" s="12"/>
      <c r="K496" s="12"/>
      <c r="L496" s="44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2"/>
      <c r="BK496" s="12"/>
      <c r="BL496" s="12"/>
    </row>
    <row r="497">
      <c r="A497" s="59" t="str">
        <f t="shared" si="2"/>
        <v/>
      </c>
      <c r="B497" s="60"/>
      <c r="C497" s="12"/>
      <c r="D497" s="60"/>
      <c r="E497" s="60"/>
      <c r="F497" s="60"/>
      <c r="G497" s="14"/>
      <c r="H497" s="12"/>
      <c r="I497" s="12"/>
      <c r="J497" s="12"/>
      <c r="K497" s="12"/>
      <c r="L497" s="44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2"/>
      <c r="BK497" s="12"/>
      <c r="BL497" s="12"/>
    </row>
    <row r="498">
      <c r="A498" s="59" t="str">
        <f t="shared" si="2"/>
        <v/>
      </c>
      <c r="B498" s="60"/>
      <c r="C498" s="12"/>
      <c r="D498" s="60"/>
      <c r="E498" s="60"/>
      <c r="F498" s="60"/>
      <c r="G498" s="14"/>
      <c r="H498" s="12"/>
      <c r="I498" s="12"/>
      <c r="J498" s="12"/>
      <c r="K498" s="12"/>
      <c r="L498" s="44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2"/>
      <c r="BK498" s="12"/>
      <c r="BL498" s="12"/>
    </row>
    <row r="499">
      <c r="A499" s="59" t="str">
        <f t="shared" si="2"/>
        <v/>
      </c>
      <c r="B499" s="60"/>
      <c r="C499" s="12"/>
      <c r="D499" s="60"/>
      <c r="E499" s="60"/>
      <c r="F499" s="60"/>
      <c r="G499" s="14"/>
      <c r="H499" s="12"/>
      <c r="I499" s="12"/>
      <c r="J499" s="12"/>
      <c r="K499" s="12"/>
      <c r="L499" s="44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2"/>
      <c r="BK499" s="12"/>
      <c r="BL499" s="12"/>
    </row>
    <row r="500">
      <c r="A500" s="59" t="str">
        <f t="shared" si="2"/>
        <v/>
      </c>
      <c r="B500" s="60"/>
      <c r="C500" s="12"/>
      <c r="D500" s="60"/>
      <c r="E500" s="60"/>
      <c r="F500" s="60"/>
      <c r="G500" s="14"/>
      <c r="H500" s="12"/>
      <c r="I500" s="12"/>
      <c r="J500" s="12"/>
      <c r="K500" s="12"/>
      <c r="L500" s="44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2"/>
      <c r="BK500" s="12"/>
      <c r="BL500" s="12"/>
    </row>
    <row r="501">
      <c r="A501" s="59" t="str">
        <f t="shared" si="2"/>
        <v/>
      </c>
      <c r="B501" s="60"/>
      <c r="C501" s="12"/>
      <c r="D501" s="60"/>
      <c r="E501" s="60"/>
      <c r="F501" s="60"/>
      <c r="G501" s="14"/>
      <c r="H501" s="12"/>
      <c r="I501" s="12"/>
      <c r="J501" s="12"/>
      <c r="K501" s="12"/>
      <c r="L501" s="44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2"/>
      <c r="BK501" s="12"/>
      <c r="BL501" s="12"/>
    </row>
    <row r="502">
      <c r="A502" s="59" t="str">
        <f t="shared" si="2"/>
        <v/>
      </c>
      <c r="B502" s="60"/>
      <c r="C502" s="12"/>
      <c r="D502" s="60"/>
      <c r="E502" s="60"/>
      <c r="F502" s="60"/>
      <c r="G502" s="14"/>
      <c r="H502" s="12"/>
      <c r="I502" s="12"/>
      <c r="J502" s="12"/>
      <c r="K502" s="12"/>
      <c r="L502" s="44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2"/>
      <c r="BK502" s="12"/>
      <c r="BL502" s="12"/>
    </row>
    <row r="503">
      <c r="A503" s="59" t="str">
        <f t="shared" si="2"/>
        <v/>
      </c>
      <c r="B503" s="60"/>
      <c r="C503" s="12"/>
      <c r="D503" s="60"/>
      <c r="E503" s="60"/>
      <c r="F503" s="60"/>
      <c r="G503" s="14"/>
      <c r="H503" s="12"/>
      <c r="I503" s="12"/>
      <c r="J503" s="12"/>
      <c r="K503" s="12"/>
      <c r="L503" s="44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2"/>
      <c r="BK503" s="12"/>
      <c r="BL503" s="12"/>
    </row>
    <row r="504">
      <c r="A504" s="59" t="str">
        <f t="shared" si="2"/>
        <v/>
      </c>
      <c r="B504" s="60"/>
      <c r="C504" s="12"/>
      <c r="D504" s="60"/>
      <c r="E504" s="60"/>
      <c r="F504" s="60"/>
      <c r="G504" s="14"/>
      <c r="H504" s="12"/>
      <c r="I504" s="12"/>
      <c r="J504" s="12"/>
      <c r="K504" s="12"/>
      <c r="L504" s="44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2"/>
      <c r="BK504" s="12"/>
      <c r="BL504" s="12"/>
    </row>
    <row r="505">
      <c r="A505" s="59" t="str">
        <f t="shared" si="2"/>
        <v/>
      </c>
      <c r="B505" s="60"/>
      <c r="C505" s="12"/>
      <c r="D505" s="60"/>
      <c r="E505" s="60"/>
      <c r="F505" s="60"/>
      <c r="G505" s="14"/>
      <c r="H505" s="12"/>
      <c r="I505" s="12"/>
      <c r="J505" s="12"/>
      <c r="K505" s="12"/>
      <c r="L505" s="44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2"/>
      <c r="BK505" s="12"/>
      <c r="BL505" s="12"/>
    </row>
    <row r="506">
      <c r="A506" s="59" t="str">
        <f t="shared" si="2"/>
        <v/>
      </c>
      <c r="B506" s="60"/>
      <c r="C506" s="12"/>
      <c r="D506" s="60"/>
      <c r="E506" s="60"/>
      <c r="F506" s="60"/>
      <c r="G506" s="14"/>
      <c r="H506" s="12"/>
      <c r="I506" s="12"/>
      <c r="J506" s="12"/>
      <c r="K506" s="12"/>
      <c r="L506" s="44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2"/>
      <c r="BK506" s="12"/>
      <c r="BL506" s="12"/>
    </row>
    <row r="507">
      <c r="A507" s="59" t="str">
        <f t="shared" si="2"/>
        <v/>
      </c>
      <c r="B507" s="60"/>
      <c r="C507" s="12"/>
      <c r="D507" s="60"/>
      <c r="E507" s="60"/>
      <c r="F507" s="60"/>
      <c r="G507" s="14"/>
      <c r="H507" s="12"/>
      <c r="I507" s="12"/>
      <c r="J507" s="12"/>
      <c r="K507" s="12"/>
      <c r="L507" s="44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2"/>
      <c r="BK507" s="12"/>
      <c r="BL507" s="12"/>
    </row>
    <row r="508">
      <c r="A508" s="59" t="str">
        <f t="shared" si="2"/>
        <v/>
      </c>
      <c r="B508" s="60"/>
      <c r="C508" s="12"/>
      <c r="D508" s="60"/>
      <c r="E508" s="60"/>
      <c r="F508" s="60"/>
      <c r="G508" s="14"/>
      <c r="H508" s="12"/>
      <c r="I508" s="12"/>
      <c r="J508" s="12"/>
      <c r="K508" s="12"/>
      <c r="L508" s="44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2"/>
      <c r="BK508" s="12"/>
      <c r="BL508" s="12"/>
    </row>
    <row r="509">
      <c r="A509" s="59" t="str">
        <f t="shared" si="2"/>
        <v/>
      </c>
      <c r="B509" s="60"/>
      <c r="C509" s="12"/>
      <c r="D509" s="60"/>
      <c r="E509" s="60"/>
      <c r="F509" s="60"/>
      <c r="G509" s="14"/>
      <c r="H509" s="12"/>
      <c r="I509" s="12"/>
      <c r="J509" s="12"/>
      <c r="K509" s="12"/>
      <c r="L509" s="44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2"/>
      <c r="BK509" s="12"/>
      <c r="BL509" s="12"/>
    </row>
    <row r="510">
      <c r="A510" s="59" t="str">
        <f t="shared" si="2"/>
        <v/>
      </c>
      <c r="B510" s="60"/>
      <c r="C510" s="12"/>
      <c r="D510" s="60"/>
      <c r="E510" s="60"/>
      <c r="F510" s="60"/>
      <c r="G510" s="14"/>
      <c r="H510" s="12"/>
      <c r="I510" s="12"/>
      <c r="J510" s="12"/>
      <c r="K510" s="12"/>
      <c r="L510" s="44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2"/>
      <c r="BK510" s="12"/>
      <c r="BL510" s="12"/>
    </row>
    <row r="511">
      <c r="A511" s="59" t="str">
        <f t="shared" si="2"/>
        <v/>
      </c>
      <c r="B511" s="60"/>
      <c r="C511" s="12"/>
      <c r="D511" s="60"/>
      <c r="E511" s="60"/>
      <c r="F511" s="60"/>
      <c r="G511" s="14"/>
      <c r="H511" s="12"/>
      <c r="I511" s="12"/>
      <c r="J511" s="12"/>
      <c r="K511" s="12"/>
      <c r="L511" s="44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2"/>
      <c r="BK511" s="12"/>
      <c r="BL511" s="12"/>
    </row>
    <row r="512">
      <c r="A512" s="59" t="str">
        <f t="shared" si="2"/>
        <v/>
      </c>
      <c r="B512" s="60"/>
      <c r="C512" s="12"/>
      <c r="D512" s="60"/>
      <c r="E512" s="60"/>
      <c r="F512" s="60"/>
      <c r="G512" s="14"/>
      <c r="H512" s="12"/>
      <c r="I512" s="12"/>
      <c r="J512" s="12"/>
      <c r="K512" s="12"/>
      <c r="L512" s="44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2"/>
      <c r="BK512" s="12"/>
      <c r="BL512" s="12"/>
    </row>
    <row r="513">
      <c r="A513" s="59" t="str">
        <f t="shared" si="2"/>
        <v/>
      </c>
      <c r="B513" s="60"/>
      <c r="C513" s="12"/>
      <c r="D513" s="60"/>
      <c r="E513" s="60"/>
      <c r="F513" s="60"/>
      <c r="G513" s="14"/>
      <c r="H513" s="12"/>
      <c r="I513" s="12"/>
      <c r="J513" s="12"/>
      <c r="K513" s="12"/>
      <c r="L513" s="44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2"/>
      <c r="BK513" s="12"/>
      <c r="BL513" s="12"/>
    </row>
    <row r="514">
      <c r="A514" s="59" t="str">
        <f t="shared" si="2"/>
        <v/>
      </c>
      <c r="B514" s="60"/>
      <c r="C514" s="12"/>
      <c r="D514" s="60"/>
      <c r="E514" s="60"/>
      <c r="F514" s="60"/>
      <c r="G514" s="14"/>
      <c r="H514" s="12"/>
      <c r="I514" s="12"/>
      <c r="J514" s="12"/>
      <c r="K514" s="12"/>
      <c r="L514" s="44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2"/>
      <c r="BK514" s="12"/>
      <c r="BL514" s="12"/>
    </row>
    <row r="515">
      <c r="A515" s="59" t="str">
        <f t="shared" si="2"/>
        <v/>
      </c>
      <c r="B515" s="60"/>
      <c r="C515" s="12"/>
      <c r="D515" s="60"/>
      <c r="E515" s="60"/>
      <c r="F515" s="60"/>
      <c r="G515" s="14"/>
      <c r="H515" s="12"/>
      <c r="I515" s="12"/>
      <c r="J515" s="12"/>
      <c r="K515" s="12"/>
      <c r="L515" s="44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2"/>
      <c r="BK515" s="12"/>
      <c r="BL515" s="12"/>
    </row>
    <row r="516">
      <c r="A516" s="59" t="str">
        <f t="shared" si="2"/>
        <v/>
      </c>
      <c r="B516" s="60"/>
      <c r="C516" s="12"/>
      <c r="D516" s="60"/>
      <c r="E516" s="60"/>
      <c r="F516" s="60"/>
      <c r="G516" s="14"/>
      <c r="H516" s="12"/>
      <c r="I516" s="12"/>
      <c r="J516" s="12"/>
      <c r="K516" s="12"/>
      <c r="L516" s="44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2"/>
      <c r="BK516" s="12"/>
      <c r="BL516" s="12"/>
    </row>
    <row r="517">
      <c r="A517" s="59" t="str">
        <f t="shared" si="2"/>
        <v/>
      </c>
      <c r="B517" s="60"/>
      <c r="C517" s="12"/>
      <c r="D517" s="60"/>
      <c r="E517" s="60"/>
      <c r="F517" s="60"/>
      <c r="G517" s="14"/>
      <c r="H517" s="12"/>
      <c r="I517" s="12"/>
      <c r="J517" s="12"/>
      <c r="K517" s="12"/>
      <c r="L517" s="44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2"/>
      <c r="BK517" s="12"/>
      <c r="BL517" s="12"/>
    </row>
    <row r="518">
      <c r="A518" s="59" t="str">
        <f t="shared" si="2"/>
        <v/>
      </c>
      <c r="B518" s="60"/>
      <c r="C518" s="12"/>
      <c r="D518" s="60"/>
      <c r="E518" s="60"/>
      <c r="F518" s="60"/>
      <c r="G518" s="14"/>
      <c r="H518" s="12"/>
      <c r="I518" s="12"/>
      <c r="J518" s="12"/>
      <c r="K518" s="12"/>
      <c r="L518" s="44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2"/>
      <c r="BK518" s="12"/>
      <c r="BL518" s="12"/>
    </row>
    <row r="519">
      <c r="A519" s="59" t="str">
        <f t="shared" si="2"/>
        <v/>
      </c>
      <c r="B519" s="60"/>
      <c r="C519" s="12"/>
      <c r="D519" s="60"/>
      <c r="E519" s="60"/>
      <c r="F519" s="60"/>
      <c r="G519" s="14"/>
      <c r="H519" s="12"/>
      <c r="I519" s="12"/>
      <c r="J519" s="12"/>
      <c r="K519" s="12"/>
      <c r="L519" s="44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2"/>
      <c r="BK519" s="12"/>
      <c r="BL519" s="12"/>
    </row>
    <row r="520">
      <c r="A520" s="59" t="str">
        <f t="shared" si="2"/>
        <v/>
      </c>
      <c r="B520" s="60"/>
      <c r="C520" s="12"/>
      <c r="D520" s="60"/>
      <c r="E520" s="60"/>
      <c r="F520" s="60"/>
      <c r="G520" s="14"/>
      <c r="H520" s="12"/>
      <c r="I520" s="12"/>
      <c r="J520" s="12"/>
      <c r="K520" s="12"/>
      <c r="L520" s="44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2"/>
      <c r="BK520" s="12"/>
      <c r="BL520" s="12"/>
    </row>
    <row r="521">
      <c r="A521" s="59" t="str">
        <f t="shared" si="2"/>
        <v/>
      </c>
      <c r="B521" s="60"/>
      <c r="C521" s="12"/>
      <c r="D521" s="60"/>
      <c r="E521" s="60"/>
      <c r="F521" s="60"/>
      <c r="G521" s="14"/>
      <c r="H521" s="12"/>
      <c r="I521" s="12"/>
      <c r="J521" s="12"/>
      <c r="K521" s="12"/>
      <c r="L521" s="44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2"/>
      <c r="BK521" s="12"/>
      <c r="BL521" s="12"/>
    </row>
    <row r="522">
      <c r="A522" s="59" t="str">
        <f t="shared" si="2"/>
        <v/>
      </c>
      <c r="B522" s="60"/>
      <c r="C522" s="12"/>
      <c r="D522" s="60"/>
      <c r="E522" s="60"/>
      <c r="F522" s="60"/>
      <c r="G522" s="14"/>
      <c r="H522" s="12"/>
      <c r="I522" s="12"/>
      <c r="J522" s="12"/>
      <c r="K522" s="12"/>
      <c r="L522" s="44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2"/>
      <c r="BK522" s="12"/>
      <c r="BL522" s="12"/>
    </row>
    <row r="523">
      <c r="A523" s="59" t="str">
        <f t="shared" si="2"/>
        <v/>
      </c>
      <c r="B523" s="60"/>
      <c r="C523" s="12"/>
      <c r="D523" s="60"/>
      <c r="E523" s="60"/>
      <c r="F523" s="60"/>
      <c r="G523" s="14"/>
      <c r="H523" s="12"/>
      <c r="I523" s="12"/>
      <c r="J523" s="12"/>
      <c r="K523" s="12"/>
      <c r="L523" s="44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2"/>
      <c r="BK523" s="12"/>
      <c r="BL523" s="12"/>
    </row>
    <row r="524">
      <c r="A524" s="59" t="str">
        <f t="shared" si="2"/>
        <v/>
      </c>
      <c r="B524" s="60"/>
      <c r="C524" s="12"/>
      <c r="D524" s="60"/>
      <c r="E524" s="60"/>
      <c r="F524" s="60"/>
      <c r="G524" s="14"/>
      <c r="H524" s="12"/>
      <c r="I524" s="12"/>
      <c r="J524" s="12"/>
      <c r="K524" s="12"/>
      <c r="L524" s="44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2"/>
      <c r="BK524" s="12"/>
      <c r="BL524" s="12"/>
    </row>
    <row r="525">
      <c r="A525" s="59" t="str">
        <f t="shared" si="2"/>
        <v/>
      </c>
      <c r="B525" s="60"/>
      <c r="C525" s="12"/>
      <c r="D525" s="60"/>
      <c r="E525" s="60"/>
      <c r="F525" s="60"/>
      <c r="G525" s="14"/>
      <c r="H525" s="12"/>
      <c r="I525" s="12"/>
      <c r="J525" s="12"/>
      <c r="K525" s="12"/>
      <c r="L525" s="44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2"/>
      <c r="BK525" s="12"/>
      <c r="BL525" s="12"/>
    </row>
    <row r="526">
      <c r="A526" s="59" t="str">
        <f t="shared" si="2"/>
        <v/>
      </c>
      <c r="B526" s="60"/>
      <c r="C526" s="12"/>
      <c r="D526" s="60"/>
      <c r="E526" s="60"/>
      <c r="F526" s="60"/>
      <c r="G526" s="14"/>
      <c r="H526" s="12"/>
      <c r="I526" s="12"/>
      <c r="J526" s="12"/>
      <c r="K526" s="12"/>
      <c r="L526" s="44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2"/>
      <c r="BK526" s="12"/>
      <c r="BL526" s="12"/>
    </row>
    <row r="527">
      <c r="A527" s="59" t="str">
        <f t="shared" si="2"/>
        <v/>
      </c>
      <c r="B527" s="60"/>
      <c r="C527" s="12"/>
      <c r="D527" s="60"/>
      <c r="E527" s="60"/>
      <c r="F527" s="60"/>
      <c r="G527" s="14"/>
      <c r="H527" s="12"/>
      <c r="I527" s="12"/>
      <c r="J527" s="12"/>
      <c r="K527" s="12"/>
      <c r="L527" s="44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2"/>
      <c r="BK527" s="12"/>
      <c r="BL527" s="12"/>
    </row>
    <row r="528">
      <c r="A528" s="59" t="str">
        <f t="shared" si="2"/>
        <v/>
      </c>
      <c r="B528" s="60"/>
      <c r="C528" s="12"/>
      <c r="D528" s="60"/>
      <c r="E528" s="60"/>
      <c r="F528" s="60"/>
      <c r="G528" s="14"/>
      <c r="H528" s="12"/>
      <c r="I528" s="12"/>
      <c r="J528" s="12"/>
      <c r="K528" s="12"/>
      <c r="L528" s="44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2"/>
      <c r="BK528" s="12"/>
      <c r="BL528" s="12"/>
    </row>
    <row r="529">
      <c r="A529" s="59" t="str">
        <f t="shared" si="2"/>
        <v/>
      </c>
      <c r="B529" s="60"/>
      <c r="C529" s="12"/>
      <c r="D529" s="60"/>
      <c r="E529" s="60"/>
      <c r="F529" s="60"/>
      <c r="G529" s="14"/>
      <c r="H529" s="12"/>
      <c r="I529" s="12"/>
      <c r="J529" s="12"/>
      <c r="K529" s="12"/>
      <c r="L529" s="44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2"/>
      <c r="BK529" s="12"/>
      <c r="BL529" s="12"/>
    </row>
    <row r="530">
      <c r="A530" s="59" t="str">
        <f t="shared" si="2"/>
        <v/>
      </c>
      <c r="B530" s="60"/>
      <c r="C530" s="12"/>
      <c r="D530" s="60"/>
      <c r="E530" s="60"/>
      <c r="F530" s="60"/>
      <c r="G530" s="14"/>
      <c r="H530" s="12"/>
      <c r="I530" s="12"/>
      <c r="J530" s="12"/>
      <c r="K530" s="12"/>
      <c r="L530" s="44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2"/>
      <c r="BK530" s="12"/>
      <c r="BL530" s="12"/>
    </row>
    <row r="531">
      <c r="A531" s="59" t="str">
        <f t="shared" si="2"/>
        <v/>
      </c>
      <c r="B531" s="60"/>
      <c r="C531" s="12"/>
      <c r="D531" s="60"/>
      <c r="E531" s="60"/>
      <c r="F531" s="60"/>
      <c r="G531" s="14"/>
      <c r="H531" s="12"/>
      <c r="I531" s="12"/>
      <c r="J531" s="12"/>
      <c r="K531" s="12"/>
      <c r="L531" s="44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2"/>
      <c r="BK531" s="12"/>
      <c r="BL531" s="12"/>
    </row>
    <row r="532">
      <c r="A532" s="59" t="str">
        <f t="shared" si="2"/>
        <v/>
      </c>
      <c r="B532" s="60"/>
      <c r="C532" s="12"/>
      <c r="D532" s="60"/>
      <c r="E532" s="60"/>
      <c r="F532" s="60"/>
      <c r="G532" s="14"/>
      <c r="H532" s="12"/>
      <c r="I532" s="12"/>
      <c r="J532" s="12"/>
      <c r="K532" s="12"/>
      <c r="L532" s="44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2"/>
      <c r="BK532" s="12"/>
      <c r="BL532" s="12"/>
    </row>
    <row r="533">
      <c r="A533" s="59" t="str">
        <f t="shared" si="2"/>
        <v/>
      </c>
      <c r="B533" s="60"/>
      <c r="C533" s="12"/>
      <c r="D533" s="60"/>
      <c r="E533" s="60"/>
      <c r="F533" s="60"/>
      <c r="G533" s="14"/>
      <c r="H533" s="12"/>
      <c r="I533" s="12"/>
      <c r="J533" s="12"/>
      <c r="K533" s="12"/>
      <c r="L533" s="44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2"/>
      <c r="BK533" s="12"/>
      <c r="BL533" s="12"/>
    </row>
    <row r="534">
      <c r="A534" s="59" t="str">
        <f t="shared" si="2"/>
        <v/>
      </c>
      <c r="B534" s="60"/>
      <c r="C534" s="12"/>
      <c r="D534" s="60"/>
      <c r="E534" s="60"/>
      <c r="F534" s="60"/>
      <c r="G534" s="14"/>
      <c r="H534" s="12"/>
      <c r="I534" s="12"/>
      <c r="J534" s="12"/>
      <c r="K534" s="12"/>
      <c r="L534" s="44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2"/>
      <c r="BK534" s="12"/>
      <c r="BL534" s="12"/>
    </row>
    <row r="535">
      <c r="A535" s="59" t="str">
        <f t="shared" si="2"/>
        <v/>
      </c>
      <c r="B535" s="60"/>
      <c r="C535" s="12"/>
      <c r="D535" s="60"/>
      <c r="E535" s="60"/>
      <c r="F535" s="60"/>
      <c r="G535" s="14"/>
      <c r="H535" s="12"/>
      <c r="I535" s="12"/>
      <c r="J535" s="12"/>
      <c r="K535" s="12"/>
      <c r="L535" s="44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2"/>
      <c r="BK535" s="12"/>
      <c r="BL535" s="12"/>
    </row>
    <row r="536">
      <c r="A536" s="59" t="str">
        <f t="shared" si="2"/>
        <v/>
      </c>
      <c r="B536" s="60"/>
      <c r="C536" s="12"/>
      <c r="D536" s="60"/>
      <c r="E536" s="60"/>
      <c r="F536" s="60"/>
      <c r="G536" s="14"/>
      <c r="H536" s="12"/>
      <c r="I536" s="12"/>
      <c r="J536" s="12"/>
      <c r="K536" s="12"/>
      <c r="L536" s="44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2"/>
      <c r="BK536" s="12"/>
      <c r="BL536" s="12"/>
    </row>
    <row r="537">
      <c r="A537" s="59" t="str">
        <f t="shared" si="2"/>
        <v/>
      </c>
      <c r="B537" s="60"/>
      <c r="C537" s="12"/>
      <c r="D537" s="60"/>
      <c r="E537" s="60"/>
      <c r="F537" s="60"/>
      <c r="G537" s="14"/>
      <c r="H537" s="12"/>
      <c r="I537" s="12"/>
      <c r="J537" s="12"/>
      <c r="K537" s="12"/>
      <c r="L537" s="44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2"/>
      <c r="BK537" s="12"/>
      <c r="BL537" s="12"/>
    </row>
    <row r="538">
      <c r="A538" s="59" t="str">
        <f t="shared" si="2"/>
        <v/>
      </c>
      <c r="B538" s="60"/>
      <c r="C538" s="12"/>
      <c r="D538" s="60"/>
      <c r="E538" s="60"/>
      <c r="F538" s="60"/>
      <c r="G538" s="14"/>
      <c r="H538" s="12"/>
      <c r="I538" s="12"/>
      <c r="J538" s="12"/>
      <c r="K538" s="12"/>
      <c r="L538" s="44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2"/>
      <c r="BK538" s="12"/>
      <c r="BL538" s="12"/>
    </row>
    <row r="539">
      <c r="A539" s="59" t="str">
        <f t="shared" si="2"/>
        <v/>
      </c>
      <c r="B539" s="60"/>
      <c r="C539" s="12"/>
      <c r="D539" s="60"/>
      <c r="E539" s="60"/>
      <c r="F539" s="60"/>
      <c r="G539" s="14"/>
      <c r="H539" s="12"/>
      <c r="I539" s="12"/>
      <c r="J539" s="12"/>
      <c r="K539" s="12"/>
      <c r="L539" s="44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2"/>
      <c r="BK539" s="12"/>
      <c r="BL539" s="12"/>
    </row>
    <row r="540">
      <c r="A540" s="59" t="str">
        <f t="shared" si="2"/>
        <v/>
      </c>
      <c r="B540" s="60"/>
      <c r="C540" s="12"/>
      <c r="D540" s="60"/>
      <c r="E540" s="60"/>
      <c r="F540" s="60"/>
      <c r="G540" s="14"/>
      <c r="H540" s="12"/>
      <c r="I540" s="12"/>
      <c r="J540" s="12"/>
      <c r="K540" s="12"/>
      <c r="L540" s="44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2"/>
      <c r="BK540" s="12"/>
      <c r="BL540" s="12"/>
    </row>
    <row r="541">
      <c r="A541" s="59" t="str">
        <f t="shared" si="2"/>
        <v/>
      </c>
      <c r="B541" s="60"/>
      <c r="C541" s="12"/>
      <c r="D541" s="60"/>
      <c r="E541" s="60"/>
      <c r="F541" s="60"/>
      <c r="G541" s="14"/>
      <c r="H541" s="12"/>
      <c r="I541" s="12"/>
      <c r="J541" s="12"/>
      <c r="K541" s="12"/>
      <c r="L541" s="44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2"/>
      <c r="BK541" s="12"/>
      <c r="BL541" s="12"/>
    </row>
    <row r="542">
      <c r="A542" s="59" t="str">
        <f t="shared" si="2"/>
        <v/>
      </c>
      <c r="B542" s="60"/>
      <c r="C542" s="12"/>
      <c r="D542" s="60"/>
      <c r="E542" s="60"/>
      <c r="F542" s="60"/>
      <c r="G542" s="14"/>
      <c r="H542" s="12"/>
      <c r="I542" s="12"/>
      <c r="J542" s="12"/>
      <c r="K542" s="12"/>
      <c r="L542" s="44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2"/>
      <c r="BK542" s="12"/>
      <c r="BL542" s="12"/>
    </row>
    <row r="543">
      <c r="A543" s="59" t="str">
        <f t="shared" si="2"/>
        <v/>
      </c>
      <c r="B543" s="60"/>
      <c r="C543" s="12"/>
      <c r="D543" s="60"/>
      <c r="E543" s="60"/>
      <c r="F543" s="60"/>
      <c r="G543" s="14"/>
      <c r="H543" s="12"/>
      <c r="I543" s="12"/>
      <c r="J543" s="12"/>
      <c r="K543" s="12"/>
      <c r="L543" s="44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2"/>
      <c r="BK543" s="12"/>
      <c r="BL543" s="12"/>
    </row>
    <row r="544">
      <c r="A544" s="59" t="str">
        <f t="shared" si="2"/>
        <v/>
      </c>
      <c r="B544" s="60"/>
      <c r="C544" s="12"/>
      <c r="D544" s="60"/>
      <c r="E544" s="60"/>
      <c r="F544" s="60"/>
      <c r="G544" s="14"/>
      <c r="H544" s="12"/>
      <c r="I544" s="12"/>
      <c r="J544" s="12"/>
      <c r="K544" s="12"/>
      <c r="L544" s="44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2"/>
      <c r="BK544" s="12"/>
      <c r="BL544" s="12"/>
    </row>
    <row r="545">
      <c r="A545" s="59" t="str">
        <f t="shared" si="2"/>
        <v/>
      </c>
      <c r="B545" s="60"/>
      <c r="C545" s="12"/>
      <c r="D545" s="60"/>
      <c r="E545" s="60"/>
      <c r="F545" s="60"/>
      <c r="G545" s="14"/>
      <c r="H545" s="12"/>
      <c r="I545" s="12"/>
      <c r="J545" s="12"/>
      <c r="K545" s="12"/>
      <c r="L545" s="44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2"/>
      <c r="BK545" s="12"/>
      <c r="BL545" s="12"/>
    </row>
    <row r="546">
      <c r="A546" s="59" t="str">
        <f t="shared" si="2"/>
        <v/>
      </c>
      <c r="B546" s="60"/>
      <c r="C546" s="12"/>
      <c r="D546" s="60"/>
      <c r="E546" s="60"/>
      <c r="F546" s="60"/>
      <c r="G546" s="14"/>
      <c r="H546" s="12"/>
      <c r="I546" s="12"/>
      <c r="J546" s="12"/>
      <c r="K546" s="12"/>
      <c r="L546" s="44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2"/>
      <c r="BK546" s="12"/>
      <c r="BL546" s="12"/>
    </row>
    <row r="547">
      <c r="A547" s="59" t="str">
        <f t="shared" si="2"/>
        <v/>
      </c>
      <c r="B547" s="60"/>
      <c r="C547" s="12"/>
      <c r="D547" s="60"/>
      <c r="E547" s="60"/>
      <c r="F547" s="60"/>
      <c r="G547" s="14"/>
      <c r="H547" s="12"/>
      <c r="I547" s="12"/>
      <c r="J547" s="12"/>
      <c r="K547" s="12"/>
      <c r="L547" s="44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2"/>
      <c r="BK547" s="12"/>
      <c r="BL547" s="12"/>
    </row>
    <row r="548">
      <c r="A548" s="59" t="str">
        <f t="shared" si="2"/>
        <v/>
      </c>
      <c r="B548" s="60"/>
      <c r="C548" s="12"/>
      <c r="D548" s="60"/>
      <c r="E548" s="60"/>
      <c r="F548" s="60"/>
      <c r="G548" s="14"/>
      <c r="H548" s="12"/>
      <c r="I548" s="12"/>
      <c r="J548" s="12"/>
      <c r="K548" s="12"/>
      <c r="L548" s="44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2"/>
      <c r="BK548" s="12"/>
      <c r="BL548" s="12"/>
    </row>
    <row r="549">
      <c r="A549" s="59" t="str">
        <f t="shared" si="2"/>
        <v/>
      </c>
      <c r="B549" s="60"/>
      <c r="C549" s="12"/>
      <c r="D549" s="60"/>
      <c r="E549" s="60"/>
      <c r="F549" s="60"/>
      <c r="G549" s="14"/>
      <c r="H549" s="12"/>
      <c r="I549" s="12"/>
      <c r="J549" s="12"/>
      <c r="K549" s="12"/>
      <c r="L549" s="44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2"/>
      <c r="BK549" s="12"/>
      <c r="BL549" s="12"/>
    </row>
    <row r="550">
      <c r="A550" s="59" t="str">
        <f t="shared" si="2"/>
        <v/>
      </c>
      <c r="B550" s="60"/>
      <c r="C550" s="12"/>
      <c r="D550" s="60"/>
      <c r="E550" s="60"/>
      <c r="F550" s="60"/>
      <c r="G550" s="14"/>
      <c r="H550" s="12"/>
      <c r="I550" s="12"/>
      <c r="J550" s="12"/>
      <c r="K550" s="12"/>
      <c r="L550" s="44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2"/>
      <c r="BK550" s="12"/>
      <c r="BL550" s="12"/>
    </row>
    <row r="551">
      <c r="A551" s="59" t="str">
        <f t="shared" si="2"/>
        <v/>
      </c>
      <c r="B551" s="60"/>
      <c r="C551" s="12"/>
      <c r="D551" s="60"/>
      <c r="E551" s="60"/>
      <c r="F551" s="60"/>
      <c r="G551" s="14"/>
      <c r="H551" s="12"/>
      <c r="I551" s="12"/>
      <c r="J551" s="12"/>
      <c r="K551" s="12"/>
      <c r="L551" s="44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2"/>
      <c r="BK551" s="12"/>
      <c r="BL551" s="12"/>
    </row>
    <row r="552">
      <c r="A552" s="59" t="str">
        <f t="shared" si="2"/>
        <v/>
      </c>
      <c r="B552" s="60"/>
      <c r="C552" s="12"/>
      <c r="D552" s="60"/>
      <c r="E552" s="60"/>
      <c r="F552" s="60"/>
      <c r="G552" s="14"/>
      <c r="H552" s="12"/>
      <c r="I552" s="12"/>
      <c r="J552" s="12"/>
      <c r="K552" s="12"/>
      <c r="L552" s="44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2"/>
      <c r="BK552" s="12"/>
      <c r="BL552" s="12"/>
    </row>
    <row r="553">
      <c r="A553" s="59" t="str">
        <f t="shared" si="2"/>
        <v/>
      </c>
      <c r="B553" s="60"/>
      <c r="C553" s="12"/>
      <c r="D553" s="60"/>
      <c r="E553" s="60"/>
      <c r="F553" s="60"/>
      <c r="G553" s="14"/>
      <c r="H553" s="12"/>
      <c r="I553" s="12"/>
      <c r="J553" s="12"/>
      <c r="K553" s="12"/>
      <c r="L553" s="44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2"/>
      <c r="BK553" s="12"/>
      <c r="BL553" s="12"/>
    </row>
    <row r="554">
      <c r="A554" s="59" t="str">
        <f t="shared" si="2"/>
        <v/>
      </c>
      <c r="B554" s="60"/>
      <c r="C554" s="12"/>
      <c r="D554" s="60"/>
      <c r="E554" s="60"/>
      <c r="F554" s="60"/>
      <c r="G554" s="14"/>
      <c r="H554" s="12"/>
      <c r="I554" s="12"/>
      <c r="J554" s="12"/>
      <c r="K554" s="12"/>
      <c r="L554" s="44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2"/>
      <c r="BK554" s="12"/>
      <c r="BL554" s="12"/>
    </row>
    <row r="555">
      <c r="A555" s="59" t="str">
        <f t="shared" si="2"/>
        <v/>
      </c>
      <c r="B555" s="60"/>
      <c r="C555" s="12"/>
      <c r="D555" s="60"/>
      <c r="E555" s="60"/>
      <c r="F555" s="60"/>
      <c r="G555" s="14"/>
      <c r="H555" s="12"/>
      <c r="I555" s="12"/>
      <c r="J555" s="12"/>
      <c r="K555" s="12"/>
      <c r="L555" s="44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2"/>
      <c r="BK555" s="12"/>
      <c r="BL555" s="12"/>
    </row>
    <row r="556">
      <c r="A556" s="59" t="str">
        <f t="shared" si="2"/>
        <v/>
      </c>
      <c r="B556" s="60"/>
      <c r="C556" s="12"/>
      <c r="D556" s="60"/>
      <c r="E556" s="60"/>
      <c r="F556" s="60"/>
      <c r="G556" s="14"/>
      <c r="H556" s="12"/>
      <c r="I556" s="12"/>
      <c r="J556" s="12"/>
      <c r="K556" s="12"/>
      <c r="L556" s="44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2"/>
      <c r="BK556" s="12"/>
      <c r="BL556" s="12"/>
    </row>
    <row r="557">
      <c r="A557" s="59" t="str">
        <f t="shared" si="2"/>
        <v/>
      </c>
      <c r="B557" s="60"/>
      <c r="C557" s="12"/>
      <c r="D557" s="60"/>
      <c r="E557" s="60"/>
      <c r="F557" s="60"/>
      <c r="G557" s="14"/>
      <c r="H557" s="12"/>
      <c r="I557" s="12"/>
      <c r="J557" s="12"/>
      <c r="K557" s="12"/>
      <c r="L557" s="44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2"/>
      <c r="BK557" s="12"/>
      <c r="BL557" s="12"/>
    </row>
    <row r="558">
      <c r="A558" s="59" t="str">
        <f t="shared" si="2"/>
        <v/>
      </c>
      <c r="B558" s="60"/>
      <c r="C558" s="12"/>
      <c r="D558" s="60"/>
      <c r="E558" s="60"/>
      <c r="F558" s="60"/>
      <c r="G558" s="14"/>
      <c r="H558" s="12"/>
      <c r="I558" s="12"/>
      <c r="J558" s="12"/>
      <c r="K558" s="12"/>
      <c r="L558" s="44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2"/>
      <c r="BK558" s="12"/>
      <c r="BL558" s="12"/>
    </row>
    <row r="559">
      <c r="A559" s="59" t="str">
        <f t="shared" si="2"/>
        <v/>
      </c>
      <c r="B559" s="60"/>
      <c r="C559" s="12"/>
      <c r="D559" s="60"/>
      <c r="E559" s="60"/>
      <c r="F559" s="60"/>
      <c r="G559" s="14"/>
      <c r="H559" s="12"/>
      <c r="I559" s="12"/>
      <c r="J559" s="12"/>
      <c r="K559" s="12"/>
      <c r="L559" s="44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2"/>
      <c r="BK559" s="12"/>
      <c r="BL559" s="12"/>
    </row>
    <row r="560">
      <c r="A560" s="59" t="str">
        <f t="shared" si="2"/>
        <v/>
      </c>
      <c r="B560" s="60"/>
      <c r="C560" s="12"/>
      <c r="D560" s="60"/>
      <c r="E560" s="60"/>
      <c r="F560" s="60"/>
      <c r="G560" s="14"/>
      <c r="H560" s="12"/>
      <c r="I560" s="12"/>
      <c r="J560" s="12"/>
      <c r="K560" s="12"/>
      <c r="L560" s="44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2"/>
      <c r="BK560" s="12"/>
      <c r="BL560" s="12"/>
    </row>
    <row r="561">
      <c r="A561" s="59" t="str">
        <f t="shared" si="2"/>
        <v/>
      </c>
      <c r="B561" s="60"/>
      <c r="C561" s="12"/>
      <c r="D561" s="60"/>
      <c r="E561" s="60"/>
      <c r="F561" s="60"/>
      <c r="G561" s="14"/>
      <c r="H561" s="12"/>
      <c r="I561" s="12"/>
      <c r="J561" s="12"/>
      <c r="K561" s="12"/>
      <c r="L561" s="44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2"/>
      <c r="BK561" s="12"/>
      <c r="BL561" s="12"/>
    </row>
    <row r="562">
      <c r="A562" s="59" t="str">
        <f t="shared" si="2"/>
        <v/>
      </c>
      <c r="B562" s="60"/>
      <c r="C562" s="12"/>
      <c r="D562" s="60"/>
      <c r="E562" s="60"/>
      <c r="F562" s="60"/>
      <c r="G562" s="14"/>
      <c r="H562" s="12"/>
      <c r="I562" s="12"/>
      <c r="J562" s="12"/>
      <c r="K562" s="12"/>
      <c r="L562" s="44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2"/>
      <c r="BK562" s="12"/>
      <c r="BL562" s="12"/>
    </row>
    <row r="563">
      <c r="A563" s="59" t="str">
        <f t="shared" si="2"/>
        <v/>
      </c>
      <c r="B563" s="60"/>
      <c r="C563" s="12"/>
      <c r="D563" s="60"/>
      <c r="E563" s="60"/>
      <c r="F563" s="60"/>
      <c r="G563" s="14"/>
      <c r="H563" s="12"/>
      <c r="I563" s="12"/>
      <c r="J563" s="12"/>
      <c r="K563" s="12"/>
      <c r="L563" s="44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2"/>
      <c r="BK563" s="12"/>
      <c r="BL563" s="12"/>
    </row>
    <row r="564">
      <c r="A564" s="59" t="str">
        <f t="shared" si="2"/>
        <v/>
      </c>
      <c r="B564" s="60"/>
      <c r="C564" s="12"/>
      <c r="D564" s="60"/>
      <c r="E564" s="60"/>
      <c r="F564" s="60"/>
      <c r="G564" s="14"/>
      <c r="H564" s="12"/>
      <c r="I564" s="12"/>
      <c r="J564" s="12"/>
      <c r="K564" s="12"/>
      <c r="L564" s="44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2"/>
      <c r="BK564" s="12"/>
      <c r="BL564" s="12"/>
    </row>
    <row r="565">
      <c r="A565" s="59" t="str">
        <f t="shared" si="2"/>
        <v/>
      </c>
      <c r="B565" s="60"/>
      <c r="C565" s="12"/>
      <c r="D565" s="60"/>
      <c r="E565" s="60"/>
      <c r="F565" s="60"/>
      <c r="G565" s="14"/>
      <c r="H565" s="12"/>
      <c r="I565" s="12"/>
      <c r="J565" s="12"/>
      <c r="K565" s="12"/>
      <c r="L565" s="44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2"/>
      <c r="BK565" s="12"/>
      <c r="BL565" s="12"/>
    </row>
    <row r="566">
      <c r="A566" s="59" t="str">
        <f t="shared" si="2"/>
        <v/>
      </c>
      <c r="B566" s="60"/>
      <c r="C566" s="12"/>
      <c r="D566" s="60"/>
      <c r="E566" s="60"/>
      <c r="F566" s="60"/>
      <c r="G566" s="14"/>
      <c r="H566" s="12"/>
      <c r="I566" s="12"/>
      <c r="J566" s="12"/>
      <c r="K566" s="12"/>
      <c r="L566" s="44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2"/>
      <c r="BK566" s="12"/>
      <c r="BL566" s="12"/>
    </row>
    <row r="567">
      <c r="A567" s="59" t="str">
        <f t="shared" si="2"/>
        <v/>
      </c>
      <c r="B567" s="60"/>
      <c r="C567" s="12"/>
      <c r="D567" s="60"/>
      <c r="E567" s="60"/>
      <c r="F567" s="60"/>
      <c r="G567" s="14"/>
      <c r="H567" s="12"/>
      <c r="I567" s="12"/>
      <c r="J567" s="12"/>
      <c r="K567" s="12"/>
      <c r="L567" s="44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2"/>
      <c r="BK567" s="12"/>
      <c r="BL567" s="12"/>
    </row>
    <row r="568">
      <c r="A568" s="59" t="str">
        <f t="shared" si="2"/>
        <v/>
      </c>
      <c r="B568" s="60"/>
      <c r="C568" s="12"/>
      <c r="D568" s="60"/>
      <c r="E568" s="60"/>
      <c r="F568" s="60"/>
      <c r="G568" s="14"/>
      <c r="H568" s="12"/>
      <c r="I568" s="12"/>
      <c r="J568" s="12"/>
      <c r="K568" s="12"/>
      <c r="L568" s="44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2"/>
      <c r="BK568" s="12"/>
      <c r="BL568" s="12"/>
    </row>
    <row r="569">
      <c r="A569" s="59" t="str">
        <f t="shared" si="2"/>
        <v/>
      </c>
      <c r="B569" s="60"/>
      <c r="C569" s="12"/>
      <c r="D569" s="60"/>
      <c r="E569" s="60"/>
      <c r="F569" s="60"/>
      <c r="G569" s="14"/>
      <c r="H569" s="12"/>
      <c r="I569" s="12"/>
      <c r="J569" s="12"/>
      <c r="K569" s="12"/>
      <c r="L569" s="44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2"/>
      <c r="BK569" s="12"/>
      <c r="BL569" s="12"/>
    </row>
    <row r="570">
      <c r="A570" s="59" t="str">
        <f t="shared" si="2"/>
        <v/>
      </c>
      <c r="B570" s="60"/>
      <c r="C570" s="12"/>
      <c r="D570" s="60"/>
      <c r="E570" s="60"/>
      <c r="F570" s="60"/>
      <c r="G570" s="14"/>
      <c r="H570" s="12"/>
      <c r="I570" s="12"/>
      <c r="J570" s="12"/>
      <c r="K570" s="12"/>
      <c r="L570" s="44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2"/>
      <c r="BK570" s="12"/>
      <c r="BL570" s="12"/>
    </row>
    <row r="571">
      <c r="A571" s="59" t="str">
        <f t="shared" si="2"/>
        <v/>
      </c>
      <c r="B571" s="60"/>
      <c r="C571" s="12"/>
      <c r="D571" s="60"/>
      <c r="E571" s="60"/>
      <c r="F571" s="60"/>
      <c r="G571" s="14"/>
      <c r="H571" s="12"/>
      <c r="I571" s="12"/>
      <c r="J571" s="12"/>
      <c r="K571" s="12"/>
      <c r="L571" s="44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2"/>
      <c r="BK571" s="12"/>
      <c r="BL571" s="12"/>
    </row>
    <row r="572">
      <c r="A572" s="59" t="str">
        <f t="shared" si="2"/>
        <v/>
      </c>
      <c r="B572" s="60"/>
      <c r="C572" s="12"/>
      <c r="D572" s="60"/>
      <c r="E572" s="60"/>
      <c r="F572" s="60"/>
      <c r="G572" s="14"/>
      <c r="H572" s="12"/>
      <c r="I572" s="12"/>
      <c r="J572" s="12"/>
      <c r="K572" s="12"/>
      <c r="L572" s="44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2"/>
      <c r="BK572" s="12"/>
      <c r="BL572" s="12"/>
    </row>
    <row r="573">
      <c r="A573" s="59" t="str">
        <f t="shared" si="2"/>
        <v/>
      </c>
      <c r="B573" s="60"/>
      <c r="C573" s="12"/>
      <c r="D573" s="60"/>
      <c r="E573" s="60"/>
      <c r="F573" s="60"/>
      <c r="G573" s="14"/>
      <c r="H573" s="12"/>
      <c r="I573" s="12"/>
      <c r="J573" s="12"/>
      <c r="K573" s="12"/>
      <c r="L573" s="44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2"/>
      <c r="BK573" s="12"/>
      <c r="BL573" s="12"/>
    </row>
    <row r="574">
      <c r="A574" s="59" t="str">
        <f t="shared" si="2"/>
        <v/>
      </c>
      <c r="B574" s="60"/>
      <c r="C574" s="12"/>
      <c r="D574" s="60"/>
      <c r="E574" s="60"/>
      <c r="F574" s="60"/>
      <c r="G574" s="14"/>
      <c r="H574" s="12"/>
      <c r="I574" s="12"/>
      <c r="J574" s="12"/>
      <c r="K574" s="12"/>
      <c r="L574" s="44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2"/>
      <c r="BK574" s="12"/>
      <c r="BL574" s="12"/>
    </row>
    <row r="575">
      <c r="A575" s="59" t="str">
        <f t="shared" si="2"/>
        <v/>
      </c>
      <c r="B575" s="60"/>
      <c r="C575" s="12"/>
      <c r="D575" s="60"/>
      <c r="E575" s="60"/>
      <c r="F575" s="60"/>
      <c r="G575" s="14"/>
      <c r="H575" s="12"/>
      <c r="I575" s="12"/>
      <c r="J575" s="12"/>
      <c r="K575" s="12"/>
      <c r="L575" s="44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2"/>
      <c r="BK575" s="12"/>
      <c r="BL575" s="12"/>
    </row>
    <row r="576">
      <c r="A576" s="59" t="str">
        <f t="shared" si="2"/>
        <v/>
      </c>
      <c r="B576" s="60"/>
      <c r="C576" s="12"/>
      <c r="D576" s="60"/>
      <c r="E576" s="60"/>
      <c r="F576" s="60"/>
      <c r="G576" s="14"/>
      <c r="H576" s="12"/>
      <c r="I576" s="12"/>
      <c r="J576" s="12"/>
      <c r="K576" s="12"/>
      <c r="L576" s="44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2"/>
      <c r="BK576" s="12"/>
      <c r="BL576" s="12"/>
    </row>
    <row r="577">
      <c r="A577" s="59" t="str">
        <f t="shared" si="2"/>
        <v/>
      </c>
      <c r="B577" s="60"/>
      <c r="C577" s="12"/>
      <c r="D577" s="60"/>
      <c r="E577" s="60"/>
      <c r="F577" s="60"/>
      <c r="G577" s="14"/>
      <c r="H577" s="12"/>
      <c r="I577" s="12"/>
      <c r="J577" s="12"/>
      <c r="K577" s="12"/>
      <c r="L577" s="44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2"/>
      <c r="BK577" s="12"/>
      <c r="BL577" s="12"/>
    </row>
    <row r="578">
      <c r="A578" s="59" t="str">
        <f t="shared" si="2"/>
        <v/>
      </c>
      <c r="B578" s="60"/>
      <c r="C578" s="12"/>
      <c r="D578" s="60"/>
      <c r="E578" s="60"/>
      <c r="F578" s="60"/>
      <c r="G578" s="14"/>
      <c r="H578" s="12"/>
      <c r="I578" s="12"/>
      <c r="J578" s="12"/>
      <c r="K578" s="12"/>
      <c r="L578" s="44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2"/>
      <c r="BK578" s="12"/>
      <c r="BL578" s="12"/>
    </row>
    <row r="579">
      <c r="A579" s="59" t="str">
        <f t="shared" si="2"/>
        <v/>
      </c>
      <c r="B579" s="60"/>
      <c r="C579" s="12"/>
      <c r="D579" s="60"/>
      <c r="E579" s="60"/>
      <c r="F579" s="60"/>
      <c r="G579" s="14"/>
      <c r="H579" s="12"/>
      <c r="I579" s="12"/>
      <c r="J579" s="12"/>
      <c r="K579" s="12"/>
      <c r="L579" s="44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2"/>
      <c r="BK579" s="12"/>
      <c r="BL579" s="12"/>
    </row>
    <row r="580">
      <c r="A580" s="59" t="str">
        <f t="shared" si="2"/>
        <v/>
      </c>
      <c r="B580" s="60"/>
      <c r="C580" s="12"/>
      <c r="D580" s="60"/>
      <c r="E580" s="60"/>
      <c r="F580" s="60"/>
      <c r="G580" s="14"/>
      <c r="H580" s="12"/>
      <c r="I580" s="12"/>
      <c r="J580" s="12"/>
      <c r="K580" s="12"/>
      <c r="L580" s="44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2"/>
      <c r="BK580" s="12"/>
      <c r="BL580" s="12"/>
    </row>
    <row r="581">
      <c r="A581" s="59" t="str">
        <f t="shared" si="2"/>
        <v/>
      </c>
      <c r="B581" s="60"/>
      <c r="C581" s="12"/>
      <c r="D581" s="60"/>
      <c r="E581" s="60"/>
      <c r="F581" s="60"/>
      <c r="G581" s="14"/>
      <c r="H581" s="12"/>
      <c r="I581" s="12"/>
      <c r="J581" s="12"/>
      <c r="K581" s="12"/>
      <c r="L581" s="44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2"/>
      <c r="BK581" s="12"/>
      <c r="BL581" s="12"/>
    </row>
    <row r="582">
      <c r="A582" s="59" t="str">
        <f t="shared" si="2"/>
        <v/>
      </c>
      <c r="B582" s="60"/>
      <c r="C582" s="12"/>
      <c r="D582" s="60"/>
      <c r="E582" s="60"/>
      <c r="F582" s="60"/>
      <c r="G582" s="14"/>
      <c r="H582" s="12"/>
      <c r="I582" s="12"/>
      <c r="J582" s="12"/>
      <c r="K582" s="12"/>
      <c r="L582" s="44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2"/>
      <c r="BK582" s="12"/>
      <c r="BL582" s="12"/>
    </row>
    <row r="583">
      <c r="A583" s="59" t="str">
        <f t="shared" si="2"/>
        <v/>
      </c>
      <c r="B583" s="60"/>
      <c r="C583" s="12"/>
      <c r="D583" s="60"/>
      <c r="E583" s="60"/>
      <c r="F583" s="60"/>
      <c r="G583" s="14"/>
      <c r="H583" s="12"/>
      <c r="I583" s="12"/>
      <c r="J583" s="12"/>
      <c r="K583" s="12"/>
      <c r="L583" s="44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2"/>
      <c r="BK583" s="12"/>
      <c r="BL583" s="12"/>
    </row>
    <row r="584">
      <c r="A584" s="59" t="str">
        <f t="shared" si="2"/>
        <v/>
      </c>
      <c r="B584" s="60"/>
      <c r="C584" s="12"/>
      <c r="D584" s="60"/>
      <c r="E584" s="60"/>
      <c r="F584" s="60"/>
      <c r="G584" s="14"/>
      <c r="H584" s="12"/>
      <c r="I584" s="12"/>
      <c r="J584" s="12"/>
      <c r="K584" s="12"/>
      <c r="L584" s="44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2"/>
      <c r="BK584" s="12"/>
      <c r="BL584" s="12"/>
    </row>
    <row r="585">
      <c r="A585" s="59" t="str">
        <f t="shared" si="2"/>
        <v/>
      </c>
      <c r="B585" s="60"/>
      <c r="C585" s="12"/>
      <c r="D585" s="60"/>
      <c r="E585" s="60"/>
      <c r="F585" s="60"/>
      <c r="G585" s="14"/>
      <c r="H585" s="12"/>
      <c r="I585" s="12"/>
      <c r="J585" s="12"/>
      <c r="K585" s="12"/>
      <c r="L585" s="44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2"/>
      <c r="BK585" s="12"/>
      <c r="BL585" s="12"/>
    </row>
    <row r="586">
      <c r="A586" s="59" t="str">
        <f t="shared" si="2"/>
        <v/>
      </c>
      <c r="B586" s="60"/>
      <c r="C586" s="12"/>
      <c r="D586" s="60"/>
      <c r="E586" s="60"/>
      <c r="F586" s="60"/>
      <c r="G586" s="14"/>
      <c r="H586" s="12"/>
      <c r="I586" s="12"/>
      <c r="J586" s="12"/>
      <c r="K586" s="12"/>
      <c r="L586" s="44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2"/>
      <c r="BK586" s="12"/>
      <c r="BL586" s="12"/>
    </row>
    <row r="587">
      <c r="A587" s="59" t="str">
        <f t="shared" si="2"/>
        <v/>
      </c>
      <c r="B587" s="60"/>
      <c r="C587" s="12"/>
      <c r="D587" s="60"/>
      <c r="E587" s="60"/>
      <c r="F587" s="60"/>
      <c r="G587" s="14"/>
      <c r="H587" s="12"/>
      <c r="I587" s="12"/>
      <c r="J587" s="12"/>
      <c r="K587" s="12"/>
      <c r="L587" s="44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2"/>
      <c r="BK587" s="12"/>
      <c r="BL587" s="12"/>
    </row>
    <row r="588">
      <c r="A588" s="59" t="str">
        <f t="shared" si="2"/>
        <v/>
      </c>
      <c r="B588" s="60"/>
      <c r="C588" s="12"/>
      <c r="D588" s="60"/>
      <c r="E588" s="60"/>
      <c r="F588" s="60"/>
      <c r="G588" s="14"/>
      <c r="H588" s="12"/>
      <c r="I588" s="12"/>
      <c r="J588" s="12"/>
      <c r="K588" s="12"/>
      <c r="L588" s="44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2"/>
      <c r="BK588" s="12"/>
      <c r="BL588" s="12"/>
    </row>
    <row r="589">
      <c r="A589" s="59" t="str">
        <f t="shared" si="2"/>
        <v/>
      </c>
      <c r="B589" s="60"/>
      <c r="C589" s="12"/>
      <c r="D589" s="60"/>
      <c r="E589" s="60"/>
      <c r="F589" s="60"/>
      <c r="G589" s="14"/>
      <c r="H589" s="12"/>
      <c r="I589" s="12"/>
      <c r="J589" s="12"/>
      <c r="K589" s="12"/>
      <c r="L589" s="44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2"/>
      <c r="BK589" s="12"/>
      <c r="BL589" s="12"/>
    </row>
    <row r="590">
      <c r="A590" s="59" t="str">
        <f t="shared" si="2"/>
        <v/>
      </c>
      <c r="B590" s="60"/>
      <c r="C590" s="12"/>
      <c r="D590" s="60"/>
      <c r="E590" s="60"/>
      <c r="F590" s="60"/>
      <c r="G590" s="14"/>
      <c r="H590" s="12"/>
      <c r="I590" s="12"/>
      <c r="J590" s="12"/>
      <c r="K590" s="12"/>
      <c r="L590" s="44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2"/>
      <c r="BK590" s="12"/>
      <c r="BL590" s="12"/>
    </row>
    <row r="591">
      <c r="A591" s="59" t="str">
        <f t="shared" si="2"/>
        <v/>
      </c>
      <c r="B591" s="60"/>
      <c r="C591" s="12"/>
      <c r="D591" s="60"/>
      <c r="E591" s="60"/>
      <c r="F591" s="60"/>
      <c r="G591" s="14"/>
      <c r="H591" s="12"/>
      <c r="I591" s="12"/>
      <c r="J591" s="12"/>
      <c r="K591" s="12"/>
      <c r="L591" s="44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2"/>
      <c r="BK591" s="12"/>
      <c r="BL591" s="12"/>
    </row>
    <row r="592">
      <c r="A592" s="59" t="str">
        <f t="shared" si="2"/>
        <v/>
      </c>
      <c r="B592" s="60"/>
      <c r="C592" s="12"/>
      <c r="D592" s="60"/>
      <c r="E592" s="60"/>
      <c r="F592" s="60"/>
      <c r="G592" s="14"/>
      <c r="H592" s="12"/>
      <c r="I592" s="12"/>
      <c r="J592" s="12"/>
      <c r="K592" s="12"/>
      <c r="L592" s="44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2"/>
      <c r="BK592" s="12"/>
      <c r="BL592" s="12"/>
    </row>
    <row r="593">
      <c r="A593" s="59" t="str">
        <f t="shared" si="2"/>
        <v/>
      </c>
      <c r="B593" s="60"/>
      <c r="C593" s="12"/>
      <c r="D593" s="60"/>
      <c r="E593" s="60"/>
      <c r="F593" s="60"/>
      <c r="G593" s="14"/>
      <c r="H593" s="12"/>
      <c r="I593" s="12"/>
      <c r="J593" s="12"/>
      <c r="K593" s="12"/>
      <c r="L593" s="44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2"/>
      <c r="BK593" s="12"/>
      <c r="BL593" s="12"/>
    </row>
    <row r="594">
      <c r="A594" s="59" t="str">
        <f t="shared" si="2"/>
        <v/>
      </c>
      <c r="B594" s="60"/>
      <c r="C594" s="12"/>
      <c r="D594" s="60"/>
      <c r="E594" s="60"/>
      <c r="F594" s="60"/>
      <c r="G594" s="14"/>
      <c r="H594" s="12"/>
      <c r="I594" s="12"/>
      <c r="J594" s="12"/>
      <c r="K594" s="12"/>
      <c r="L594" s="44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2"/>
      <c r="BK594" s="12"/>
      <c r="BL594" s="12"/>
    </row>
    <row r="595">
      <c r="A595" s="59" t="str">
        <f t="shared" si="2"/>
        <v/>
      </c>
      <c r="B595" s="60"/>
      <c r="C595" s="12"/>
      <c r="D595" s="60"/>
      <c r="E595" s="60"/>
      <c r="F595" s="60"/>
      <c r="G595" s="14"/>
      <c r="H595" s="12"/>
      <c r="I595" s="12"/>
      <c r="J595" s="12"/>
      <c r="K595" s="12"/>
      <c r="L595" s="44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2"/>
      <c r="BK595" s="12"/>
      <c r="BL595" s="12"/>
    </row>
    <row r="596">
      <c r="A596" s="59" t="str">
        <f t="shared" si="2"/>
        <v/>
      </c>
      <c r="B596" s="60"/>
      <c r="C596" s="12"/>
      <c r="D596" s="60"/>
      <c r="E596" s="60"/>
      <c r="F596" s="60"/>
      <c r="G596" s="14"/>
      <c r="H596" s="12"/>
      <c r="I596" s="12"/>
      <c r="J596" s="12"/>
      <c r="K596" s="12"/>
      <c r="L596" s="44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2"/>
      <c r="BK596" s="12"/>
      <c r="BL596" s="12"/>
    </row>
    <row r="597">
      <c r="A597" s="59" t="str">
        <f t="shared" si="2"/>
        <v/>
      </c>
      <c r="B597" s="60"/>
      <c r="C597" s="12"/>
      <c r="D597" s="60"/>
      <c r="E597" s="60"/>
      <c r="F597" s="60"/>
      <c r="G597" s="14"/>
      <c r="H597" s="12"/>
      <c r="I597" s="12"/>
      <c r="J597" s="12"/>
      <c r="K597" s="12"/>
      <c r="L597" s="44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2"/>
      <c r="BK597" s="12"/>
      <c r="BL597" s="12"/>
    </row>
    <row r="598">
      <c r="A598" s="59" t="str">
        <f t="shared" si="2"/>
        <v/>
      </c>
      <c r="B598" s="60"/>
      <c r="C598" s="12"/>
      <c r="D598" s="60"/>
      <c r="E598" s="60"/>
      <c r="F598" s="60"/>
      <c r="G598" s="14"/>
      <c r="H598" s="12"/>
      <c r="I598" s="12"/>
      <c r="J598" s="12"/>
      <c r="K598" s="12"/>
      <c r="L598" s="44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2"/>
      <c r="BK598" s="12"/>
      <c r="BL598" s="12"/>
    </row>
    <row r="599">
      <c r="A599" s="59" t="str">
        <f t="shared" si="2"/>
        <v/>
      </c>
      <c r="B599" s="60"/>
      <c r="C599" s="12"/>
      <c r="D599" s="60"/>
      <c r="E599" s="60"/>
      <c r="F599" s="60"/>
      <c r="G599" s="14"/>
      <c r="H599" s="12"/>
      <c r="I599" s="12"/>
      <c r="J599" s="12"/>
      <c r="K599" s="12"/>
      <c r="L599" s="44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2"/>
      <c r="BK599" s="12"/>
      <c r="BL599" s="12"/>
    </row>
    <row r="600">
      <c r="A600" s="59" t="str">
        <f t="shared" si="2"/>
        <v/>
      </c>
      <c r="B600" s="60"/>
      <c r="C600" s="12"/>
      <c r="D600" s="60"/>
      <c r="E600" s="60"/>
      <c r="F600" s="60"/>
      <c r="G600" s="14"/>
      <c r="H600" s="12"/>
      <c r="I600" s="12"/>
      <c r="J600" s="12"/>
      <c r="K600" s="12"/>
      <c r="L600" s="44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2"/>
      <c r="BK600" s="12"/>
      <c r="BL600" s="12"/>
    </row>
    <row r="601">
      <c r="A601" s="59" t="str">
        <f t="shared" si="2"/>
        <v/>
      </c>
      <c r="B601" s="60"/>
      <c r="C601" s="12"/>
      <c r="D601" s="60"/>
      <c r="E601" s="60"/>
      <c r="F601" s="60"/>
      <c r="G601" s="14"/>
      <c r="H601" s="12"/>
      <c r="I601" s="12"/>
      <c r="J601" s="12"/>
      <c r="K601" s="12"/>
      <c r="L601" s="44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2"/>
      <c r="BK601" s="12"/>
      <c r="BL601" s="12"/>
    </row>
    <row r="602">
      <c r="A602" s="59" t="str">
        <f t="shared" si="2"/>
        <v/>
      </c>
      <c r="B602" s="60"/>
      <c r="C602" s="12"/>
      <c r="D602" s="60"/>
      <c r="E602" s="60"/>
      <c r="F602" s="60"/>
      <c r="G602" s="14"/>
      <c r="H602" s="12"/>
      <c r="I602" s="12"/>
      <c r="J602" s="12"/>
      <c r="K602" s="12"/>
      <c r="L602" s="44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2"/>
      <c r="BK602" s="12"/>
      <c r="BL602" s="12"/>
    </row>
    <row r="603">
      <c r="A603" s="59" t="str">
        <f t="shared" si="2"/>
        <v/>
      </c>
      <c r="B603" s="60"/>
      <c r="C603" s="12"/>
      <c r="D603" s="60"/>
      <c r="E603" s="60"/>
      <c r="F603" s="60"/>
      <c r="G603" s="14"/>
      <c r="H603" s="12"/>
      <c r="I603" s="12"/>
      <c r="J603" s="12"/>
      <c r="K603" s="12"/>
      <c r="L603" s="44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2"/>
      <c r="BK603" s="12"/>
      <c r="BL603" s="12"/>
    </row>
    <row r="604">
      <c r="A604" s="59" t="str">
        <f t="shared" si="2"/>
        <v/>
      </c>
      <c r="B604" s="60"/>
      <c r="C604" s="12"/>
      <c r="D604" s="60"/>
      <c r="E604" s="60"/>
      <c r="F604" s="60"/>
      <c r="G604" s="14"/>
      <c r="H604" s="12"/>
      <c r="I604" s="12"/>
      <c r="J604" s="12"/>
      <c r="K604" s="12"/>
      <c r="L604" s="44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2"/>
      <c r="BK604" s="12"/>
      <c r="BL604" s="12"/>
    </row>
    <row r="605">
      <c r="A605" s="59" t="str">
        <f t="shared" si="2"/>
        <v/>
      </c>
      <c r="B605" s="60"/>
      <c r="C605" s="12"/>
      <c r="D605" s="60"/>
      <c r="E605" s="60"/>
      <c r="F605" s="60"/>
      <c r="G605" s="14"/>
      <c r="H605" s="12"/>
      <c r="I605" s="12"/>
      <c r="J605" s="12"/>
      <c r="K605" s="12"/>
      <c r="L605" s="44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2"/>
      <c r="BK605" s="12"/>
      <c r="BL605" s="12"/>
    </row>
    <row r="606">
      <c r="A606" s="59" t="str">
        <f t="shared" si="2"/>
        <v/>
      </c>
      <c r="B606" s="60"/>
      <c r="C606" s="12"/>
      <c r="D606" s="60"/>
      <c r="E606" s="60"/>
      <c r="F606" s="60"/>
      <c r="G606" s="14"/>
      <c r="H606" s="12"/>
      <c r="I606" s="12"/>
      <c r="J606" s="12"/>
      <c r="K606" s="12"/>
      <c r="L606" s="44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2"/>
      <c r="BK606" s="12"/>
      <c r="BL606" s="12"/>
    </row>
    <row r="607">
      <c r="A607" s="59" t="str">
        <f t="shared" si="2"/>
        <v/>
      </c>
      <c r="B607" s="60"/>
      <c r="C607" s="12"/>
      <c r="D607" s="60"/>
      <c r="E607" s="60"/>
      <c r="F607" s="60"/>
      <c r="G607" s="14"/>
      <c r="H607" s="12"/>
      <c r="I607" s="12"/>
      <c r="J607" s="12"/>
      <c r="K607" s="12"/>
      <c r="L607" s="44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2"/>
      <c r="BK607" s="12"/>
      <c r="BL607" s="12"/>
    </row>
    <row r="608">
      <c r="A608" s="59" t="str">
        <f t="shared" si="2"/>
        <v/>
      </c>
      <c r="B608" s="60"/>
      <c r="C608" s="12"/>
      <c r="D608" s="60"/>
      <c r="E608" s="60"/>
      <c r="F608" s="60"/>
      <c r="G608" s="14"/>
      <c r="H608" s="12"/>
      <c r="I608" s="12"/>
      <c r="J608" s="12"/>
      <c r="K608" s="12"/>
      <c r="L608" s="44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2"/>
      <c r="BK608" s="12"/>
      <c r="BL608" s="12"/>
    </row>
    <row r="609">
      <c r="A609" s="59" t="str">
        <f t="shared" si="2"/>
        <v/>
      </c>
      <c r="B609" s="60"/>
      <c r="C609" s="12"/>
      <c r="D609" s="60"/>
      <c r="E609" s="60"/>
      <c r="F609" s="60"/>
      <c r="G609" s="14"/>
      <c r="H609" s="12"/>
      <c r="I609" s="12"/>
      <c r="J609" s="12"/>
      <c r="K609" s="12"/>
      <c r="L609" s="44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2"/>
      <c r="BK609" s="12"/>
      <c r="BL609" s="12"/>
    </row>
    <row r="610">
      <c r="A610" s="59" t="str">
        <f t="shared" si="2"/>
        <v/>
      </c>
      <c r="B610" s="60"/>
      <c r="C610" s="12"/>
      <c r="D610" s="60"/>
      <c r="E610" s="60"/>
      <c r="F610" s="60"/>
      <c r="G610" s="14"/>
      <c r="H610" s="12"/>
      <c r="I610" s="12"/>
      <c r="J610" s="12"/>
      <c r="K610" s="12"/>
      <c r="L610" s="44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2"/>
      <c r="BK610" s="12"/>
      <c r="BL610" s="12"/>
    </row>
    <row r="611">
      <c r="A611" s="59" t="str">
        <f t="shared" si="2"/>
        <v/>
      </c>
      <c r="B611" s="60"/>
      <c r="C611" s="12"/>
      <c r="D611" s="60"/>
      <c r="E611" s="60"/>
      <c r="F611" s="60"/>
      <c r="G611" s="14"/>
      <c r="H611" s="12"/>
      <c r="I611" s="12"/>
      <c r="J611" s="12"/>
      <c r="K611" s="12"/>
      <c r="L611" s="44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2"/>
      <c r="BK611" s="12"/>
      <c r="BL611" s="12"/>
    </row>
    <row r="612">
      <c r="A612" s="59" t="str">
        <f t="shared" si="2"/>
        <v/>
      </c>
      <c r="B612" s="60"/>
      <c r="C612" s="12"/>
      <c r="D612" s="60"/>
      <c r="E612" s="60"/>
      <c r="F612" s="60"/>
      <c r="G612" s="14"/>
      <c r="H612" s="12"/>
      <c r="I612" s="12"/>
      <c r="J612" s="12"/>
      <c r="K612" s="12"/>
      <c r="L612" s="44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2"/>
      <c r="BK612" s="12"/>
      <c r="BL612" s="12"/>
    </row>
    <row r="613">
      <c r="A613" s="59" t="str">
        <f t="shared" si="2"/>
        <v/>
      </c>
      <c r="B613" s="60"/>
      <c r="C613" s="12"/>
      <c r="D613" s="60"/>
      <c r="E613" s="60"/>
      <c r="F613" s="60"/>
      <c r="G613" s="14"/>
      <c r="H613" s="12"/>
      <c r="I613" s="12"/>
      <c r="J613" s="12"/>
      <c r="K613" s="12"/>
      <c r="L613" s="44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2"/>
      <c r="BK613" s="12"/>
      <c r="BL613" s="12"/>
    </row>
    <row r="614">
      <c r="A614" s="59" t="str">
        <f t="shared" si="2"/>
        <v/>
      </c>
      <c r="B614" s="60"/>
      <c r="C614" s="12"/>
      <c r="D614" s="60"/>
      <c r="E614" s="60"/>
      <c r="F614" s="60"/>
      <c r="G614" s="14"/>
      <c r="H614" s="12"/>
      <c r="I614" s="12"/>
      <c r="J614" s="12"/>
      <c r="K614" s="12"/>
      <c r="L614" s="44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2"/>
      <c r="BK614" s="12"/>
      <c r="BL614" s="12"/>
    </row>
    <row r="615">
      <c r="A615" s="59" t="str">
        <f t="shared" si="2"/>
        <v/>
      </c>
      <c r="B615" s="60"/>
      <c r="C615" s="12"/>
      <c r="D615" s="60"/>
      <c r="E615" s="60"/>
      <c r="F615" s="60"/>
      <c r="G615" s="14"/>
      <c r="H615" s="12"/>
      <c r="I615" s="12"/>
      <c r="J615" s="12"/>
      <c r="K615" s="12"/>
      <c r="L615" s="44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2"/>
      <c r="BK615" s="12"/>
      <c r="BL615" s="12"/>
    </row>
    <row r="616">
      <c r="A616" s="59" t="str">
        <f t="shared" si="2"/>
        <v/>
      </c>
      <c r="B616" s="60"/>
      <c r="C616" s="12"/>
      <c r="D616" s="60"/>
      <c r="E616" s="60"/>
      <c r="F616" s="60"/>
      <c r="G616" s="14"/>
      <c r="H616" s="12"/>
      <c r="I616" s="12"/>
      <c r="J616" s="12"/>
      <c r="K616" s="12"/>
      <c r="L616" s="44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2"/>
      <c r="BK616" s="12"/>
      <c r="BL616" s="12"/>
    </row>
    <row r="617">
      <c r="A617" s="59" t="str">
        <f t="shared" si="2"/>
        <v/>
      </c>
      <c r="B617" s="60"/>
      <c r="C617" s="12"/>
      <c r="D617" s="60"/>
      <c r="E617" s="60"/>
      <c r="F617" s="60"/>
      <c r="G617" s="14"/>
      <c r="H617" s="12"/>
      <c r="I617" s="12"/>
      <c r="J617" s="12"/>
      <c r="K617" s="12"/>
      <c r="L617" s="44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2"/>
      <c r="BK617" s="12"/>
      <c r="BL617" s="12"/>
    </row>
    <row r="618">
      <c r="A618" s="59" t="str">
        <f t="shared" si="2"/>
        <v/>
      </c>
      <c r="B618" s="60"/>
      <c r="C618" s="12"/>
      <c r="D618" s="60"/>
      <c r="E618" s="60"/>
      <c r="F618" s="60"/>
      <c r="G618" s="14"/>
      <c r="H618" s="12"/>
      <c r="I618" s="12"/>
      <c r="J618" s="12"/>
      <c r="K618" s="12"/>
      <c r="L618" s="44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2"/>
      <c r="BK618" s="12"/>
      <c r="BL618" s="12"/>
    </row>
    <row r="619">
      <c r="A619" s="59" t="str">
        <f t="shared" si="2"/>
        <v/>
      </c>
      <c r="B619" s="60"/>
      <c r="C619" s="12"/>
      <c r="D619" s="60"/>
      <c r="E619" s="60"/>
      <c r="F619" s="60"/>
      <c r="G619" s="14"/>
      <c r="H619" s="12"/>
      <c r="I619" s="12"/>
      <c r="J619" s="12"/>
      <c r="K619" s="12"/>
      <c r="L619" s="44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2"/>
      <c r="BK619" s="12"/>
      <c r="BL619" s="12"/>
    </row>
    <row r="620">
      <c r="A620" s="59" t="str">
        <f t="shared" si="2"/>
        <v/>
      </c>
      <c r="B620" s="60"/>
      <c r="C620" s="12"/>
      <c r="D620" s="60"/>
      <c r="E620" s="60"/>
      <c r="F620" s="60"/>
      <c r="G620" s="14"/>
      <c r="H620" s="12"/>
      <c r="I620" s="12"/>
      <c r="J620" s="12"/>
      <c r="K620" s="12"/>
      <c r="L620" s="44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2"/>
      <c r="BK620" s="12"/>
      <c r="BL620" s="12"/>
    </row>
    <row r="621">
      <c r="A621" s="59" t="str">
        <f t="shared" si="2"/>
        <v/>
      </c>
      <c r="B621" s="60"/>
      <c r="C621" s="12"/>
      <c r="D621" s="60"/>
      <c r="E621" s="60"/>
      <c r="F621" s="60"/>
      <c r="G621" s="14"/>
      <c r="H621" s="12"/>
      <c r="I621" s="12"/>
      <c r="J621" s="12"/>
      <c r="K621" s="12"/>
      <c r="L621" s="44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2"/>
      <c r="BK621" s="12"/>
      <c r="BL621" s="12"/>
    </row>
    <row r="622">
      <c r="A622" s="59" t="str">
        <f t="shared" si="2"/>
        <v/>
      </c>
      <c r="B622" s="60"/>
      <c r="C622" s="12"/>
      <c r="D622" s="60"/>
      <c r="E622" s="60"/>
      <c r="F622" s="60"/>
      <c r="G622" s="14"/>
      <c r="H622" s="12"/>
      <c r="I622" s="12"/>
      <c r="J622" s="12"/>
      <c r="K622" s="12"/>
      <c r="L622" s="44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2"/>
      <c r="BK622" s="12"/>
      <c r="BL622" s="12"/>
    </row>
    <row r="623">
      <c r="A623" s="59" t="str">
        <f t="shared" si="2"/>
        <v/>
      </c>
      <c r="B623" s="60"/>
      <c r="C623" s="12"/>
      <c r="D623" s="60"/>
      <c r="E623" s="60"/>
      <c r="F623" s="60"/>
      <c r="G623" s="14"/>
      <c r="H623" s="12"/>
      <c r="I623" s="12"/>
      <c r="J623" s="12"/>
      <c r="K623" s="12"/>
      <c r="L623" s="44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2"/>
      <c r="BK623" s="12"/>
      <c r="BL623" s="12"/>
    </row>
    <row r="624">
      <c r="A624" s="59" t="str">
        <f t="shared" si="2"/>
        <v/>
      </c>
      <c r="B624" s="60"/>
      <c r="C624" s="12"/>
      <c r="D624" s="60"/>
      <c r="E624" s="60"/>
      <c r="F624" s="60"/>
      <c r="G624" s="14"/>
      <c r="H624" s="12"/>
      <c r="I624" s="12"/>
      <c r="J624" s="12"/>
      <c r="K624" s="12"/>
      <c r="L624" s="44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2"/>
      <c r="BK624" s="12"/>
      <c r="BL624" s="12"/>
    </row>
    <row r="625">
      <c r="A625" s="59" t="str">
        <f t="shared" si="2"/>
        <v/>
      </c>
      <c r="B625" s="60"/>
      <c r="C625" s="12"/>
      <c r="D625" s="60"/>
      <c r="E625" s="60"/>
      <c r="F625" s="60"/>
      <c r="G625" s="14"/>
      <c r="H625" s="12"/>
      <c r="I625" s="12"/>
      <c r="J625" s="12"/>
      <c r="K625" s="12"/>
      <c r="L625" s="44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2"/>
      <c r="BK625" s="12"/>
      <c r="BL625" s="12"/>
    </row>
    <row r="626">
      <c r="A626" s="59" t="str">
        <f t="shared" si="2"/>
        <v/>
      </c>
      <c r="B626" s="60"/>
      <c r="C626" s="12"/>
      <c r="D626" s="60"/>
      <c r="E626" s="60"/>
      <c r="F626" s="60"/>
      <c r="G626" s="14"/>
      <c r="H626" s="12"/>
      <c r="I626" s="12"/>
      <c r="J626" s="12"/>
      <c r="K626" s="12"/>
      <c r="L626" s="44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2"/>
      <c r="BK626" s="12"/>
      <c r="BL626" s="12"/>
    </row>
    <row r="627">
      <c r="A627" s="59" t="str">
        <f t="shared" si="2"/>
        <v/>
      </c>
      <c r="B627" s="60"/>
      <c r="C627" s="12"/>
      <c r="D627" s="60"/>
      <c r="E627" s="60"/>
      <c r="F627" s="60"/>
      <c r="G627" s="14"/>
      <c r="H627" s="12"/>
      <c r="I627" s="12"/>
      <c r="J627" s="12"/>
      <c r="K627" s="12"/>
      <c r="L627" s="44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2"/>
      <c r="BK627" s="12"/>
      <c r="BL627" s="12"/>
    </row>
    <row r="628">
      <c r="A628" s="59" t="str">
        <f t="shared" si="2"/>
        <v/>
      </c>
      <c r="B628" s="60"/>
      <c r="C628" s="12"/>
      <c r="D628" s="60"/>
      <c r="E628" s="60"/>
      <c r="F628" s="60"/>
      <c r="G628" s="14"/>
      <c r="H628" s="12"/>
      <c r="I628" s="12"/>
      <c r="J628" s="12"/>
      <c r="K628" s="12"/>
      <c r="L628" s="44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2"/>
      <c r="BK628" s="12"/>
      <c r="BL628" s="12"/>
    </row>
    <row r="629">
      <c r="A629" s="59" t="str">
        <f t="shared" si="2"/>
        <v/>
      </c>
      <c r="B629" s="60"/>
      <c r="C629" s="12"/>
      <c r="D629" s="60"/>
      <c r="E629" s="60"/>
      <c r="F629" s="60"/>
      <c r="G629" s="14"/>
      <c r="H629" s="12"/>
      <c r="I629" s="12"/>
      <c r="J629" s="12"/>
      <c r="K629" s="12"/>
      <c r="L629" s="44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2"/>
      <c r="BK629" s="12"/>
      <c r="BL629" s="12"/>
    </row>
    <row r="630">
      <c r="A630" s="59" t="str">
        <f t="shared" si="2"/>
        <v/>
      </c>
      <c r="B630" s="60"/>
      <c r="C630" s="12"/>
      <c r="D630" s="60"/>
      <c r="E630" s="60"/>
      <c r="F630" s="60"/>
      <c r="G630" s="14"/>
      <c r="H630" s="12"/>
      <c r="I630" s="12"/>
      <c r="J630" s="12"/>
      <c r="K630" s="12"/>
      <c r="L630" s="44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2"/>
      <c r="BK630" s="12"/>
      <c r="BL630" s="12"/>
    </row>
    <row r="631">
      <c r="A631" s="59" t="str">
        <f t="shared" si="2"/>
        <v/>
      </c>
      <c r="B631" s="60"/>
      <c r="C631" s="12"/>
      <c r="D631" s="60"/>
      <c r="E631" s="60"/>
      <c r="F631" s="60"/>
      <c r="G631" s="14"/>
      <c r="H631" s="12"/>
      <c r="I631" s="12"/>
      <c r="J631" s="12"/>
      <c r="K631" s="12"/>
      <c r="L631" s="44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2"/>
      <c r="BK631" s="12"/>
      <c r="BL631" s="12"/>
    </row>
    <row r="632">
      <c r="A632" s="59" t="str">
        <f t="shared" si="2"/>
        <v/>
      </c>
      <c r="B632" s="60"/>
      <c r="C632" s="12"/>
      <c r="D632" s="60"/>
      <c r="E632" s="60"/>
      <c r="F632" s="60"/>
      <c r="G632" s="14"/>
      <c r="H632" s="12"/>
      <c r="I632" s="12"/>
      <c r="J632" s="12"/>
      <c r="K632" s="12"/>
      <c r="L632" s="44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2"/>
      <c r="BK632" s="12"/>
      <c r="BL632" s="12"/>
    </row>
    <row r="633">
      <c r="A633" s="59" t="str">
        <f t="shared" si="2"/>
        <v/>
      </c>
      <c r="B633" s="60"/>
      <c r="C633" s="12"/>
      <c r="D633" s="60"/>
      <c r="E633" s="60"/>
      <c r="F633" s="60"/>
      <c r="G633" s="14"/>
      <c r="H633" s="12"/>
      <c r="I633" s="12"/>
      <c r="J633" s="12"/>
      <c r="K633" s="12"/>
      <c r="L633" s="44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2"/>
      <c r="BK633" s="12"/>
      <c r="BL633" s="12"/>
    </row>
    <row r="634">
      <c r="A634" s="59" t="str">
        <f t="shared" si="2"/>
        <v/>
      </c>
      <c r="B634" s="60"/>
      <c r="C634" s="12"/>
      <c r="D634" s="60"/>
      <c r="E634" s="60"/>
      <c r="F634" s="60"/>
      <c r="G634" s="14"/>
      <c r="H634" s="12"/>
      <c r="I634" s="12"/>
      <c r="J634" s="12"/>
      <c r="K634" s="12"/>
      <c r="L634" s="44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2"/>
      <c r="BK634" s="12"/>
      <c r="BL634" s="12"/>
    </row>
    <row r="635">
      <c r="A635" s="59" t="str">
        <f t="shared" si="2"/>
        <v/>
      </c>
      <c r="B635" s="60"/>
      <c r="C635" s="12"/>
      <c r="D635" s="60"/>
      <c r="E635" s="60"/>
      <c r="F635" s="60"/>
      <c r="G635" s="14"/>
      <c r="H635" s="12"/>
      <c r="I635" s="12"/>
      <c r="J635" s="12"/>
      <c r="K635" s="12"/>
      <c r="L635" s="44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2"/>
      <c r="BK635" s="12"/>
      <c r="BL635" s="12"/>
    </row>
    <row r="636">
      <c r="A636" s="59" t="str">
        <f t="shared" si="2"/>
        <v/>
      </c>
      <c r="B636" s="60"/>
      <c r="C636" s="12"/>
      <c r="D636" s="60"/>
      <c r="E636" s="60"/>
      <c r="F636" s="60"/>
      <c r="G636" s="14"/>
      <c r="H636" s="12"/>
      <c r="I636" s="12"/>
      <c r="J636" s="12"/>
      <c r="K636" s="12"/>
      <c r="L636" s="44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2"/>
      <c r="BK636" s="12"/>
      <c r="BL636" s="12"/>
    </row>
    <row r="637">
      <c r="A637" s="59" t="str">
        <f t="shared" si="2"/>
        <v/>
      </c>
      <c r="B637" s="60"/>
      <c r="C637" s="12"/>
      <c r="D637" s="60"/>
      <c r="E637" s="60"/>
      <c r="F637" s="60"/>
      <c r="G637" s="14"/>
      <c r="H637" s="12"/>
      <c r="I637" s="12"/>
      <c r="J637" s="12"/>
      <c r="K637" s="12"/>
      <c r="L637" s="44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2"/>
      <c r="BK637" s="12"/>
      <c r="BL637" s="12"/>
    </row>
    <row r="638">
      <c r="A638" s="59" t="str">
        <f t="shared" si="2"/>
        <v/>
      </c>
      <c r="B638" s="60"/>
      <c r="C638" s="12"/>
      <c r="D638" s="60"/>
      <c r="E638" s="60"/>
      <c r="F638" s="60"/>
      <c r="G638" s="14"/>
      <c r="H638" s="12"/>
      <c r="I638" s="12"/>
      <c r="J638" s="12"/>
      <c r="K638" s="12"/>
      <c r="L638" s="44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2"/>
      <c r="BK638" s="12"/>
      <c r="BL638" s="12"/>
    </row>
    <row r="639">
      <c r="A639" s="59" t="str">
        <f t="shared" si="2"/>
        <v/>
      </c>
      <c r="B639" s="60"/>
      <c r="C639" s="12"/>
      <c r="D639" s="60"/>
      <c r="E639" s="60"/>
      <c r="F639" s="60"/>
      <c r="G639" s="14"/>
      <c r="H639" s="12"/>
      <c r="I639" s="12"/>
      <c r="J639" s="12"/>
      <c r="K639" s="12"/>
      <c r="L639" s="44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2"/>
      <c r="BK639" s="12"/>
      <c r="BL639" s="12"/>
    </row>
    <row r="640">
      <c r="A640" s="59" t="str">
        <f t="shared" si="2"/>
        <v/>
      </c>
      <c r="B640" s="60"/>
      <c r="C640" s="12"/>
      <c r="D640" s="60"/>
      <c r="E640" s="60"/>
      <c r="F640" s="60"/>
      <c r="G640" s="14"/>
      <c r="H640" s="12"/>
      <c r="I640" s="12"/>
      <c r="J640" s="12"/>
      <c r="K640" s="12"/>
      <c r="L640" s="44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2"/>
      <c r="BK640" s="12"/>
      <c r="BL640" s="12"/>
    </row>
    <row r="641">
      <c r="A641" s="59" t="str">
        <f t="shared" si="2"/>
        <v/>
      </c>
      <c r="B641" s="60"/>
      <c r="C641" s="12"/>
      <c r="D641" s="60"/>
      <c r="E641" s="60"/>
      <c r="F641" s="60"/>
      <c r="G641" s="14"/>
      <c r="H641" s="12"/>
      <c r="I641" s="12"/>
      <c r="J641" s="12"/>
      <c r="K641" s="12"/>
      <c r="L641" s="44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2"/>
      <c r="BK641" s="12"/>
      <c r="BL641" s="12"/>
    </row>
    <row r="642">
      <c r="A642" s="59" t="str">
        <f t="shared" si="2"/>
        <v/>
      </c>
      <c r="B642" s="60"/>
      <c r="C642" s="12"/>
      <c r="D642" s="60"/>
      <c r="E642" s="60"/>
      <c r="F642" s="60"/>
      <c r="G642" s="14"/>
      <c r="H642" s="12"/>
      <c r="I642" s="12"/>
      <c r="J642" s="12"/>
      <c r="K642" s="12"/>
      <c r="L642" s="44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2"/>
      <c r="BK642" s="12"/>
      <c r="BL642" s="12"/>
    </row>
    <row r="643">
      <c r="A643" s="59" t="str">
        <f t="shared" si="2"/>
        <v/>
      </c>
      <c r="B643" s="60"/>
      <c r="C643" s="12"/>
      <c r="D643" s="60"/>
      <c r="E643" s="60"/>
      <c r="F643" s="60"/>
      <c r="G643" s="14"/>
      <c r="H643" s="12"/>
      <c r="I643" s="12"/>
      <c r="J643" s="12"/>
      <c r="K643" s="12"/>
      <c r="L643" s="44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2"/>
      <c r="BK643" s="12"/>
      <c r="BL643" s="12"/>
    </row>
    <row r="644">
      <c r="A644" s="59" t="str">
        <f t="shared" si="2"/>
        <v/>
      </c>
      <c r="B644" s="60"/>
      <c r="C644" s="12"/>
      <c r="D644" s="60"/>
      <c r="E644" s="60"/>
      <c r="F644" s="60"/>
      <c r="G644" s="14"/>
      <c r="H644" s="12"/>
      <c r="I644" s="12"/>
      <c r="J644" s="12"/>
      <c r="K644" s="12"/>
      <c r="L644" s="44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2"/>
      <c r="BK644" s="12"/>
      <c r="BL644" s="12"/>
    </row>
    <row r="645">
      <c r="A645" s="59" t="str">
        <f t="shared" si="2"/>
        <v/>
      </c>
      <c r="B645" s="60"/>
      <c r="C645" s="12"/>
      <c r="D645" s="60"/>
      <c r="E645" s="60"/>
      <c r="F645" s="60"/>
      <c r="G645" s="14"/>
      <c r="H645" s="12"/>
      <c r="I645" s="12"/>
      <c r="J645" s="12"/>
      <c r="K645" s="12"/>
      <c r="L645" s="44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2"/>
      <c r="BK645" s="12"/>
      <c r="BL645" s="12"/>
    </row>
    <row r="646">
      <c r="A646" s="59" t="str">
        <f t="shared" si="2"/>
        <v/>
      </c>
      <c r="B646" s="60"/>
      <c r="C646" s="12"/>
      <c r="D646" s="60"/>
      <c r="E646" s="60"/>
      <c r="F646" s="60"/>
      <c r="G646" s="14"/>
      <c r="H646" s="12"/>
      <c r="I646" s="12"/>
      <c r="J646" s="12"/>
      <c r="K646" s="12"/>
      <c r="L646" s="44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2"/>
      <c r="BK646" s="12"/>
      <c r="BL646" s="12"/>
    </row>
    <row r="647">
      <c r="A647" s="59" t="str">
        <f t="shared" si="2"/>
        <v/>
      </c>
      <c r="B647" s="60"/>
      <c r="C647" s="12"/>
      <c r="D647" s="60"/>
      <c r="E647" s="60"/>
      <c r="F647" s="60"/>
      <c r="G647" s="14"/>
      <c r="H647" s="12"/>
      <c r="I647" s="12"/>
      <c r="J647" s="12"/>
      <c r="K647" s="12"/>
      <c r="L647" s="44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2"/>
      <c r="BK647" s="12"/>
      <c r="BL647" s="12"/>
    </row>
    <row r="648">
      <c r="A648" s="59" t="str">
        <f t="shared" si="2"/>
        <v/>
      </c>
      <c r="B648" s="60"/>
      <c r="C648" s="12"/>
      <c r="D648" s="60"/>
      <c r="E648" s="60"/>
      <c r="F648" s="60"/>
      <c r="G648" s="14"/>
      <c r="H648" s="12"/>
      <c r="I648" s="12"/>
      <c r="J648" s="12"/>
      <c r="K648" s="12"/>
      <c r="L648" s="44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2"/>
      <c r="BK648" s="12"/>
      <c r="BL648" s="12"/>
    </row>
    <row r="649">
      <c r="A649" s="59" t="str">
        <f t="shared" si="2"/>
        <v/>
      </c>
      <c r="B649" s="60"/>
      <c r="C649" s="12"/>
      <c r="D649" s="60"/>
      <c r="E649" s="60"/>
      <c r="F649" s="60"/>
      <c r="G649" s="14"/>
      <c r="H649" s="12"/>
      <c r="I649" s="12"/>
      <c r="J649" s="12"/>
      <c r="K649" s="12"/>
      <c r="L649" s="44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2"/>
      <c r="BK649" s="12"/>
      <c r="BL649" s="12"/>
    </row>
    <row r="650">
      <c r="A650" s="59" t="str">
        <f t="shared" si="2"/>
        <v/>
      </c>
      <c r="B650" s="60"/>
      <c r="C650" s="12"/>
      <c r="D650" s="60"/>
      <c r="E650" s="60"/>
      <c r="F650" s="60"/>
      <c r="G650" s="14"/>
      <c r="H650" s="12"/>
      <c r="I650" s="12"/>
      <c r="J650" s="12"/>
      <c r="K650" s="12"/>
      <c r="L650" s="44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2"/>
      <c r="BK650" s="12"/>
      <c r="BL650" s="12"/>
    </row>
    <row r="651">
      <c r="A651" s="59" t="str">
        <f t="shared" si="2"/>
        <v/>
      </c>
      <c r="B651" s="60"/>
      <c r="C651" s="12"/>
      <c r="D651" s="60"/>
      <c r="E651" s="60"/>
      <c r="F651" s="60"/>
      <c r="G651" s="14"/>
      <c r="H651" s="12"/>
      <c r="I651" s="12"/>
      <c r="J651" s="12"/>
      <c r="K651" s="12"/>
      <c r="L651" s="44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2"/>
      <c r="BK651" s="12"/>
      <c r="BL651" s="12"/>
    </row>
    <row r="652">
      <c r="A652" s="59" t="str">
        <f t="shared" si="2"/>
        <v/>
      </c>
      <c r="B652" s="60"/>
      <c r="C652" s="12"/>
      <c r="D652" s="60"/>
      <c r="E652" s="60"/>
      <c r="F652" s="60"/>
      <c r="G652" s="14"/>
      <c r="H652" s="12"/>
      <c r="I652" s="12"/>
      <c r="J652" s="12"/>
      <c r="K652" s="12"/>
      <c r="L652" s="44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2"/>
      <c r="BK652" s="12"/>
      <c r="BL652" s="12"/>
    </row>
    <row r="653">
      <c r="A653" s="59" t="str">
        <f t="shared" si="2"/>
        <v/>
      </c>
      <c r="B653" s="60"/>
      <c r="C653" s="12"/>
      <c r="D653" s="60"/>
      <c r="E653" s="60"/>
      <c r="F653" s="60"/>
      <c r="G653" s="14"/>
      <c r="H653" s="12"/>
      <c r="I653" s="12"/>
      <c r="J653" s="12"/>
      <c r="K653" s="12"/>
      <c r="L653" s="44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2"/>
      <c r="BK653" s="12"/>
      <c r="BL653" s="12"/>
    </row>
    <row r="654">
      <c r="A654" s="59" t="str">
        <f t="shared" si="2"/>
        <v/>
      </c>
      <c r="B654" s="60"/>
      <c r="C654" s="12"/>
      <c r="D654" s="60"/>
      <c r="E654" s="60"/>
      <c r="F654" s="60"/>
      <c r="G654" s="14"/>
      <c r="H654" s="12"/>
      <c r="I654" s="12"/>
      <c r="J654" s="12"/>
      <c r="K654" s="12"/>
      <c r="L654" s="44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2"/>
      <c r="BK654" s="12"/>
      <c r="BL654" s="12"/>
    </row>
    <row r="655">
      <c r="A655" s="59" t="str">
        <f t="shared" si="2"/>
        <v/>
      </c>
      <c r="B655" s="60"/>
      <c r="C655" s="12"/>
      <c r="D655" s="60"/>
      <c r="E655" s="60"/>
      <c r="F655" s="60"/>
      <c r="G655" s="14"/>
      <c r="H655" s="12"/>
      <c r="I655" s="12"/>
      <c r="J655" s="12"/>
      <c r="K655" s="12"/>
      <c r="L655" s="44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2"/>
      <c r="BK655" s="12"/>
      <c r="BL655" s="12"/>
    </row>
    <row r="656">
      <c r="A656" s="59" t="str">
        <f t="shared" si="2"/>
        <v/>
      </c>
      <c r="B656" s="60"/>
      <c r="C656" s="12"/>
      <c r="D656" s="60"/>
      <c r="E656" s="60"/>
      <c r="F656" s="60"/>
      <c r="G656" s="14"/>
      <c r="H656" s="12"/>
      <c r="I656" s="12"/>
      <c r="J656" s="12"/>
      <c r="K656" s="12"/>
      <c r="L656" s="44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2"/>
      <c r="BK656" s="12"/>
      <c r="BL656" s="12"/>
    </row>
    <row r="657">
      <c r="A657" s="59" t="str">
        <f t="shared" si="2"/>
        <v/>
      </c>
      <c r="B657" s="60"/>
      <c r="C657" s="12"/>
      <c r="D657" s="60"/>
      <c r="E657" s="60"/>
      <c r="F657" s="60"/>
      <c r="G657" s="14"/>
      <c r="H657" s="12"/>
      <c r="I657" s="12"/>
      <c r="J657" s="12"/>
      <c r="K657" s="12"/>
      <c r="L657" s="44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2"/>
      <c r="BK657" s="12"/>
      <c r="BL657" s="12"/>
    </row>
    <row r="658">
      <c r="A658" s="59" t="str">
        <f t="shared" si="2"/>
        <v/>
      </c>
      <c r="B658" s="60"/>
      <c r="C658" s="12"/>
      <c r="D658" s="60"/>
      <c r="E658" s="60"/>
      <c r="F658" s="60"/>
      <c r="G658" s="14"/>
      <c r="H658" s="12"/>
      <c r="I658" s="12"/>
      <c r="J658" s="12"/>
      <c r="K658" s="12"/>
      <c r="L658" s="44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2"/>
      <c r="BK658" s="12"/>
      <c r="BL658" s="12"/>
    </row>
    <row r="659">
      <c r="A659" s="59" t="str">
        <f t="shared" si="2"/>
        <v/>
      </c>
      <c r="B659" s="60"/>
      <c r="C659" s="12"/>
      <c r="D659" s="60"/>
      <c r="E659" s="60"/>
      <c r="F659" s="60"/>
      <c r="G659" s="14"/>
      <c r="H659" s="12"/>
      <c r="I659" s="12"/>
      <c r="J659" s="12"/>
      <c r="K659" s="12"/>
      <c r="L659" s="44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2"/>
      <c r="BK659" s="12"/>
      <c r="BL659" s="12"/>
    </row>
    <row r="660">
      <c r="A660" s="59" t="str">
        <f t="shared" si="2"/>
        <v/>
      </c>
      <c r="B660" s="60"/>
      <c r="C660" s="12"/>
      <c r="D660" s="60"/>
      <c r="E660" s="60"/>
      <c r="F660" s="60"/>
      <c r="G660" s="14"/>
      <c r="H660" s="12"/>
      <c r="I660" s="12"/>
      <c r="J660" s="12"/>
      <c r="K660" s="12"/>
      <c r="L660" s="44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2"/>
      <c r="BK660" s="12"/>
      <c r="BL660" s="12"/>
    </row>
    <row r="661">
      <c r="A661" s="59" t="str">
        <f t="shared" si="2"/>
        <v/>
      </c>
      <c r="B661" s="60"/>
      <c r="C661" s="12"/>
      <c r="D661" s="60"/>
      <c r="E661" s="60"/>
      <c r="F661" s="60"/>
      <c r="G661" s="14"/>
      <c r="H661" s="12"/>
      <c r="I661" s="12"/>
      <c r="J661" s="12"/>
      <c r="K661" s="12"/>
      <c r="L661" s="44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2"/>
      <c r="BK661" s="12"/>
      <c r="BL661" s="12"/>
    </row>
    <row r="662">
      <c r="A662" s="59" t="str">
        <f t="shared" si="2"/>
        <v/>
      </c>
      <c r="B662" s="60"/>
      <c r="C662" s="12"/>
      <c r="D662" s="60"/>
      <c r="E662" s="60"/>
      <c r="F662" s="60"/>
      <c r="G662" s="14"/>
      <c r="H662" s="12"/>
      <c r="I662" s="12"/>
      <c r="J662" s="12"/>
      <c r="K662" s="12"/>
      <c r="L662" s="44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2"/>
      <c r="BK662" s="12"/>
      <c r="BL662" s="12"/>
    </row>
    <row r="663">
      <c r="A663" s="59" t="str">
        <f t="shared" si="2"/>
        <v/>
      </c>
      <c r="B663" s="60"/>
      <c r="C663" s="12"/>
      <c r="D663" s="60"/>
      <c r="E663" s="60"/>
      <c r="F663" s="60"/>
      <c r="G663" s="14"/>
      <c r="H663" s="12"/>
      <c r="I663" s="12"/>
      <c r="J663" s="12"/>
      <c r="K663" s="12"/>
      <c r="L663" s="44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2"/>
      <c r="BK663" s="12"/>
      <c r="BL663" s="12"/>
    </row>
    <row r="664">
      <c r="A664" s="59" t="str">
        <f t="shared" si="2"/>
        <v/>
      </c>
      <c r="B664" s="60"/>
      <c r="C664" s="12"/>
      <c r="D664" s="60"/>
      <c r="E664" s="60"/>
      <c r="F664" s="60"/>
      <c r="G664" s="14"/>
      <c r="H664" s="12"/>
      <c r="I664" s="12"/>
      <c r="J664" s="12"/>
      <c r="K664" s="12"/>
      <c r="L664" s="44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2"/>
      <c r="BK664" s="12"/>
      <c r="BL664" s="12"/>
    </row>
    <row r="665">
      <c r="A665" s="59" t="str">
        <f t="shared" si="2"/>
        <v/>
      </c>
      <c r="B665" s="60"/>
      <c r="C665" s="12"/>
      <c r="D665" s="60"/>
      <c r="E665" s="60"/>
      <c r="F665" s="60"/>
      <c r="G665" s="14"/>
      <c r="H665" s="12"/>
      <c r="I665" s="12"/>
      <c r="J665" s="12"/>
      <c r="K665" s="12"/>
      <c r="L665" s="44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2"/>
      <c r="BK665" s="12"/>
      <c r="BL665" s="12"/>
    </row>
    <row r="666">
      <c r="A666" s="59" t="str">
        <f t="shared" si="2"/>
        <v/>
      </c>
      <c r="B666" s="60"/>
      <c r="C666" s="12"/>
      <c r="D666" s="60"/>
      <c r="E666" s="60"/>
      <c r="F666" s="60"/>
      <c r="G666" s="14"/>
      <c r="H666" s="12"/>
      <c r="I666" s="12"/>
      <c r="J666" s="12"/>
      <c r="K666" s="12"/>
      <c r="L666" s="44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2"/>
      <c r="BK666" s="12"/>
      <c r="BL666" s="12"/>
    </row>
    <row r="667">
      <c r="A667" s="59" t="str">
        <f t="shared" si="2"/>
        <v/>
      </c>
      <c r="B667" s="60"/>
      <c r="C667" s="12"/>
      <c r="D667" s="60"/>
      <c r="E667" s="60"/>
      <c r="F667" s="60"/>
      <c r="G667" s="14"/>
      <c r="H667" s="12"/>
      <c r="I667" s="12"/>
      <c r="J667" s="12"/>
      <c r="K667" s="12"/>
      <c r="L667" s="44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2"/>
      <c r="BK667" s="12"/>
      <c r="BL667" s="12"/>
    </row>
    <row r="668">
      <c r="A668" s="59" t="str">
        <f t="shared" si="2"/>
        <v/>
      </c>
      <c r="B668" s="60"/>
      <c r="C668" s="12"/>
      <c r="D668" s="60"/>
      <c r="E668" s="60"/>
      <c r="F668" s="60"/>
      <c r="G668" s="14"/>
      <c r="H668" s="12"/>
      <c r="I668" s="12"/>
      <c r="J668" s="12"/>
      <c r="K668" s="12"/>
      <c r="L668" s="44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2"/>
      <c r="BK668" s="12"/>
      <c r="BL668" s="12"/>
    </row>
    <row r="669">
      <c r="A669" s="59" t="str">
        <f t="shared" si="2"/>
        <v/>
      </c>
      <c r="B669" s="60"/>
      <c r="C669" s="12"/>
      <c r="D669" s="60"/>
      <c r="E669" s="60"/>
      <c r="F669" s="60"/>
      <c r="G669" s="14"/>
      <c r="H669" s="12"/>
      <c r="I669" s="12"/>
      <c r="J669" s="12"/>
      <c r="K669" s="12"/>
      <c r="L669" s="44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2"/>
      <c r="BK669" s="12"/>
      <c r="BL669" s="12"/>
    </row>
    <row r="670">
      <c r="A670" s="59" t="str">
        <f t="shared" si="2"/>
        <v/>
      </c>
      <c r="B670" s="60"/>
      <c r="C670" s="12"/>
      <c r="D670" s="60"/>
      <c r="E670" s="60"/>
      <c r="F670" s="60"/>
      <c r="G670" s="14"/>
      <c r="H670" s="12"/>
      <c r="I670" s="12"/>
      <c r="J670" s="12"/>
      <c r="K670" s="12"/>
      <c r="L670" s="44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2"/>
      <c r="BK670" s="12"/>
      <c r="BL670" s="12"/>
    </row>
    <row r="671">
      <c r="A671" s="59" t="str">
        <f t="shared" si="2"/>
        <v/>
      </c>
      <c r="B671" s="60"/>
      <c r="C671" s="12"/>
      <c r="D671" s="60"/>
      <c r="E671" s="60"/>
      <c r="F671" s="60"/>
      <c r="G671" s="14"/>
      <c r="H671" s="12"/>
      <c r="I671" s="12"/>
      <c r="J671" s="12"/>
      <c r="K671" s="12"/>
      <c r="L671" s="44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2"/>
      <c r="BK671" s="12"/>
      <c r="BL671" s="12"/>
    </row>
    <row r="672">
      <c r="A672" s="59" t="str">
        <f t="shared" si="2"/>
        <v/>
      </c>
      <c r="B672" s="60"/>
      <c r="C672" s="12"/>
      <c r="D672" s="60"/>
      <c r="E672" s="60"/>
      <c r="F672" s="60"/>
      <c r="G672" s="14"/>
      <c r="H672" s="12"/>
      <c r="I672" s="12"/>
      <c r="J672" s="12"/>
      <c r="K672" s="12"/>
      <c r="L672" s="44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2"/>
      <c r="BK672" s="12"/>
      <c r="BL672" s="12"/>
    </row>
    <row r="673">
      <c r="A673" s="59" t="str">
        <f t="shared" si="2"/>
        <v/>
      </c>
      <c r="B673" s="60"/>
      <c r="C673" s="12"/>
      <c r="D673" s="60"/>
      <c r="E673" s="60"/>
      <c r="F673" s="60"/>
      <c r="G673" s="14"/>
      <c r="H673" s="12"/>
      <c r="I673" s="12"/>
      <c r="J673" s="12"/>
      <c r="K673" s="12"/>
      <c r="L673" s="44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2"/>
      <c r="BK673" s="12"/>
      <c r="BL673" s="12"/>
    </row>
    <row r="674">
      <c r="A674" s="59" t="str">
        <f t="shared" si="2"/>
        <v/>
      </c>
      <c r="B674" s="60"/>
      <c r="C674" s="12"/>
      <c r="D674" s="60"/>
      <c r="E674" s="60"/>
      <c r="F674" s="60"/>
      <c r="G674" s="14"/>
      <c r="H674" s="12"/>
      <c r="I674" s="12"/>
      <c r="J674" s="12"/>
      <c r="K674" s="12"/>
      <c r="L674" s="44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2"/>
      <c r="BK674" s="12"/>
      <c r="BL674" s="12"/>
    </row>
    <row r="675">
      <c r="A675" s="59" t="str">
        <f t="shared" si="2"/>
        <v/>
      </c>
      <c r="B675" s="60"/>
      <c r="C675" s="12"/>
      <c r="D675" s="60"/>
      <c r="E675" s="60"/>
      <c r="F675" s="60"/>
      <c r="G675" s="14"/>
      <c r="H675" s="12"/>
      <c r="I675" s="12"/>
      <c r="J675" s="12"/>
      <c r="K675" s="12"/>
      <c r="L675" s="44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2"/>
      <c r="BK675" s="12"/>
      <c r="BL675" s="12"/>
    </row>
    <row r="676">
      <c r="A676" s="59" t="str">
        <f t="shared" si="2"/>
        <v/>
      </c>
      <c r="B676" s="60"/>
      <c r="C676" s="12"/>
      <c r="D676" s="60"/>
      <c r="E676" s="60"/>
      <c r="F676" s="60"/>
      <c r="G676" s="14"/>
      <c r="H676" s="12"/>
      <c r="I676" s="12"/>
      <c r="J676" s="12"/>
      <c r="K676" s="12"/>
      <c r="L676" s="44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2"/>
      <c r="BK676" s="12"/>
      <c r="BL676" s="12"/>
    </row>
    <row r="677">
      <c r="A677" s="59" t="str">
        <f t="shared" si="2"/>
        <v/>
      </c>
      <c r="B677" s="60"/>
      <c r="C677" s="12"/>
      <c r="D677" s="60"/>
      <c r="E677" s="60"/>
      <c r="F677" s="60"/>
      <c r="G677" s="14"/>
      <c r="H677" s="12"/>
      <c r="I677" s="12"/>
      <c r="J677" s="12"/>
      <c r="K677" s="12"/>
      <c r="L677" s="44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2"/>
      <c r="BK677" s="12"/>
      <c r="BL677" s="12"/>
    </row>
    <row r="678">
      <c r="A678" s="59" t="str">
        <f t="shared" si="2"/>
        <v/>
      </c>
      <c r="B678" s="60"/>
      <c r="C678" s="12"/>
      <c r="D678" s="60"/>
      <c r="E678" s="60"/>
      <c r="F678" s="60"/>
      <c r="G678" s="14"/>
      <c r="H678" s="12"/>
      <c r="I678" s="12"/>
      <c r="J678" s="12"/>
      <c r="K678" s="12"/>
      <c r="L678" s="44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2"/>
      <c r="BK678" s="12"/>
      <c r="BL678" s="12"/>
    </row>
    <row r="679">
      <c r="A679" s="59" t="str">
        <f t="shared" si="2"/>
        <v/>
      </c>
      <c r="B679" s="60"/>
      <c r="C679" s="12"/>
      <c r="D679" s="60"/>
      <c r="E679" s="60"/>
      <c r="F679" s="60"/>
      <c r="G679" s="14"/>
      <c r="H679" s="12"/>
      <c r="I679" s="12"/>
      <c r="J679" s="12"/>
      <c r="K679" s="12"/>
      <c r="L679" s="44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2"/>
      <c r="BK679" s="12"/>
      <c r="BL679" s="12"/>
    </row>
    <row r="680">
      <c r="A680" s="59" t="str">
        <f t="shared" si="2"/>
        <v/>
      </c>
      <c r="B680" s="60"/>
      <c r="C680" s="12"/>
      <c r="D680" s="60"/>
      <c r="E680" s="60"/>
      <c r="F680" s="60"/>
      <c r="G680" s="14"/>
      <c r="H680" s="12"/>
      <c r="I680" s="12"/>
      <c r="J680" s="12"/>
      <c r="K680" s="12"/>
      <c r="L680" s="44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2"/>
      <c r="BK680" s="12"/>
      <c r="BL680" s="12"/>
    </row>
    <row r="681">
      <c r="A681" s="59" t="str">
        <f t="shared" si="2"/>
        <v/>
      </c>
      <c r="B681" s="60"/>
      <c r="C681" s="12"/>
      <c r="D681" s="60"/>
      <c r="E681" s="60"/>
      <c r="F681" s="60"/>
      <c r="G681" s="14"/>
      <c r="H681" s="12"/>
      <c r="I681" s="12"/>
      <c r="J681" s="12"/>
      <c r="K681" s="12"/>
      <c r="L681" s="44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2"/>
      <c r="BK681" s="12"/>
      <c r="BL681" s="12"/>
    </row>
    <row r="682">
      <c r="A682" s="59" t="str">
        <f t="shared" si="2"/>
        <v/>
      </c>
      <c r="B682" s="60"/>
      <c r="C682" s="12"/>
      <c r="D682" s="60"/>
      <c r="E682" s="60"/>
      <c r="F682" s="60"/>
      <c r="G682" s="14"/>
      <c r="H682" s="12"/>
      <c r="I682" s="12"/>
      <c r="J682" s="12"/>
      <c r="K682" s="12"/>
      <c r="L682" s="44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2"/>
      <c r="BK682" s="12"/>
      <c r="BL682" s="12"/>
    </row>
    <row r="683">
      <c r="A683" s="59" t="str">
        <f t="shared" si="2"/>
        <v/>
      </c>
      <c r="B683" s="60"/>
      <c r="C683" s="12"/>
      <c r="D683" s="60"/>
      <c r="E683" s="60"/>
      <c r="F683" s="60"/>
      <c r="G683" s="14"/>
      <c r="H683" s="12"/>
      <c r="I683" s="12"/>
      <c r="J683" s="12"/>
      <c r="K683" s="12"/>
      <c r="L683" s="44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2"/>
      <c r="BK683" s="12"/>
      <c r="BL683" s="12"/>
    </row>
    <row r="684">
      <c r="A684" s="59" t="str">
        <f t="shared" si="2"/>
        <v/>
      </c>
      <c r="B684" s="60"/>
      <c r="C684" s="12"/>
      <c r="D684" s="60"/>
      <c r="E684" s="60"/>
      <c r="F684" s="60"/>
      <c r="G684" s="14"/>
      <c r="H684" s="12"/>
      <c r="I684" s="12"/>
      <c r="J684" s="12"/>
      <c r="K684" s="12"/>
      <c r="L684" s="44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2"/>
      <c r="BK684" s="12"/>
      <c r="BL684" s="12"/>
    </row>
    <row r="685">
      <c r="A685" s="59" t="str">
        <f t="shared" si="2"/>
        <v/>
      </c>
      <c r="B685" s="60"/>
      <c r="C685" s="12"/>
      <c r="D685" s="60"/>
      <c r="E685" s="60"/>
      <c r="F685" s="60"/>
      <c r="G685" s="14"/>
      <c r="H685" s="12"/>
      <c r="I685" s="12"/>
      <c r="J685" s="12"/>
      <c r="K685" s="12"/>
      <c r="L685" s="44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2"/>
      <c r="BK685" s="12"/>
      <c r="BL685" s="12"/>
    </row>
    <row r="686">
      <c r="A686" s="59" t="str">
        <f t="shared" si="2"/>
        <v/>
      </c>
      <c r="B686" s="60"/>
      <c r="C686" s="12"/>
      <c r="D686" s="60"/>
      <c r="E686" s="60"/>
      <c r="F686" s="60"/>
      <c r="G686" s="14"/>
      <c r="H686" s="12"/>
      <c r="I686" s="12"/>
      <c r="J686" s="12"/>
      <c r="K686" s="12"/>
      <c r="L686" s="44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2"/>
      <c r="BK686" s="12"/>
      <c r="BL686" s="12"/>
    </row>
    <row r="687">
      <c r="A687" s="59" t="str">
        <f t="shared" si="2"/>
        <v/>
      </c>
      <c r="B687" s="60"/>
      <c r="C687" s="12"/>
      <c r="D687" s="60"/>
      <c r="E687" s="60"/>
      <c r="F687" s="60"/>
      <c r="G687" s="14"/>
      <c r="H687" s="12"/>
      <c r="I687" s="12"/>
      <c r="J687" s="12"/>
      <c r="K687" s="12"/>
      <c r="L687" s="44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2"/>
      <c r="BK687" s="12"/>
      <c r="BL687" s="12"/>
    </row>
    <row r="688">
      <c r="A688" s="59" t="str">
        <f t="shared" si="2"/>
        <v/>
      </c>
      <c r="B688" s="60"/>
      <c r="C688" s="12"/>
      <c r="D688" s="60"/>
      <c r="E688" s="60"/>
      <c r="F688" s="60"/>
      <c r="G688" s="14"/>
      <c r="H688" s="12"/>
      <c r="I688" s="12"/>
      <c r="J688" s="12"/>
      <c r="K688" s="12"/>
      <c r="L688" s="44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2"/>
      <c r="BK688" s="12"/>
      <c r="BL688" s="12"/>
    </row>
    <row r="689">
      <c r="A689" s="59" t="str">
        <f t="shared" si="2"/>
        <v/>
      </c>
      <c r="B689" s="60"/>
      <c r="C689" s="12"/>
      <c r="D689" s="60"/>
      <c r="E689" s="60"/>
      <c r="F689" s="60"/>
      <c r="G689" s="14"/>
      <c r="H689" s="12"/>
      <c r="I689" s="12"/>
      <c r="J689" s="12"/>
      <c r="K689" s="12"/>
      <c r="L689" s="44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2"/>
      <c r="BK689" s="12"/>
      <c r="BL689" s="12"/>
    </row>
    <row r="690">
      <c r="A690" s="59" t="str">
        <f t="shared" si="2"/>
        <v/>
      </c>
      <c r="B690" s="60"/>
      <c r="C690" s="12"/>
      <c r="D690" s="60"/>
      <c r="E690" s="60"/>
      <c r="F690" s="60"/>
      <c r="G690" s="14"/>
      <c r="H690" s="12"/>
      <c r="I690" s="12"/>
      <c r="J690" s="12"/>
      <c r="K690" s="12"/>
      <c r="L690" s="44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2"/>
      <c r="BK690" s="12"/>
      <c r="BL690" s="12"/>
    </row>
    <row r="691">
      <c r="A691" s="59" t="str">
        <f t="shared" si="2"/>
        <v/>
      </c>
      <c r="B691" s="60"/>
      <c r="C691" s="12"/>
      <c r="D691" s="60"/>
      <c r="E691" s="60"/>
      <c r="F691" s="60"/>
      <c r="G691" s="14"/>
      <c r="H691" s="12"/>
      <c r="I691" s="12"/>
      <c r="J691" s="12"/>
      <c r="K691" s="12"/>
      <c r="L691" s="44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2"/>
      <c r="BK691" s="12"/>
      <c r="BL691" s="12"/>
    </row>
    <row r="692">
      <c r="A692" s="59" t="str">
        <f t="shared" si="2"/>
        <v/>
      </c>
      <c r="B692" s="60"/>
      <c r="C692" s="12"/>
      <c r="D692" s="60"/>
      <c r="E692" s="60"/>
      <c r="F692" s="60"/>
      <c r="G692" s="14"/>
      <c r="H692" s="12"/>
      <c r="I692" s="12"/>
      <c r="J692" s="12"/>
      <c r="K692" s="12"/>
      <c r="L692" s="44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2"/>
      <c r="BK692" s="12"/>
      <c r="BL692" s="12"/>
    </row>
    <row r="693">
      <c r="A693" s="59" t="str">
        <f t="shared" si="2"/>
        <v/>
      </c>
      <c r="B693" s="60"/>
      <c r="C693" s="12"/>
      <c r="D693" s="60"/>
      <c r="E693" s="60"/>
      <c r="F693" s="60"/>
      <c r="G693" s="14"/>
      <c r="H693" s="12"/>
      <c r="I693" s="12"/>
      <c r="J693" s="12"/>
      <c r="K693" s="12"/>
      <c r="L693" s="44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2"/>
      <c r="BK693" s="12"/>
      <c r="BL693" s="12"/>
    </row>
    <row r="694">
      <c r="A694" s="59" t="str">
        <f t="shared" si="2"/>
        <v/>
      </c>
      <c r="B694" s="60"/>
      <c r="C694" s="12"/>
      <c r="D694" s="60"/>
      <c r="E694" s="60"/>
      <c r="F694" s="60"/>
      <c r="G694" s="14"/>
      <c r="H694" s="12"/>
      <c r="I694" s="12"/>
      <c r="J694" s="12"/>
      <c r="K694" s="12"/>
      <c r="L694" s="44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2"/>
      <c r="BK694" s="12"/>
      <c r="BL694" s="12"/>
    </row>
    <row r="695">
      <c r="A695" s="59" t="str">
        <f t="shared" si="2"/>
        <v/>
      </c>
      <c r="B695" s="60"/>
      <c r="C695" s="12"/>
      <c r="D695" s="60"/>
      <c r="E695" s="60"/>
      <c r="F695" s="60"/>
      <c r="G695" s="14"/>
      <c r="H695" s="12"/>
      <c r="I695" s="12"/>
      <c r="J695" s="12"/>
      <c r="K695" s="12"/>
      <c r="L695" s="44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2"/>
      <c r="BK695" s="12"/>
      <c r="BL695" s="12"/>
    </row>
    <row r="696">
      <c r="A696" s="59" t="str">
        <f t="shared" si="2"/>
        <v/>
      </c>
      <c r="B696" s="60"/>
      <c r="C696" s="12"/>
      <c r="D696" s="60"/>
      <c r="E696" s="60"/>
      <c r="F696" s="60"/>
      <c r="G696" s="14"/>
      <c r="H696" s="12"/>
      <c r="I696" s="12"/>
      <c r="J696" s="12"/>
      <c r="K696" s="12"/>
      <c r="L696" s="44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2"/>
      <c r="BK696" s="12"/>
      <c r="BL696" s="12"/>
    </row>
    <row r="697">
      <c r="A697" s="59" t="str">
        <f t="shared" si="2"/>
        <v/>
      </c>
      <c r="B697" s="60"/>
      <c r="C697" s="12"/>
      <c r="D697" s="60"/>
      <c r="E697" s="60"/>
      <c r="F697" s="60"/>
      <c r="G697" s="14"/>
      <c r="H697" s="12"/>
      <c r="I697" s="12"/>
      <c r="J697" s="12"/>
      <c r="K697" s="12"/>
      <c r="L697" s="44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2"/>
      <c r="BK697" s="12"/>
      <c r="BL697" s="12"/>
    </row>
    <row r="698">
      <c r="A698" s="59" t="str">
        <f t="shared" si="2"/>
        <v/>
      </c>
      <c r="B698" s="60"/>
      <c r="C698" s="12"/>
      <c r="D698" s="60"/>
      <c r="E698" s="60"/>
      <c r="F698" s="60"/>
      <c r="G698" s="14"/>
      <c r="H698" s="12"/>
      <c r="I698" s="12"/>
      <c r="J698" s="12"/>
      <c r="K698" s="12"/>
      <c r="L698" s="44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2"/>
      <c r="BK698" s="12"/>
      <c r="BL698" s="12"/>
    </row>
    <row r="699">
      <c r="A699" s="59" t="str">
        <f t="shared" si="2"/>
        <v/>
      </c>
      <c r="B699" s="60"/>
      <c r="C699" s="12"/>
      <c r="D699" s="60"/>
      <c r="E699" s="60"/>
      <c r="F699" s="60"/>
      <c r="G699" s="14"/>
      <c r="H699" s="12"/>
      <c r="I699" s="12"/>
      <c r="J699" s="12"/>
      <c r="K699" s="12"/>
      <c r="L699" s="44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2"/>
      <c r="BK699" s="12"/>
      <c r="BL699" s="12"/>
    </row>
    <row r="700">
      <c r="A700" s="59" t="str">
        <f t="shared" si="2"/>
        <v/>
      </c>
      <c r="B700" s="60"/>
      <c r="C700" s="12"/>
      <c r="D700" s="60"/>
      <c r="E700" s="60"/>
      <c r="F700" s="60"/>
      <c r="G700" s="14"/>
      <c r="H700" s="12"/>
      <c r="I700" s="12"/>
      <c r="J700" s="12"/>
      <c r="K700" s="12"/>
      <c r="L700" s="44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2"/>
      <c r="BK700" s="12"/>
      <c r="BL700" s="12"/>
    </row>
    <row r="701">
      <c r="A701" s="59" t="str">
        <f t="shared" si="2"/>
        <v/>
      </c>
      <c r="B701" s="60"/>
      <c r="C701" s="12"/>
      <c r="D701" s="60"/>
      <c r="E701" s="60"/>
      <c r="F701" s="60"/>
      <c r="G701" s="14"/>
      <c r="H701" s="12"/>
      <c r="I701" s="12"/>
      <c r="J701" s="12"/>
      <c r="K701" s="12"/>
      <c r="L701" s="44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2"/>
      <c r="BK701" s="12"/>
      <c r="BL701" s="12"/>
    </row>
    <row r="702">
      <c r="A702" s="59" t="str">
        <f t="shared" si="2"/>
        <v/>
      </c>
      <c r="B702" s="60"/>
      <c r="C702" s="12"/>
      <c r="D702" s="60"/>
      <c r="E702" s="60"/>
      <c r="F702" s="60"/>
      <c r="G702" s="14"/>
      <c r="H702" s="12"/>
      <c r="I702" s="12"/>
      <c r="J702" s="12"/>
      <c r="K702" s="12"/>
      <c r="L702" s="44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2"/>
      <c r="BK702" s="12"/>
      <c r="BL702" s="12"/>
    </row>
    <row r="703">
      <c r="A703" s="59" t="str">
        <f t="shared" si="2"/>
        <v/>
      </c>
      <c r="B703" s="60"/>
      <c r="C703" s="12"/>
      <c r="D703" s="60"/>
      <c r="E703" s="60"/>
      <c r="F703" s="60"/>
      <c r="G703" s="14"/>
      <c r="H703" s="12"/>
      <c r="I703" s="12"/>
      <c r="J703" s="12"/>
      <c r="K703" s="12"/>
      <c r="L703" s="44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2"/>
      <c r="BK703" s="12"/>
      <c r="BL703" s="12"/>
    </row>
    <row r="704">
      <c r="A704" s="59" t="str">
        <f t="shared" si="2"/>
        <v/>
      </c>
      <c r="B704" s="60"/>
      <c r="C704" s="12"/>
      <c r="D704" s="60"/>
      <c r="E704" s="60"/>
      <c r="F704" s="60"/>
      <c r="G704" s="14"/>
      <c r="H704" s="12"/>
      <c r="I704" s="12"/>
      <c r="J704" s="12"/>
      <c r="K704" s="12"/>
      <c r="L704" s="44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2"/>
      <c r="BK704" s="12"/>
      <c r="BL704" s="12"/>
    </row>
    <row r="705">
      <c r="A705" s="59" t="str">
        <f t="shared" si="2"/>
        <v/>
      </c>
      <c r="B705" s="60"/>
      <c r="C705" s="12"/>
      <c r="D705" s="60"/>
      <c r="E705" s="60"/>
      <c r="F705" s="60"/>
      <c r="G705" s="14"/>
      <c r="H705" s="12"/>
      <c r="I705" s="12"/>
      <c r="J705" s="12"/>
      <c r="K705" s="12"/>
      <c r="L705" s="44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2"/>
      <c r="BK705" s="12"/>
      <c r="BL705" s="12"/>
    </row>
    <row r="706">
      <c r="A706" s="59" t="str">
        <f t="shared" si="2"/>
        <v/>
      </c>
      <c r="B706" s="60"/>
      <c r="C706" s="12"/>
      <c r="D706" s="60"/>
      <c r="E706" s="60"/>
      <c r="F706" s="60"/>
      <c r="G706" s="14"/>
      <c r="H706" s="12"/>
      <c r="I706" s="12"/>
      <c r="J706" s="12"/>
      <c r="K706" s="12"/>
      <c r="L706" s="44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2"/>
      <c r="BK706" s="12"/>
      <c r="BL706" s="12"/>
    </row>
    <row r="707">
      <c r="A707" s="59" t="str">
        <f t="shared" si="2"/>
        <v/>
      </c>
      <c r="B707" s="60"/>
      <c r="C707" s="12"/>
      <c r="D707" s="60"/>
      <c r="E707" s="60"/>
      <c r="F707" s="60"/>
      <c r="G707" s="14"/>
      <c r="H707" s="12"/>
      <c r="I707" s="12"/>
      <c r="J707" s="12"/>
      <c r="K707" s="12"/>
      <c r="L707" s="44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2"/>
      <c r="BK707" s="12"/>
      <c r="BL707" s="12"/>
    </row>
    <row r="708">
      <c r="A708" s="59" t="str">
        <f t="shared" si="2"/>
        <v/>
      </c>
      <c r="B708" s="60"/>
      <c r="C708" s="12"/>
      <c r="D708" s="60"/>
      <c r="E708" s="60"/>
      <c r="F708" s="60"/>
      <c r="G708" s="14"/>
      <c r="H708" s="12"/>
      <c r="I708" s="12"/>
      <c r="J708" s="12"/>
      <c r="K708" s="12"/>
      <c r="L708" s="44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2"/>
      <c r="BK708" s="12"/>
      <c r="BL708" s="12"/>
    </row>
    <row r="709">
      <c r="A709" s="59" t="str">
        <f t="shared" si="2"/>
        <v/>
      </c>
      <c r="B709" s="60"/>
      <c r="C709" s="12"/>
      <c r="D709" s="60"/>
      <c r="E709" s="60"/>
      <c r="F709" s="60"/>
      <c r="G709" s="14"/>
      <c r="H709" s="12"/>
      <c r="I709" s="12"/>
      <c r="J709" s="12"/>
      <c r="K709" s="12"/>
      <c r="L709" s="44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2"/>
      <c r="BK709" s="12"/>
      <c r="BL709" s="12"/>
    </row>
    <row r="710">
      <c r="A710" s="59" t="str">
        <f t="shared" si="2"/>
        <v/>
      </c>
      <c r="B710" s="60"/>
      <c r="C710" s="12"/>
      <c r="D710" s="60"/>
      <c r="E710" s="60"/>
      <c r="F710" s="60"/>
      <c r="G710" s="14"/>
      <c r="H710" s="12"/>
      <c r="I710" s="12"/>
      <c r="J710" s="12"/>
      <c r="K710" s="12"/>
      <c r="L710" s="44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2"/>
      <c r="BK710" s="12"/>
      <c r="BL710" s="12"/>
    </row>
    <row r="711">
      <c r="A711" s="59" t="str">
        <f t="shared" si="2"/>
        <v/>
      </c>
      <c r="B711" s="60"/>
      <c r="C711" s="12"/>
      <c r="D711" s="60"/>
      <c r="E711" s="60"/>
      <c r="F711" s="60"/>
      <c r="G711" s="14"/>
      <c r="H711" s="12"/>
      <c r="I711" s="12"/>
      <c r="J711" s="12"/>
      <c r="K711" s="12"/>
      <c r="L711" s="44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2"/>
      <c r="BK711" s="12"/>
      <c r="BL711" s="12"/>
    </row>
    <row r="712">
      <c r="A712" s="59" t="str">
        <f t="shared" si="2"/>
        <v/>
      </c>
      <c r="B712" s="60"/>
      <c r="C712" s="12"/>
      <c r="D712" s="60"/>
      <c r="E712" s="60"/>
      <c r="F712" s="60"/>
      <c r="G712" s="14"/>
      <c r="H712" s="12"/>
      <c r="I712" s="12"/>
      <c r="J712" s="12"/>
      <c r="K712" s="12"/>
      <c r="L712" s="44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2"/>
      <c r="BK712" s="12"/>
      <c r="BL712" s="12"/>
    </row>
    <row r="713">
      <c r="A713" s="59" t="str">
        <f t="shared" si="2"/>
        <v/>
      </c>
      <c r="B713" s="60"/>
      <c r="C713" s="12"/>
      <c r="D713" s="60"/>
      <c r="E713" s="60"/>
      <c r="F713" s="60"/>
      <c r="G713" s="14"/>
      <c r="H713" s="12"/>
      <c r="I713" s="12"/>
      <c r="J713" s="12"/>
      <c r="K713" s="12"/>
      <c r="L713" s="44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2"/>
      <c r="BK713" s="12"/>
      <c r="BL713" s="12"/>
    </row>
    <row r="714">
      <c r="A714" s="59" t="str">
        <f t="shared" si="2"/>
        <v/>
      </c>
      <c r="B714" s="60"/>
      <c r="C714" s="12"/>
      <c r="D714" s="60"/>
      <c r="E714" s="60"/>
      <c r="F714" s="60"/>
      <c r="G714" s="14"/>
      <c r="H714" s="12"/>
      <c r="I714" s="12"/>
      <c r="J714" s="12"/>
      <c r="K714" s="12"/>
      <c r="L714" s="44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2"/>
      <c r="BK714" s="12"/>
      <c r="BL714" s="12"/>
    </row>
    <row r="715">
      <c r="A715" s="59" t="str">
        <f t="shared" si="2"/>
        <v/>
      </c>
      <c r="B715" s="60"/>
      <c r="C715" s="12"/>
      <c r="D715" s="60"/>
      <c r="E715" s="60"/>
      <c r="F715" s="60"/>
      <c r="G715" s="14"/>
      <c r="H715" s="12"/>
      <c r="I715" s="12"/>
      <c r="J715" s="12"/>
      <c r="K715" s="12"/>
      <c r="L715" s="44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2"/>
      <c r="BK715" s="12"/>
      <c r="BL715" s="12"/>
    </row>
    <row r="716">
      <c r="A716" s="59" t="str">
        <f t="shared" si="2"/>
        <v/>
      </c>
      <c r="B716" s="60"/>
      <c r="C716" s="12"/>
      <c r="D716" s="60"/>
      <c r="E716" s="60"/>
      <c r="F716" s="60"/>
      <c r="G716" s="14"/>
      <c r="H716" s="12"/>
      <c r="I716" s="12"/>
      <c r="J716" s="12"/>
      <c r="K716" s="12"/>
      <c r="L716" s="44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2"/>
      <c r="BK716" s="12"/>
      <c r="BL716" s="12"/>
    </row>
    <row r="717">
      <c r="A717" s="59" t="str">
        <f t="shared" si="2"/>
        <v/>
      </c>
      <c r="B717" s="60"/>
      <c r="C717" s="12"/>
      <c r="D717" s="60"/>
      <c r="E717" s="60"/>
      <c r="F717" s="60"/>
      <c r="G717" s="14"/>
      <c r="H717" s="12"/>
      <c r="I717" s="12"/>
      <c r="J717" s="12"/>
      <c r="K717" s="12"/>
      <c r="L717" s="44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2"/>
      <c r="BK717" s="12"/>
      <c r="BL717" s="12"/>
    </row>
    <row r="718">
      <c r="A718" s="59" t="str">
        <f t="shared" si="2"/>
        <v/>
      </c>
      <c r="B718" s="60"/>
      <c r="C718" s="12"/>
      <c r="D718" s="60"/>
      <c r="E718" s="60"/>
      <c r="F718" s="60"/>
      <c r="G718" s="14"/>
      <c r="H718" s="12"/>
      <c r="I718" s="12"/>
      <c r="J718" s="12"/>
      <c r="K718" s="12"/>
      <c r="L718" s="44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2"/>
      <c r="BK718" s="12"/>
      <c r="BL718" s="12"/>
    </row>
    <row r="719">
      <c r="A719" s="59" t="str">
        <f t="shared" si="2"/>
        <v/>
      </c>
      <c r="B719" s="60"/>
      <c r="C719" s="12"/>
      <c r="D719" s="60"/>
      <c r="E719" s="60"/>
      <c r="F719" s="60"/>
      <c r="G719" s="14"/>
      <c r="H719" s="12"/>
      <c r="I719" s="12"/>
      <c r="J719" s="12"/>
      <c r="K719" s="12"/>
      <c r="L719" s="44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2"/>
      <c r="BK719" s="12"/>
      <c r="BL719" s="12"/>
    </row>
    <row r="720">
      <c r="A720" s="59" t="str">
        <f t="shared" si="2"/>
        <v/>
      </c>
      <c r="B720" s="60"/>
      <c r="C720" s="12"/>
      <c r="D720" s="60"/>
      <c r="E720" s="60"/>
      <c r="F720" s="60"/>
      <c r="G720" s="14"/>
      <c r="H720" s="12"/>
      <c r="I720" s="12"/>
      <c r="J720" s="12"/>
      <c r="K720" s="12"/>
      <c r="L720" s="44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2"/>
      <c r="BK720" s="12"/>
      <c r="BL720" s="12"/>
    </row>
    <row r="721">
      <c r="A721" s="59" t="str">
        <f t="shared" si="2"/>
        <v/>
      </c>
      <c r="B721" s="60"/>
      <c r="C721" s="12"/>
      <c r="D721" s="60"/>
      <c r="E721" s="60"/>
      <c r="F721" s="60"/>
      <c r="G721" s="14"/>
      <c r="H721" s="12"/>
      <c r="I721" s="12"/>
      <c r="J721" s="12"/>
      <c r="K721" s="12"/>
      <c r="L721" s="44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2"/>
      <c r="BK721" s="12"/>
      <c r="BL721" s="12"/>
    </row>
    <row r="722">
      <c r="A722" s="59" t="str">
        <f t="shared" si="2"/>
        <v/>
      </c>
      <c r="B722" s="60"/>
      <c r="C722" s="12"/>
      <c r="D722" s="60"/>
      <c r="E722" s="60"/>
      <c r="F722" s="60"/>
      <c r="G722" s="14"/>
      <c r="H722" s="12"/>
      <c r="I722" s="12"/>
      <c r="J722" s="12"/>
      <c r="K722" s="12"/>
      <c r="L722" s="44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2"/>
      <c r="BK722" s="12"/>
      <c r="BL722" s="12"/>
    </row>
    <row r="723">
      <c r="A723" s="59" t="str">
        <f t="shared" si="2"/>
        <v/>
      </c>
      <c r="B723" s="60"/>
      <c r="C723" s="12"/>
      <c r="D723" s="60"/>
      <c r="E723" s="60"/>
      <c r="F723" s="60"/>
      <c r="G723" s="14"/>
      <c r="H723" s="12"/>
      <c r="I723" s="12"/>
      <c r="J723" s="12"/>
      <c r="K723" s="12"/>
      <c r="L723" s="44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2"/>
      <c r="BK723" s="12"/>
      <c r="BL723" s="12"/>
    </row>
    <row r="724">
      <c r="A724" s="59" t="str">
        <f t="shared" si="2"/>
        <v/>
      </c>
      <c r="B724" s="60"/>
      <c r="C724" s="12"/>
      <c r="D724" s="60"/>
      <c r="E724" s="60"/>
      <c r="F724" s="60"/>
      <c r="G724" s="14"/>
      <c r="H724" s="12"/>
      <c r="I724" s="12"/>
      <c r="J724" s="12"/>
      <c r="K724" s="12"/>
      <c r="L724" s="44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2"/>
      <c r="BK724" s="12"/>
      <c r="BL724" s="12"/>
    </row>
    <row r="725">
      <c r="A725" s="59" t="str">
        <f t="shared" si="2"/>
        <v/>
      </c>
      <c r="B725" s="60"/>
      <c r="C725" s="12"/>
      <c r="D725" s="60"/>
      <c r="E725" s="60"/>
      <c r="F725" s="60"/>
      <c r="G725" s="14"/>
      <c r="H725" s="12"/>
      <c r="I725" s="12"/>
      <c r="J725" s="12"/>
      <c r="K725" s="12"/>
      <c r="L725" s="44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2"/>
      <c r="BK725" s="12"/>
      <c r="BL725" s="12"/>
    </row>
    <row r="726">
      <c r="A726" s="59" t="str">
        <f t="shared" si="2"/>
        <v/>
      </c>
      <c r="B726" s="60"/>
      <c r="C726" s="12"/>
      <c r="D726" s="60"/>
      <c r="E726" s="60"/>
      <c r="F726" s="60"/>
      <c r="G726" s="14"/>
      <c r="H726" s="12"/>
      <c r="I726" s="12"/>
      <c r="J726" s="12"/>
      <c r="K726" s="12"/>
      <c r="L726" s="44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2"/>
      <c r="BK726" s="12"/>
      <c r="BL726" s="12"/>
    </row>
    <row r="727">
      <c r="A727" s="59" t="str">
        <f t="shared" si="2"/>
        <v/>
      </c>
      <c r="B727" s="60"/>
      <c r="C727" s="12"/>
      <c r="D727" s="60"/>
      <c r="E727" s="60"/>
      <c r="F727" s="60"/>
      <c r="G727" s="14"/>
      <c r="H727" s="12"/>
      <c r="I727" s="12"/>
      <c r="J727" s="12"/>
      <c r="K727" s="12"/>
      <c r="L727" s="44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2"/>
      <c r="BK727" s="12"/>
      <c r="BL727" s="12"/>
    </row>
    <row r="728">
      <c r="A728" s="59" t="str">
        <f t="shared" si="2"/>
        <v/>
      </c>
      <c r="B728" s="60"/>
      <c r="C728" s="12"/>
      <c r="D728" s="60"/>
      <c r="E728" s="60"/>
      <c r="F728" s="60"/>
      <c r="G728" s="14"/>
      <c r="H728" s="12"/>
      <c r="I728" s="12"/>
      <c r="J728" s="12"/>
      <c r="K728" s="12"/>
      <c r="L728" s="44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2"/>
      <c r="BK728" s="12"/>
      <c r="BL728" s="12"/>
    </row>
    <row r="729">
      <c r="A729" s="12"/>
      <c r="B729" s="60"/>
      <c r="C729" s="12"/>
      <c r="D729" s="60"/>
      <c r="E729" s="60"/>
      <c r="F729" s="60"/>
      <c r="G729" s="14"/>
      <c r="H729" s="12"/>
      <c r="I729" s="12"/>
      <c r="J729" s="12"/>
      <c r="K729" s="12"/>
      <c r="L729" s="44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2"/>
      <c r="BK729" s="12"/>
      <c r="BL729" s="12"/>
    </row>
    <row r="730">
      <c r="A730" s="12"/>
      <c r="B730" s="60"/>
      <c r="C730" s="12"/>
      <c r="D730" s="60"/>
      <c r="E730" s="60"/>
      <c r="F730" s="60"/>
      <c r="G730" s="14"/>
      <c r="H730" s="12"/>
      <c r="I730" s="12"/>
      <c r="J730" s="12"/>
      <c r="K730" s="12"/>
      <c r="L730" s="44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2"/>
      <c r="BK730" s="12"/>
      <c r="BL730" s="12"/>
    </row>
    <row r="731">
      <c r="A731" s="12"/>
      <c r="B731" s="60"/>
      <c r="C731" s="12"/>
      <c r="D731" s="60"/>
      <c r="E731" s="60"/>
      <c r="F731" s="60"/>
      <c r="G731" s="14"/>
      <c r="H731" s="12"/>
      <c r="I731" s="12"/>
      <c r="J731" s="12"/>
      <c r="K731" s="12"/>
      <c r="L731" s="44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2"/>
      <c r="BK731" s="12"/>
      <c r="BL731" s="12"/>
    </row>
    <row r="732">
      <c r="A732" s="12"/>
      <c r="B732" s="60"/>
      <c r="C732" s="12"/>
      <c r="D732" s="60"/>
      <c r="E732" s="60"/>
      <c r="F732" s="60"/>
      <c r="G732" s="14"/>
      <c r="H732" s="12"/>
      <c r="I732" s="12"/>
      <c r="J732" s="12"/>
      <c r="K732" s="12"/>
      <c r="L732" s="44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2"/>
      <c r="BK732" s="12"/>
      <c r="BL732" s="12"/>
    </row>
    <row r="733">
      <c r="A733" s="12"/>
      <c r="B733" s="60"/>
      <c r="C733" s="12"/>
      <c r="D733" s="60"/>
      <c r="E733" s="60"/>
      <c r="F733" s="60"/>
      <c r="G733" s="14"/>
      <c r="H733" s="12"/>
      <c r="I733" s="12"/>
      <c r="J733" s="12"/>
      <c r="K733" s="12"/>
      <c r="L733" s="44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2"/>
      <c r="BK733" s="12"/>
      <c r="BL733" s="12"/>
    </row>
    <row r="734">
      <c r="A734" s="12"/>
      <c r="B734" s="60"/>
      <c r="C734" s="12"/>
      <c r="D734" s="60"/>
      <c r="E734" s="60"/>
      <c r="F734" s="60"/>
      <c r="G734" s="14"/>
      <c r="H734" s="12"/>
      <c r="I734" s="12"/>
      <c r="J734" s="12"/>
      <c r="K734" s="12"/>
      <c r="L734" s="44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2"/>
      <c r="BK734" s="12"/>
      <c r="BL734" s="12"/>
    </row>
    <row r="735">
      <c r="A735" s="12"/>
      <c r="B735" s="60"/>
      <c r="C735" s="12"/>
      <c r="D735" s="60"/>
      <c r="E735" s="60"/>
      <c r="F735" s="60"/>
      <c r="G735" s="14"/>
      <c r="H735" s="12"/>
      <c r="I735" s="12"/>
      <c r="J735" s="12"/>
      <c r="K735" s="12"/>
      <c r="L735" s="44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2"/>
      <c r="BK735" s="12"/>
      <c r="BL735" s="12"/>
    </row>
    <row r="736">
      <c r="A736" s="12"/>
      <c r="B736" s="60"/>
      <c r="C736" s="12"/>
      <c r="D736" s="60"/>
      <c r="E736" s="60"/>
      <c r="F736" s="60"/>
      <c r="G736" s="14"/>
      <c r="H736" s="12"/>
      <c r="I736" s="12"/>
      <c r="J736" s="12"/>
      <c r="K736" s="12"/>
      <c r="L736" s="44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2"/>
      <c r="BK736" s="12"/>
      <c r="BL736" s="12"/>
    </row>
    <row r="737">
      <c r="A737" s="12"/>
      <c r="B737" s="60"/>
      <c r="C737" s="12"/>
      <c r="D737" s="60"/>
      <c r="E737" s="60"/>
      <c r="F737" s="60"/>
      <c r="G737" s="14"/>
      <c r="H737" s="12"/>
      <c r="I737" s="12"/>
      <c r="J737" s="12"/>
      <c r="K737" s="12"/>
      <c r="L737" s="44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2"/>
      <c r="BK737" s="12"/>
      <c r="BL737" s="12"/>
    </row>
    <row r="738">
      <c r="A738" s="12"/>
      <c r="B738" s="60"/>
      <c r="C738" s="12"/>
      <c r="D738" s="60"/>
      <c r="E738" s="60"/>
      <c r="F738" s="60"/>
      <c r="G738" s="14"/>
      <c r="H738" s="12"/>
      <c r="I738" s="12"/>
      <c r="J738" s="12"/>
      <c r="K738" s="12"/>
      <c r="L738" s="44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2"/>
      <c r="BK738" s="12"/>
      <c r="BL738" s="12"/>
    </row>
    <row r="739">
      <c r="A739" s="12"/>
      <c r="B739" s="60"/>
      <c r="C739" s="12"/>
      <c r="D739" s="60"/>
      <c r="E739" s="60"/>
      <c r="F739" s="60"/>
      <c r="G739" s="14"/>
      <c r="H739" s="12"/>
      <c r="I739" s="12"/>
      <c r="J739" s="12"/>
      <c r="K739" s="12"/>
      <c r="L739" s="44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2"/>
      <c r="BK739" s="12"/>
      <c r="BL739" s="12"/>
    </row>
    <row r="740">
      <c r="A740" s="12"/>
      <c r="B740" s="60"/>
      <c r="C740" s="12"/>
      <c r="D740" s="60"/>
      <c r="E740" s="60"/>
      <c r="F740" s="60"/>
      <c r="G740" s="14"/>
      <c r="H740" s="12"/>
      <c r="I740" s="12"/>
      <c r="J740" s="12"/>
      <c r="K740" s="12"/>
      <c r="L740" s="44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2"/>
      <c r="BK740" s="12"/>
      <c r="BL740" s="12"/>
    </row>
    <row r="741">
      <c r="A741" s="12"/>
      <c r="B741" s="60"/>
      <c r="C741" s="12"/>
      <c r="D741" s="60"/>
      <c r="E741" s="60"/>
      <c r="F741" s="60"/>
      <c r="G741" s="14"/>
      <c r="H741" s="12"/>
      <c r="I741" s="12"/>
      <c r="J741" s="12"/>
      <c r="K741" s="12"/>
      <c r="L741" s="44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2"/>
      <c r="BK741" s="12"/>
      <c r="BL741" s="12"/>
    </row>
    <row r="742">
      <c r="A742" s="12"/>
      <c r="B742" s="60"/>
      <c r="C742" s="12"/>
      <c r="D742" s="60"/>
      <c r="E742" s="60"/>
      <c r="F742" s="60"/>
      <c r="G742" s="14"/>
      <c r="H742" s="12"/>
      <c r="I742" s="12"/>
      <c r="J742" s="12"/>
      <c r="K742" s="12"/>
      <c r="L742" s="44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2"/>
      <c r="BK742" s="12"/>
      <c r="BL742" s="12"/>
    </row>
    <row r="743">
      <c r="A743" s="12"/>
      <c r="B743" s="60"/>
      <c r="C743" s="12"/>
      <c r="D743" s="60"/>
      <c r="E743" s="60"/>
      <c r="F743" s="60"/>
      <c r="G743" s="14"/>
      <c r="H743" s="12"/>
      <c r="I743" s="12"/>
      <c r="J743" s="12"/>
      <c r="K743" s="12"/>
      <c r="L743" s="44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2"/>
      <c r="BK743" s="12"/>
      <c r="BL743" s="12"/>
    </row>
    <row r="744">
      <c r="A744" s="12"/>
      <c r="B744" s="60"/>
      <c r="C744" s="12"/>
      <c r="D744" s="60"/>
      <c r="E744" s="60"/>
      <c r="F744" s="60"/>
      <c r="G744" s="14"/>
      <c r="H744" s="12"/>
      <c r="I744" s="12"/>
      <c r="J744" s="12"/>
      <c r="K744" s="12"/>
      <c r="L744" s="44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2"/>
      <c r="BK744" s="12"/>
      <c r="BL744" s="12"/>
    </row>
    <row r="745">
      <c r="A745" s="12"/>
      <c r="B745" s="60"/>
      <c r="C745" s="12"/>
      <c r="D745" s="60"/>
      <c r="E745" s="60"/>
      <c r="F745" s="60"/>
      <c r="G745" s="14"/>
      <c r="H745" s="12"/>
      <c r="I745" s="12"/>
      <c r="J745" s="12"/>
      <c r="K745" s="12"/>
      <c r="L745" s="44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2"/>
      <c r="BK745" s="12"/>
      <c r="BL745" s="12"/>
    </row>
    <row r="746">
      <c r="A746" s="12"/>
      <c r="B746" s="60"/>
      <c r="C746" s="12"/>
      <c r="D746" s="60"/>
      <c r="E746" s="60"/>
      <c r="F746" s="60"/>
      <c r="G746" s="14"/>
      <c r="H746" s="12"/>
      <c r="I746" s="12"/>
      <c r="J746" s="12"/>
      <c r="K746" s="12"/>
      <c r="L746" s="44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2"/>
      <c r="BK746" s="12"/>
      <c r="BL746" s="12"/>
    </row>
    <row r="747">
      <c r="A747" s="12"/>
      <c r="B747" s="60"/>
      <c r="C747" s="12"/>
      <c r="D747" s="60"/>
      <c r="E747" s="60"/>
      <c r="F747" s="60"/>
      <c r="G747" s="14"/>
      <c r="H747" s="12"/>
      <c r="I747" s="12"/>
      <c r="J747" s="12"/>
      <c r="K747" s="12"/>
      <c r="L747" s="44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2"/>
      <c r="BK747" s="12"/>
      <c r="BL747" s="12"/>
    </row>
    <row r="748">
      <c r="A748" s="12"/>
      <c r="B748" s="60"/>
      <c r="C748" s="12"/>
      <c r="D748" s="60"/>
      <c r="E748" s="60"/>
      <c r="F748" s="60"/>
      <c r="G748" s="14"/>
      <c r="H748" s="12"/>
      <c r="I748" s="12"/>
      <c r="J748" s="12"/>
      <c r="K748" s="12"/>
      <c r="L748" s="44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2"/>
      <c r="BK748" s="12"/>
      <c r="BL748" s="12"/>
    </row>
    <row r="749">
      <c r="A749" s="12"/>
      <c r="B749" s="60"/>
      <c r="C749" s="12"/>
      <c r="D749" s="60"/>
      <c r="E749" s="60"/>
      <c r="F749" s="60"/>
      <c r="G749" s="14"/>
      <c r="H749" s="12"/>
      <c r="I749" s="12"/>
      <c r="J749" s="12"/>
      <c r="K749" s="12"/>
      <c r="L749" s="44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2"/>
      <c r="BK749" s="12"/>
      <c r="BL749" s="12"/>
    </row>
    <row r="750">
      <c r="A750" s="12"/>
      <c r="B750" s="60"/>
      <c r="C750" s="12"/>
      <c r="D750" s="60"/>
      <c r="E750" s="60"/>
      <c r="F750" s="60"/>
      <c r="G750" s="14"/>
      <c r="H750" s="12"/>
      <c r="I750" s="12"/>
      <c r="J750" s="12"/>
      <c r="K750" s="12"/>
      <c r="L750" s="44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2"/>
      <c r="BK750" s="12"/>
      <c r="BL750" s="12"/>
    </row>
    <row r="751">
      <c r="A751" s="12"/>
      <c r="B751" s="60"/>
      <c r="C751" s="12"/>
      <c r="D751" s="60"/>
      <c r="E751" s="60"/>
      <c r="F751" s="60"/>
      <c r="G751" s="14"/>
      <c r="H751" s="12"/>
      <c r="I751" s="12"/>
      <c r="J751" s="12"/>
      <c r="K751" s="12"/>
      <c r="L751" s="44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2"/>
      <c r="BK751" s="12"/>
      <c r="BL751" s="12"/>
    </row>
    <row r="752">
      <c r="A752" s="12"/>
      <c r="B752" s="60"/>
      <c r="C752" s="12"/>
      <c r="D752" s="60"/>
      <c r="E752" s="60"/>
      <c r="F752" s="60"/>
      <c r="G752" s="14"/>
      <c r="H752" s="12"/>
      <c r="I752" s="12"/>
      <c r="J752" s="12"/>
      <c r="K752" s="12"/>
      <c r="L752" s="44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2"/>
      <c r="BK752" s="12"/>
      <c r="BL752" s="12"/>
    </row>
    <row r="753">
      <c r="A753" s="12"/>
      <c r="B753" s="60"/>
      <c r="C753" s="12"/>
      <c r="D753" s="60"/>
      <c r="E753" s="60"/>
      <c r="F753" s="60"/>
      <c r="G753" s="14"/>
      <c r="H753" s="12"/>
      <c r="I753" s="12"/>
      <c r="J753" s="12"/>
      <c r="K753" s="12"/>
      <c r="L753" s="44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2"/>
      <c r="BK753" s="12"/>
      <c r="BL753" s="12"/>
    </row>
    <row r="754">
      <c r="A754" s="12"/>
      <c r="B754" s="60"/>
      <c r="C754" s="12"/>
      <c r="D754" s="60"/>
      <c r="E754" s="60"/>
      <c r="F754" s="60"/>
      <c r="G754" s="14"/>
      <c r="H754" s="12"/>
      <c r="I754" s="12"/>
      <c r="J754" s="12"/>
      <c r="K754" s="12"/>
      <c r="L754" s="44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2"/>
      <c r="BK754" s="12"/>
      <c r="BL754" s="12"/>
    </row>
    <row r="755">
      <c r="A755" s="12"/>
      <c r="B755" s="60"/>
      <c r="C755" s="12"/>
      <c r="D755" s="60"/>
      <c r="E755" s="60"/>
      <c r="F755" s="60"/>
      <c r="G755" s="14"/>
      <c r="H755" s="12"/>
      <c r="I755" s="12"/>
      <c r="J755" s="12"/>
      <c r="K755" s="12"/>
      <c r="L755" s="44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2"/>
      <c r="BK755" s="12"/>
      <c r="BL755" s="12"/>
    </row>
    <row r="756">
      <c r="A756" s="12"/>
      <c r="B756" s="60"/>
      <c r="C756" s="12"/>
      <c r="D756" s="60"/>
      <c r="E756" s="60"/>
      <c r="F756" s="60"/>
      <c r="G756" s="14"/>
      <c r="H756" s="12"/>
      <c r="I756" s="12"/>
      <c r="J756" s="12"/>
      <c r="K756" s="12"/>
      <c r="L756" s="44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2"/>
      <c r="BK756" s="12"/>
      <c r="BL756" s="12"/>
    </row>
    <row r="757">
      <c r="A757" s="12"/>
      <c r="B757" s="60"/>
      <c r="C757" s="12"/>
      <c r="D757" s="60"/>
      <c r="E757" s="60"/>
      <c r="F757" s="60"/>
      <c r="G757" s="14"/>
      <c r="H757" s="12"/>
      <c r="I757" s="12"/>
      <c r="J757" s="12"/>
      <c r="K757" s="12"/>
      <c r="L757" s="44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2"/>
      <c r="BK757" s="12"/>
      <c r="BL757" s="12"/>
    </row>
    <row r="758">
      <c r="A758" s="12"/>
      <c r="B758" s="60"/>
      <c r="C758" s="12"/>
      <c r="D758" s="60"/>
      <c r="E758" s="60"/>
      <c r="F758" s="60"/>
      <c r="G758" s="14"/>
      <c r="H758" s="12"/>
      <c r="I758" s="12"/>
      <c r="J758" s="12"/>
      <c r="K758" s="12"/>
      <c r="L758" s="44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2"/>
      <c r="BK758" s="12"/>
      <c r="BL758" s="12"/>
    </row>
    <row r="759">
      <c r="A759" s="12"/>
      <c r="B759" s="60"/>
      <c r="C759" s="12"/>
      <c r="D759" s="60"/>
      <c r="E759" s="60"/>
      <c r="F759" s="60"/>
      <c r="G759" s="14"/>
      <c r="H759" s="12"/>
      <c r="I759" s="12"/>
      <c r="J759" s="12"/>
      <c r="K759" s="12"/>
      <c r="L759" s="44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2"/>
      <c r="BK759" s="12"/>
      <c r="BL759" s="12"/>
    </row>
    <row r="760">
      <c r="A760" s="12"/>
      <c r="B760" s="60"/>
      <c r="C760" s="12"/>
      <c r="D760" s="60"/>
      <c r="E760" s="60"/>
      <c r="F760" s="60"/>
      <c r="G760" s="14"/>
      <c r="H760" s="12"/>
      <c r="I760" s="12"/>
      <c r="J760" s="12"/>
      <c r="K760" s="12"/>
      <c r="L760" s="44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2"/>
      <c r="BK760" s="12"/>
      <c r="BL760" s="12"/>
    </row>
    <row r="761">
      <c r="A761" s="12"/>
      <c r="B761" s="60"/>
      <c r="C761" s="12"/>
      <c r="D761" s="60"/>
      <c r="E761" s="60"/>
      <c r="F761" s="60"/>
      <c r="G761" s="14"/>
      <c r="H761" s="12"/>
      <c r="I761" s="12"/>
      <c r="J761" s="12"/>
      <c r="K761" s="12"/>
      <c r="L761" s="44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2"/>
      <c r="BK761" s="12"/>
      <c r="BL761" s="12"/>
    </row>
    <row r="762">
      <c r="A762" s="12"/>
      <c r="B762" s="60"/>
      <c r="C762" s="12"/>
      <c r="D762" s="60"/>
      <c r="E762" s="60"/>
      <c r="F762" s="60"/>
      <c r="G762" s="14"/>
      <c r="H762" s="12"/>
      <c r="I762" s="12"/>
      <c r="J762" s="12"/>
      <c r="K762" s="12"/>
      <c r="L762" s="44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2"/>
      <c r="BK762" s="12"/>
      <c r="BL762" s="12"/>
    </row>
    <row r="763">
      <c r="A763" s="12"/>
      <c r="B763" s="60"/>
      <c r="C763" s="12"/>
      <c r="D763" s="60"/>
      <c r="E763" s="60"/>
      <c r="F763" s="60"/>
      <c r="G763" s="14"/>
      <c r="H763" s="12"/>
      <c r="I763" s="12"/>
      <c r="J763" s="12"/>
      <c r="K763" s="12"/>
      <c r="L763" s="44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2"/>
      <c r="BK763" s="12"/>
      <c r="BL763" s="12"/>
    </row>
    <row r="764">
      <c r="A764" s="12"/>
      <c r="B764" s="60"/>
      <c r="C764" s="12"/>
      <c r="D764" s="60"/>
      <c r="E764" s="60"/>
      <c r="F764" s="60"/>
      <c r="G764" s="14"/>
      <c r="H764" s="12"/>
      <c r="I764" s="12"/>
      <c r="J764" s="12"/>
      <c r="K764" s="12"/>
      <c r="L764" s="44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2"/>
      <c r="BK764" s="12"/>
      <c r="BL764" s="12"/>
    </row>
    <row r="765">
      <c r="A765" s="12"/>
      <c r="B765" s="60"/>
      <c r="C765" s="12"/>
      <c r="D765" s="60"/>
      <c r="E765" s="60"/>
      <c r="F765" s="60"/>
      <c r="G765" s="14"/>
      <c r="H765" s="12"/>
      <c r="I765" s="12"/>
      <c r="J765" s="12"/>
      <c r="K765" s="12"/>
      <c r="L765" s="44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2"/>
      <c r="BK765" s="12"/>
      <c r="BL765" s="12"/>
    </row>
    <row r="766">
      <c r="A766" s="12"/>
      <c r="B766" s="60"/>
      <c r="C766" s="12"/>
      <c r="D766" s="60"/>
      <c r="E766" s="60"/>
      <c r="F766" s="60"/>
      <c r="G766" s="14"/>
      <c r="H766" s="12"/>
      <c r="I766" s="12"/>
      <c r="J766" s="12"/>
      <c r="K766" s="12"/>
      <c r="L766" s="44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2"/>
      <c r="BK766" s="12"/>
      <c r="BL766" s="12"/>
    </row>
    <row r="767">
      <c r="A767" s="12"/>
      <c r="B767" s="60"/>
      <c r="C767" s="12"/>
      <c r="D767" s="60"/>
      <c r="E767" s="60"/>
      <c r="F767" s="60"/>
      <c r="G767" s="14"/>
      <c r="H767" s="12"/>
      <c r="I767" s="12"/>
      <c r="J767" s="12"/>
      <c r="K767" s="12"/>
      <c r="L767" s="44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2"/>
      <c r="BK767" s="12"/>
      <c r="BL767" s="12"/>
    </row>
    <row r="768">
      <c r="A768" s="12"/>
      <c r="B768" s="60"/>
      <c r="C768" s="12"/>
      <c r="D768" s="60"/>
      <c r="E768" s="60"/>
      <c r="F768" s="60"/>
      <c r="G768" s="14"/>
      <c r="H768" s="12"/>
      <c r="I768" s="12"/>
      <c r="J768" s="12"/>
      <c r="K768" s="12"/>
      <c r="L768" s="44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2"/>
      <c r="BK768" s="12"/>
      <c r="BL768" s="12"/>
    </row>
    <row r="769">
      <c r="A769" s="12"/>
      <c r="B769" s="60"/>
      <c r="C769" s="12"/>
      <c r="D769" s="60"/>
      <c r="E769" s="60"/>
      <c r="F769" s="60"/>
      <c r="G769" s="14"/>
      <c r="H769" s="12"/>
      <c r="I769" s="12"/>
      <c r="J769" s="12"/>
      <c r="K769" s="12"/>
      <c r="L769" s="44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2"/>
      <c r="BK769" s="12"/>
      <c r="BL769" s="12"/>
    </row>
    <row r="770">
      <c r="A770" s="12"/>
      <c r="B770" s="60"/>
      <c r="C770" s="12"/>
      <c r="D770" s="60"/>
      <c r="E770" s="60"/>
      <c r="F770" s="60"/>
      <c r="G770" s="14"/>
      <c r="H770" s="12"/>
      <c r="I770" s="12"/>
      <c r="J770" s="12"/>
      <c r="K770" s="12"/>
      <c r="L770" s="44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2"/>
      <c r="BK770" s="12"/>
      <c r="BL770" s="12"/>
    </row>
    <row r="771">
      <c r="A771" s="12"/>
      <c r="B771" s="60"/>
      <c r="C771" s="12"/>
      <c r="D771" s="60"/>
      <c r="E771" s="60"/>
      <c r="F771" s="60"/>
      <c r="G771" s="14"/>
      <c r="H771" s="12"/>
      <c r="I771" s="12"/>
      <c r="J771" s="12"/>
      <c r="K771" s="12"/>
      <c r="L771" s="44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2"/>
      <c r="BK771" s="12"/>
      <c r="BL771" s="12"/>
    </row>
    <row r="772">
      <c r="A772" s="12"/>
      <c r="B772" s="60"/>
      <c r="C772" s="12"/>
      <c r="D772" s="60"/>
      <c r="E772" s="60"/>
      <c r="F772" s="60"/>
      <c r="G772" s="14"/>
      <c r="H772" s="12"/>
      <c r="I772" s="12"/>
      <c r="J772" s="12"/>
      <c r="K772" s="12"/>
      <c r="L772" s="44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2"/>
      <c r="BK772" s="12"/>
      <c r="BL772" s="12"/>
    </row>
    <row r="773">
      <c r="A773" s="12"/>
      <c r="B773" s="60"/>
      <c r="C773" s="12"/>
      <c r="D773" s="60"/>
      <c r="E773" s="60"/>
      <c r="F773" s="60"/>
      <c r="G773" s="14"/>
      <c r="H773" s="12"/>
      <c r="I773" s="12"/>
      <c r="J773" s="12"/>
      <c r="K773" s="12"/>
      <c r="L773" s="44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2"/>
      <c r="BK773" s="12"/>
      <c r="BL773" s="12"/>
    </row>
    <row r="774">
      <c r="A774" s="12"/>
      <c r="B774" s="60"/>
      <c r="C774" s="12"/>
      <c r="D774" s="60"/>
      <c r="E774" s="60"/>
      <c r="F774" s="60"/>
      <c r="G774" s="14"/>
      <c r="H774" s="12"/>
      <c r="I774" s="12"/>
      <c r="J774" s="12"/>
      <c r="K774" s="12"/>
      <c r="L774" s="44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2"/>
      <c r="BK774" s="12"/>
      <c r="BL774" s="12"/>
    </row>
    <row r="775">
      <c r="A775" s="12"/>
      <c r="B775" s="60"/>
      <c r="C775" s="12"/>
      <c r="D775" s="60"/>
      <c r="E775" s="60"/>
      <c r="F775" s="60"/>
      <c r="G775" s="14"/>
      <c r="H775" s="12"/>
      <c r="I775" s="12"/>
      <c r="J775" s="12"/>
      <c r="K775" s="12"/>
      <c r="L775" s="44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2"/>
      <c r="BK775" s="12"/>
      <c r="BL775" s="12"/>
    </row>
    <row r="776">
      <c r="A776" s="12"/>
      <c r="B776" s="60"/>
      <c r="C776" s="12"/>
      <c r="D776" s="60"/>
      <c r="E776" s="60"/>
      <c r="F776" s="60"/>
      <c r="G776" s="14"/>
      <c r="H776" s="12"/>
      <c r="I776" s="12"/>
      <c r="J776" s="12"/>
      <c r="K776" s="12"/>
      <c r="L776" s="44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2"/>
      <c r="BK776" s="12"/>
      <c r="BL776" s="12"/>
    </row>
    <row r="777">
      <c r="A777" s="12"/>
      <c r="B777" s="60"/>
      <c r="C777" s="12"/>
      <c r="D777" s="60"/>
      <c r="E777" s="60"/>
      <c r="F777" s="60"/>
      <c r="G777" s="14"/>
      <c r="H777" s="12"/>
      <c r="I777" s="12"/>
      <c r="J777" s="12"/>
      <c r="K777" s="12"/>
      <c r="L777" s="44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2"/>
      <c r="BK777" s="12"/>
      <c r="BL777" s="12"/>
    </row>
    <row r="778">
      <c r="A778" s="12"/>
      <c r="B778" s="60"/>
      <c r="C778" s="12"/>
      <c r="D778" s="60"/>
      <c r="E778" s="60"/>
      <c r="F778" s="60"/>
      <c r="G778" s="14"/>
      <c r="H778" s="12"/>
      <c r="I778" s="12"/>
      <c r="J778" s="12"/>
      <c r="K778" s="12"/>
      <c r="L778" s="44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2"/>
      <c r="BK778" s="12"/>
      <c r="BL778" s="12"/>
    </row>
    <row r="779">
      <c r="A779" s="12"/>
      <c r="B779" s="60"/>
      <c r="C779" s="12"/>
      <c r="D779" s="60"/>
      <c r="E779" s="60"/>
      <c r="F779" s="60"/>
      <c r="G779" s="14"/>
      <c r="H779" s="12"/>
      <c r="I779" s="12"/>
      <c r="J779" s="12"/>
      <c r="K779" s="12"/>
      <c r="L779" s="44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2"/>
      <c r="BK779" s="12"/>
      <c r="BL779" s="12"/>
    </row>
    <row r="780">
      <c r="A780" s="12"/>
      <c r="B780" s="60"/>
      <c r="C780" s="12"/>
      <c r="D780" s="60"/>
      <c r="E780" s="60"/>
      <c r="F780" s="60"/>
      <c r="G780" s="14"/>
      <c r="H780" s="12"/>
      <c r="I780" s="12"/>
      <c r="J780" s="12"/>
      <c r="K780" s="12"/>
      <c r="L780" s="44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2"/>
      <c r="BK780" s="12"/>
      <c r="BL780" s="12"/>
    </row>
    <row r="781">
      <c r="A781" s="12"/>
      <c r="B781" s="60"/>
      <c r="C781" s="12"/>
      <c r="D781" s="60"/>
      <c r="E781" s="60"/>
      <c r="F781" s="60"/>
      <c r="G781" s="14"/>
      <c r="H781" s="12"/>
      <c r="I781" s="12"/>
      <c r="J781" s="12"/>
      <c r="K781" s="12"/>
      <c r="L781" s="44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2"/>
      <c r="BK781" s="12"/>
      <c r="BL781" s="12"/>
    </row>
    <row r="782">
      <c r="A782" s="12"/>
      <c r="B782" s="60"/>
      <c r="C782" s="12"/>
      <c r="D782" s="60"/>
      <c r="E782" s="60"/>
      <c r="F782" s="60"/>
      <c r="G782" s="14"/>
      <c r="H782" s="12"/>
      <c r="I782" s="12"/>
      <c r="J782" s="12"/>
      <c r="K782" s="12"/>
      <c r="L782" s="44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2"/>
      <c r="BK782" s="12"/>
      <c r="BL782" s="12"/>
    </row>
    <row r="783">
      <c r="A783" s="12"/>
      <c r="B783" s="60"/>
      <c r="C783" s="12"/>
      <c r="D783" s="60"/>
      <c r="E783" s="60"/>
      <c r="F783" s="60"/>
      <c r="G783" s="14"/>
      <c r="H783" s="12"/>
      <c r="I783" s="12"/>
      <c r="J783" s="12"/>
      <c r="K783" s="12"/>
      <c r="L783" s="44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2"/>
      <c r="BK783" s="12"/>
      <c r="BL783" s="12"/>
    </row>
    <row r="784">
      <c r="A784" s="12"/>
      <c r="B784" s="60"/>
      <c r="C784" s="12"/>
      <c r="D784" s="60"/>
      <c r="E784" s="60"/>
      <c r="F784" s="60"/>
      <c r="G784" s="14"/>
      <c r="H784" s="12"/>
      <c r="I784" s="12"/>
      <c r="J784" s="12"/>
      <c r="K784" s="12"/>
      <c r="L784" s="44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2"/>
      <c r="BK784" s="12"/>
      <c r="BL784" s="12"/>
    </row>
    <row r="785">
      <c r="A785" s="12"/>
      <c r="B785" s="60"/>
      <c r="C785" s="12"/>
      <c r="D785" s="60"/>
      <c r="E785" s="60"/>
      <c r="F785" s="60"/>
      <c r="G785" s="14"/>
      <c r="H785" s="12"/>
      <c r="I785" s="12"/>
      <c r="J785" s="12"/>
      <c r="K785" s="12"/>
      <c r="L785" s="44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2"/>
      <c r="BK785" s="12"/>
      <c r="BL785" s="12"/>
    </row>
    <row r="786">
      <c r="A786" s="12"/>
      <c r="B786" s="60"/>
      <c r="C786" s="12"/>
      <c r="D786" s="60"/>
      <c r="E786" s="60"/>
      <c r="F786" s="60"/>
      <c r="G786" s="14"/>
      <c r="H786" s="12"/>
      <c r="I786" s="12"/>
      <c r="J786" s="12"/>
      <c r="K786" s="12"/>
      <c r="L786" s="44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2"/>
      <c r="BK786" s="12"/>
      <c r="BL786" s="12"/>
    </row>
    <row r="787">
      <c r="A787" s="12"/>
      <c r="B787" s="60"/>
      <c r="C787" s="12"/>
      <c r="D787" s="60"/>
      <c r="E787" s="60"/>
      <c r="F787" s="60"/>
      <c r="G787" s="14"/>
      <c r="H787" s="12"/>
      <c r="I787" s="12"/>
      <c r="J787" s="12"/>
      <c r="K787" s="12"/>
      <c r="L787" s="44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2"/>
      <c r="BK787" s="12"/>
      <c r="BL787" s="12"/>
    </row>
    <row r="788">
      <c r="A788" s="12"/>
      <c r="B788" s="60"/>
      <c r="C788" s="12"/>
      <c r="D788" s="60"/>
      <c r="E788" s="60"/>
      <c r="F788" s="60"/>
      <c r="G788" s="14"/>
      <c r="H788" s="12"/>
      <c r="I788" s="12"/>
      <c r="J788" s="12"/>
      <c r="K788" s="12"/>
      <c r="L788" s="44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2"/>
      <c r="BK788" s="12"/>
      <c r="BL788" s="12"/>
    </row>
    <row r="789">
      <c r="A789" s="12"/>
      <c r="B789" s="60"/>
      <c r="C789" s="12"/>
      <c r="D789" s="60"/>
      <c r="E789" s="60"/>
      <c r="F789" s="60"/>
      <c r="G789" s="14"/>
      <c r="H789" s="12"/>
      <c r="I789" s="12"/>
      <c r="J789" s="12"/>
      <c r="K789" s="12"/>
      <c r="L789" s="44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2"/>
      <c r="BK789" s="12"/>
      <c r="BL789" s="12"/>
    </row>
    <row r="790">
      <c r="A790" s="12"/>
      <c r="B790" s="60"/>
      <c r="C790" s="12"/>
      <c r="D790" s="60"/>
      <c r="E790" s="60"/>
      <c r="F790" s="60"/>
      <c r="G790" s="14"/>
      <c r="H790" s="12"/>
      <c r="I790" s="12"/>
      <c r="J790" s="12"/>
      <c r="K790" s="12"/>
      <c r="L790" s="44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2"/>
      <c r="BK790" s="12"/>
      <c r="BL790" s="12"/>
    </row>
    <row r="791">
      <c r="A791" s="12"/>
      <c r="B791" s="60"/>
      <c r="C791" s="12"/>
      <c r="D791" s="60"/>
      <c r="E791" s="60"/>
      <c r="F791" s="60"/>
      <c r="G791" s="14"/>
      <c r="H791" s="12"/>
      <c r="I791" s="12"/>
      <c r="J791" s="12"/>
      <c r="K791" s="12"/>
      <c r="L791" s="44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2"/>
      <c r="BK791" s="12"/>
      <c r="BL791" s="12"/>
    </row>
    <row r="792">
      <c r="A792" s="12"/>
      <c r="B792" s="60"/>
      <c r="C792" s="12"/>
      <c r="D792" s="60"/>
      <c r="E792" s="60"/>
      <c r="F792" s="60"/>
      <c r="G792" s="14"/>
      <c r="H792" s="12"/>
      <c r="I792" s="12"/>
      <c r="J792" s="12"/>
      <c r="K792" s="12"/>
      <c r="L792" s="44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2"/>
      <c r="BK792" s="12"/>
      <c r="BL792" s="12"/>
    </row>
    <row r="793">
      <c r="A793" s="12"/>
      <c r="B793" s="60"/>
      <c r="C793" s="12"/>
      <c r="D793" s="60"/>
      <c r="E793" s="60"/>
      <c r="F793" s="60"/>
      <c r="G793" s="14"/>
      <c r="H793" s="12"/>
      <c r="I793" s="12"/>
      <c r="J793" s="12"/>
      <c r="K793" s="12"/>
      <c r="L793" s="44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2"/>
      <c r="BK793" s="12"/>
      <c r="BL793" s="12"/>
    </row>
    <row r="794">
      <c r="A794" s="12"/>
      <c r="B794" s="60"/>
      <c r="C794" s="12"/>
      <c r="D794" s="60"/>
      <c r="E794" s="60"/>
      <c r="F794" s="60"/>
      <c r="G794" s="14"/>
      <c r="H794" s="12"/>
      <c r="I794" s="12"/>
      <c r="J794" s="12"/>
      <c r="K794" s="12"/>
      <c r="L794" s="44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2"/>
      <c r="BK794" s="12"/>
      <c r="BL794" s="12"/>
    </row>
    <row r="795">
      <c r="A795" s="12"/>
      <c r="B795" s="60"/>
      <c r="C795" s="12"/>
      <c r="D795" s="60"/>
      <c r="E795" s="60"/>
      <c r="F795" s="60"/>
      <c r="G795" s="14"/>
      <c r="H795" s="12"/>
      <c r="I795" s="12"/>
      <c r="J795" s="12"/>
      <c r="K795" s="12"/>
      <c r="L795" s="44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2"/>
      <c r="BK795" s="12"/>
      <c r="BL795" s="12"/>
    </row>
    <row r="796">
      <c r="A796" s="12"/>
      <c r="B796" s="60"/>
      <c r="C796" s="12"/>
      <c r="D796" s="60"/>
      <c r="E796" s="60"/>
      <c r="F796" s="60"/>
      <c r="G796" s="14"/>
      <c r="H796" s="12"/>
      <c r="I796" s="12"/>
      <c r="J796" s="12"/>
      <c r="K796" s="12"/>
      <c r="L796" s="44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2"/>
      <c r="BK796" s="12"/>
      <c r="BL796" s="12"/>
    </row>
    <row r="797">
      <c r="A797" s="12"/>
      <c r="B797" s="60"/>
      <c r="C797" s="12"/>
      <c r="D797" s="60"/>
      <c r="E797" s="60"/>
      <c r="F797" s="60"/>
      <c r="G797" s="14"/>
      <c r="H797" s="12"/>
      <c r="I797" s="12"/>
      <c r="J797" s="12"/>
      <c r="K797" s="12"/>
      <c r="L797" s="44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2"/>
      <c r="BK797" s="12"/>
      <c r="BL797" s="12"/>
    </row>
    <row r="798">
      <c r="A798" s="12"/>
      <c r="B798" s="60"/>
      <c r="C798" s="12"/>
      <c r="D798" s="60"/>
      <c r="E798" s="60"/>
      <c r="F798" s="60"/>
      <c r="G798" s="14"/>
      <c r="H798" s="12"/>
      <c r="I798" s="12"/>
      <c r="J798" s="12"/>
      <c r="K798" s="12"/>
      <c r="L798" s="44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2"/>
      <c r="BK798" s="12"/>
      <c r="BL798" s="12"/>
    </row>
    <row r="799">
      <c r="A799" s="12"/>
      <c r="B799" s="60"/>
      <c r="C799" s="12"/>
      <c r="D799" s="60"/>
      <c r="E799" s="60"/>
      <c r="F799" s="60"/>
      <c r="G799" s="14"/>
      <c r="H799" s="12"/>
      <c r="I799" s="12"/>
      <c r="J799" s="12"/>
      <c r="K799" s="12"/>
      <c r="L799" s="44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2"/>
      <c r="BK799" s="12"/>
      <c r="BL799" s="12"/>
    </row>
    <row r="800">
      <c r="A800" s="12"/>
      <c r="B800" s="60"/>
      <c r="C800" s="12"/>
      <c r="D800" s="60"/>
      <c r="E800" s="60"/>
      <c r="F800" s="60"/>
      <c r="G800" s="14"/>
      <c r="H800" s="12"/>
      <c r="I800" s="12"/>
      <c r="J800" s="12"/>
      <c r="K800" s="12"/>
      <c r="L800" s="44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2"/>
      <c r="BK800" s="12"/>
      <c r="BL800" s="12"/>
    </row>
    <row r="801">
      <c r="A801" s="12"/>
      <c r="B801" s="60"/>
      <c r="C801" s="12"/>
      <c r="D801" s="60"/>
      <c r="E801" s="60"/>
      <c r="F801" s="60"/>
      <c r="G801" s="14"/>
      <c r="H801" s="12"/>
      <c r="I801" s="12"/>
      <c r="J801" s="12"/>
      <c r="K801" s="12"/>
      <c r="L801" s="44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2"/>
      <c r="BK801" s="12"/>
      <c r="BL801" s="12"/>
    </row>
    <row r="802">
      <c r="A802" s="12"/>
      <c r="B802" s="60"/>
      <c r="C802" s="12"/>
      <c r="D802" s="60"/>
      <c r="E802" s="60"/>
      <c r="F802" s="60"/>
      <c r="G802" s="14"/>
      <c r="H802" s="12"/>
      <c r="I802" s="12"/>
      <c r="J802" s="12"/>
      <c r="K802" s="12"/>
      <c r="L802" s="44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2"/>
      <c r="BK802" s="12"/>
      <c r="BL802" s="12"/>
    </row>
    <row r="803">
      <c r="A803" s="12"/>
      <c r="B803" s="60"/>
      <c r="C803" s="12"/>
      <c r="D803" s="60"/>
      <c r="E803" s="60"/>
      <c r="F803" s="60"/>
      <c r="G803" s="14"/>
      <c r="H803" s="12"/>
      <c r="I803" s="12"/>
      <c r="J803" s="12"/>
      <c r="K803" s="12"/>
      <c r="L803" s="44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2"/>
      <c r="BK803" s="12"/>
      <c r="BL803" s="12"/>
    </row>
    <row r="804">
      <c r="A804" s="12"/>
      <c r="B804" s="60"/>
      <c r="C804" s="12"/>
      <c r="D804" s="60"/>
      <c r="E804" s="60"/>
      <c r="F804" s="60"/>
      <c r="G804" s="14"/>
      <c r="H804" s="12"/>
      <c r="I804" s="12"/>
      <c r="J804" s="12"/>
      <c r="K804" s="12"/>
      <c r="L804" s="44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2"/>
      <c r="BK804" s="12"/>
      <c r="BL804" s="12"/>
    </row>
    <row r="805">
      <c r="A805" s="12"/>
      <c r="B805" s="60"/>
      <c r="C805" s="12"/>
      <c r="D805" s="60"/>
      <c r="E805" s="60"/>
      <c r="F805" s="60"/>
      <c r="G805" s="14"/>
      <c r="H805" s="12"/>
      <c r="I805" s="12"/>
      <c r="J805" s="12"/>
      <c r="K805" s="12"/>
      <c r="L805" s="44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2"/>
      <c r="BK805" s="12"/>
      <c r="BL805" s="12"/>
    </row>
    <row r="806">
      <c r="A806" s="12"/>
      <c r="B806" s="60"/>
      <c r="C806" s="12"/>
      <c r="D806" s="60"/>
      <c r="E806" s="60"/>
      <c r="F806" s="60"/>
      <c r="G806" s="14"/>
      <c r="H806" s="12"/>
      <c r="I806" s="12"/>
      <c r="J806" s="12"/>
      <c r="K806" s="12"/>
      <c r="L806" s="44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2"/>
      <c r="BK806" s="12"/>
      <c r="BL806" s="12"/>
    </row>
    <row r="807">
      <c r="A807" s="12"/>
      <c r="B807" s="60"/>
      <c r="C807" s="12"/>
      <c r="D807" s="60"/>
      <c r="E807" s="60"/>
      <c r="F807" s="60"/>
      <c r="G807" s="14"/>
      <c r="H807" s="12"/>
      <c r="I807" s="12"/>
      <c r="J807" s="12"/>
      <c r="K807" s="12"/>
      <c r="L807" s="44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2"/>
      <c r="BK807" s="12"/>
      <c r="BL807" s="12"/>
    </row>
    <row r="808">
      <c r="A808" s="12"/>
      <c r="B808" s="60"/>
      <c r="C808" s="12"/>
      <c r="D808" s="60"/>
      <c r="E808" s="60"/>
      <c r="F808" s="60"/>
      <c r="G808" s="14"/>
      <c r="H808" s="12"/>
      <c r="I808" s="12"/>
      <c r="J808" s="12"/>
      <c r="K808" s="12"/>
      <c r="L808" s="44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2"/>
      <c r="BK808" s="12"/>
      <c r="BL808" s="12"/>
    </row>
    <row r="809">
      <c r="A809" s="12"/>
      <c r="B809" s="60"/>
      <c r="C809" s="12"/>
      <c r="D809" s="60"/>
      <c r="E809" s="60"/>
      <c r="F809" s="60"/>
      <c r="G809" s="14"/>
      <c r="H809" s="12"/>
      <c r="I809" s="12"/>
      <c r="J809" s="12"/>
      <c r="K809" s="12"/>
      <c r="L809" s="44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2"/>
      <c r="BK809" s="12"/>
      <c r="BL809" s="12"/>
    </row>
    <row r="810">
      <c r="A810" s="12"/>
      <c r="B810" s="60"/>
      <c r="C810" s="12"/>
      <c r="D810" s="60"/>
      <c r="E810" s="60"/>
      <c r="F810" s="60"/>
      <c r="G810" s="14"/>
      <c r="H810" s="12"/>
      <c r="I810" s="12"/>
      <c r="J810" s="12"/>
      <c r="K810" s="12"/>
      <c r="L810" s="44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2"/>
      <c r="BK810" s="12"/>
      <c r="BL810" s="12"/>
    </row>
    <row r="811">
      <c r="A811" s="12"/>
      <c r="B811" s="60"/>
      <c r="C811" s="12"/>
      <c r="D811" s="60"/>
      <c r="E811" s="60"/>
      <c r="F811" s="60"/>
      <c r="G811" s="14"/>
      <c r="H811" s="12"/>
      <c r="I811" s="12"/>
      <c r="J811" s="12"/>
      <c r="K811" s="12"/>
      <c r="L811" s="44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2"/>
      <c r="BK811" s="12"/>
      <c r="BL811" s="12"/>
    </row>
    <row r="812">
      <c r="A812" s="12"/>
      <c r="B812" s="60"/>
      <c r="C812" s="12"/>
      <c r="D812" s="60"/>
      <c r="E812" s="60"/>
      <c r="F812" s="60"/>
      <c r="G812" s="14"/>
      <c r="H812" s="12"/>
      <c r="I812" s="12"/>
      <c r="J812" s="12"/>
      <c r="K812" s="12"/>
      <c r="L812" s="44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2"/>
      <c r="BK812" s="12"/>
      <c r="BL812" s="12"/>
    </row>
    <row r="813">
      <c r="A813" s="12"/>
      <c r="B813" s="60"/>
      <c r="C813" s="12"/>
      <c r="D813" s="60"/>
      <c r="E813" s="60"/>
      <c r="F813" s="60"/>
      <c r="G813" s="14"/>
      <c r="H813" s="12"/>
      <c r="I813" s="12"/>
      <c r="J813" s="12"/>
      <c r="K813" s="12"/>
      <c r="L813" s="44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2"/>
      <c r="BK813" s="12"/>
      <c r="BL813" s="12"/>
    </row>
    <row r="814">
      <c r="A814" s="12"/>
      <c r="B814" s="60"/>
      <c r="C814" s="12"/>
      <c r="D814" s="60"/>
      <c r="E814" s="60"/>
      <c r="F814" s="60"/>
      <c r="G814" s="14"/>
      <c r="H814" s="12"/>
      <c r="I814" s="12"/>
      <c r="J814" s="12"/>
      <c r="K814" s="12"/>
      <c r="L814" s="44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2"/>
      <c r="BK814" s="12"/>
      <c r="BL814" s="12"/>
    </row>
    <row r="815">
      <c r="A815" s="12"/>
      <c r="B815" s="60"/>
      <c r="C815" s="12"/>
      <c r="D815" s="60"/>
      <c r="E815" s="60"/>
      <c r="F815" s="60"/>
      <c r="G815" s="14"/>
      <c r="H815" s="12"/>
      <c r="I815" s="12"/>
      <c r="J815" s="12"/>
      <c r="K815" s="12"/>
      <c r="L815" s="44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2"/>
      <c r="BK815" s="12"/>
      <c r="BL815" s="12"/>
    </row>
    <row r="816">
      <c r="A816" s="12"/>
      <c r="B816" s="60"/>
      <c r="C816" s="12"/>
      <c r="D816" s="60"/>
      <c r="E816" s="60"/>
      <c r="F816" s="60"/>
      <c r="G816" s="14"/>
      <c r="H816" s="12"/>
      <c r="I816" s="12"/>
      <c r="J816" s="12"/>
      <c r="K816" s="12"/>
      <c r="L816" s="44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2"/>
      <c r="BK816" s="12"/>
      <c r="BL816" s="12"/>
    </row>
    <row r="817">
      <c r="A817" s="12"/>
      <c r="B817" s="60"/>
      <c r="C817" s="12"/>
      <c r="D817" s="60"/>
      <c r="E817" s="60"/>
      <c r="F817" s="60"/>
      <c r="G817" s="14"/>
      <c r="H817" s="12"/>
      <c r="I817" s="12"/>
      <c r="J817" s="12"/>
      <c r="K817" s="12"/>
      <c r="L817" s="44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2"/>
      <c r="BK817" s="12"/>
      <c r="BL817" s="12"/>
    </row>
    <row r="818">
      <c r="A818" s="12"/>
      <c r="B818" s="60"/>
      <c r="C818" s="12"/>
      <c r="D818" s="60"/>
      <c r="E818" s="60"/>
      <c r="F818" s="60"/>
      <c r="G818" s="14"/>
      <c r="H818" s="12"/>
      <c r="I818" s="12"/>
      <c r="J818" s="12"/>
      <c r="K818" s="12"/>
      <c r="L818" s="44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2"/>
      <c r="BK818" s="12"/>
      <c r="BL818" s="12"/>
    </row>
    <row r="819">
      <c r="A819" s="12"/>
      <c r="B819" s="60"/>
      <c r="C819" s="12"/>
      <c r="D819" s="60"/>
      <c r="E819" s="60"/>
      <c r="F819" s="60"/>
      <c r="G819" s="14"/>
      <c r="H819" s="12"/>
      <c r="I819" s="12"/>
      <c r="J819" s="12"/>
      <c r="K819" s="12"/>
      <c r="L819" s="44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2"/>
      <c r="BK819" s="12"/>
      <c r="BL819" s="12"/>
    </row>
    <row r="820">
      <c r="A820" s="12"/>
      <c r="B820" s="60"/>
      <c r="C820" s="12"/>
      <c r="D820" s="60"/>
      <c r="E820" s="60"/>
      <c r="F820" s="60"/>
      <c r="G820" s="14"/>
      <c r="H820" s="12"/>
      <c r="I820" s="12"/>
      <c r="J820" s="12"/>
      <c r="K820" s="12"/>
      <c r="L820" s="44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2"/>
      <c r="BK820" s="12"/>
      <c r="BL820" s="12"/>
    </row>
    <row r="821">
      <c r="A821" s="12"/>
      <c r="B821" s="60"/>
      <c r="C821" s="12"/>
      <c r="D821" s="60"/>
      <c r="E821" s="60"/>
      <c r="F821" s="60"/>
      <c r="G821" s="14"/>
      <c r="H821" s="12"/>
      <c r="I821" s="12"/>
      <c r="J821" s="12"/>
      <c r="K821" s="12"/>
      <c r="L821" s="44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2"/>
      <c r="BK821" s="12"/>
      <c r="BL821" s="12"/>
    </row>
    <row r="822">
      <c r="A822" s="12"/>
      <c r="B822" s="60"/>
      <c r="C822" s="12"/>
      <c r="D822" s="60"/>
      <c r="E822" s="60"/>
      <c r="F822" s="60"/>
      <c r="G822" s="14"/>
      <c r="H822" s="12"/>
      <c r="I822" s="12"/>
      <c r="J822" s="12"/>
      <c r="K822" s="12"/>
      <c r="L822" s="44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2"/>
      <c r="BK822" s="12"/>
      <c r="BL822" s="12"/>
    </row>
    <row r="823">
      <c r="A823" s="12"/>
      <c r="B823" s="60"/>
      <c r="C823" s="12"/>
      <c r="D823" s="60"/>
      <c r="E823" s="60"/>
      <c r="F823" s="60"/>
      <c r="G823" s="14"/>
      <c r="H823" s="12"/>
      <c r="I823" s="12"/>
      <c r="J823" s="12"/>
      <c r="K823" s="12"/>
      <c r="L823" s="44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2"/>
      <c r="BK823" s="12"/>
      <c r="BL823" s="12"/>
    </row>
    <row r="824">
      <c r="A824" s="12"/>
      <c r="B824" s="60"/>
      <c r="C824" s="12"/>
      <c r="D824" s="60"/>
      <c r="E824" s="60"/>
      <c r="F824" s="60"/>
      <c r="G824" s="14"/>
      <c r="H824" s="12"/>
      <c r="I824" s="12"/>
      <c r="J824" s="12"/>
      <c r="K824" s="12"/>
      <c r="L824" s="44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2"/>
      <c r="BK824" s="12"/>
      <c r="BL824" s="12"/>
    </row>
    <row r="825">
      <c r="A825" s="12"/>
      <c r="B825" s="60"/>
      <c r="C825" s="12"/>
      <c r="D825" s="60"/>
      <c r="E825" s="60"/>
      <c r="F825" s="60"/>
      <c r="G825" s="14"/>
      <c r="H825" s="12"/>
      <c r="I825" s="12"/>
      <c r="J825" s="12"/>
      <c r="K825" s="12"/>
      <c r="L825" s="44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2"/>
      <c r="BK825" s="12"/>
      <c r="BL825" s="12"/>
    </row>
    <row r="826">
      <c r="A826" s="12"/>
      <c r="B826" s="60"/>
      <c r="C826" s="12"/>
      <c r="D826" s="60"/>
      <c r="E826" s="60"/>
      <c r="F826" s="60"/>
      <c r="G826" s="14"/>
      <c r="H826" s="12"/>
      <c r="I826" s="12"/>
      <c r="J826" s="12"/>
      <c r="K826" s="12"/>
      <c r="L826" s="44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2"/>
      <c r="BK826" s="12"/>
      <c r="BL826" s="12"/>
    </row>
    <row r="827">
      <c r="A827" s="12"/>
      <c r="B827" s="60"/>
      <c r="C827" s="12"/>
      <c r="D827" s="60"/>
      <c r="E827" s="60"/>
      <c r="F827" s="60"/>
      <c r="G827" s="14"/>
      <c r="H827" s="12"/>
      <c r="I827" s="12"/>
      <c r="J827" s="12"/>
      <c r="K827" s="12"/>
      <c r="L827" s="44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2"/>
      <c r="BK827" s="12"/>
      <c r="BL827" s="12"/>
    </row>
    <row r="828">
      <c r="A828" s="12"/>
      <c r="B828" s="60"/>
      <c r="C828" s="12"/>
      <c r="D828" s="60"/>
      <c r="E828" s="60"/>
      <c r="F828" s="60"/>
      <c r="G828" s="14"/>
      <c r="H828" s="12"/>
      <c r="I828" s="12"/>
      <c r="J828" s="12"/>
      <c r="K828" s="12"/>
      <c r="L828" s="44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2"/>
      <c r="BK828" s="12"/>
      <c r="BL828" s="12"/>
    </row>
    <row r="829">
      <c r="A829" s="12"/>
      <c r="B829" s="60"/>
      <c r="C829" s="12"/>
      <c r="D829" s="60"/>
      <c r="E829" s="60"/>
      <c r="F829" s="60"/>
      <c r="G829" s="14"/>
      <c r="H829" s="12"/>
      <c r="I829" s="12"/>
      <c r="J829" s="12"/>
      <c r="K829" s="12"/>
      <c r="L829" s="44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2"/>
      <c r="BK829" s="12"/>
      <c r="BL829" s="12"/>
    </row>
    <row r="830">
      <c r="A830" s="12"/>
      <c r="B830" s="60"/>
      <c r="C830" s="12"/>
      <c r="D830" s="60"/>
      <c r="E830" s="60"/>
      <c r="F830" s="60"/>
      <c r="G830" s="14"/>
      <c r="H830" s="12"/>
      <c r="I830" s="12"/>
      <c r="J830" s="12"/>
      <c r="K830" s="12"/>
      <c r="L830" s="44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2"/>
      <c r="BK830" s="12"/>
      <c r="BL830" s="12"/>
    </row>
    <row r="831">
      <c r="A831" s="12"/>
      <c r="B831" s="60"/>
      <c r="C831" s="12"/>
      <c r="D831" s="60"/>
      <c r="E831" s="60"/>
      <c r="F831" s="60"/>
      <c r="G831" s="14"/>
      <c r="H831" s="12"/>
      <c r="I831" s="12"/>
      <c r="J831" s="12"/>
      <c r="K831" s="12"/>
      <c r="L831" s="44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2"/>
      <c r="BK831" s="12"/>
      <c r="BL831" s="12"/>
    </row>
    <row r="832">
      <c r="A832" s="12"/>
      <c r="B832" s="60"/>
      <c r="C832" s="12"/>
      <c r="D832" s="60"/>
      <c r="E832" s="60"/>
      <c r="F832" s="60"/>
      <c r="G832" s="14"/>
      <c r="H832" s="12"/>
      <c r="I832" s="12"/>
      <c r="J832" s="12"/>
      <c r="K832" s="12"/>
      <c r="L832" s="44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2"/>
      <c r="BK832" s="12"/>
      <c r="BL832" s="12"/>
    </row>
    <row r="833">
      <c r="A833" s="12"/>
      <c r="B833" s="60"/>
      <c r="C833" s="12"/>
      <c r="D833" s="60"/>
      <c r="E833" s="60"/>
      <c r="F833" s="60"/>
      <c r="G833" s="14"/>
      <c r="H833" s="12"/>
      <c r="I833" s="12"/>
      <c r="J833" s="12"/>
      <c r="K833" s="12"/>
      <c r="L833" s="44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2"/>
      <c r="BK833" s="12"/>
      <c r="BL833" s="12"/>
    </row>
    <row r="834">
      <c r="A834" s="12"/>
      <c r="B834" s="60"/>
      <c r="C834" s="12"/>
      <c r="D834" s="60"/>
      <c r="E834" s="60"/>
      <c r="F834" s="60"/>
      <c r="G834" s="14"/>
      <c r="H834" s="12"/>
      <c r="I834" s="12"/>
      <c r="J834" s="12"/>
      <c r="K834" s="12"/>
      <c r="L834" s="44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2"/>
      <c r="BK834" s="12"/>
      <c r="BL834" s="12"/>
    </row>
    <row r="835">
      <c r="A835" s="12"/>
      <c r="B835" s="60"/>
      <c r="C835" s="12"/>
      <c r="D835" s="60"/>
      <c r="E835" s="60"/>
      <c r="F835" s="60"/>
      <c r="G835" s="14"/>
      <c r="H835" s="12"/>
      <c r="I835" s="12"/>
      <c r="J835" s="12"/>
      <c r="K835" s="12"/>
      <c r="L835" s="44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2"/>
      <c r="BK835" s="12"/>
      <c r="BL835" s="12"/>
    </row>
    <row r="836">
      <c r="A836" s="12"/>
      <c r="B836" s="60"/>
      <c r="C836" s="12"/>
      <c r="D836" s="60"/>
      <c r="E836" s="60"/>
      <c r="F836" s="60"/>
      <c r="G836" s="14"/>
      <c r="H836" s="12"/>
      <c r="I836" s="12"/>
      <c r="J836" s="12"/>
      <c r="K836" s="12"/>
      <c r="L836" s="44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2"/>
      <c r="BK836" s="12"/>
      <c r="BL836" s="12"/>
    </row>
    <row r="837">
      <c r="A837" s="12"/>
      <c r="B837" s="60"/>
      <c r="C837" s="12"/>
      <c r="D837" s="60"/>
      <c r="E837" s="60"/>
      <c r="F837" s="60"/>
      <c r="G837" s="14"/>
      <c r="H837" s="12"/>
      <c r="I837" s="12"/>
      <c r="J837" s="12"/>
      <c r="K837" s="12"/>
      <c r="L837" s="44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2"/>
      <c r="BK837" s="12"/>
      <c r="BL837" s="12"/>
    </row>
    <row r="838">
      <c r="A838" s="12"/>
      <c r="B838" s="60"/>
      <c r="C838" s="12"/>
      <c r="D838" s="60"/>
      <c r="E838" s="60"/>
      <c r="F838" s="60"/>
      <c r="G838" s="14"/>
      <c r="H838" s="12"/>
      <c r="I838" s="12"/>
      <c r="J838" s="12"/>
      <c r="K838" s="12"/>
      <c r="L838" s="44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2"/>
      <c r="BK838" s="12"/>
      <c r="BL838" s="12"/>
    </row>
    <row r="839">
      <c r="A839" s="12"/>
      <c r="B839" s="60"/>
      <c r="C839" s="12"/>
      <c r="D839" s="60"/>
      <c r="E839" s="60"/>
      <c r="F839" s="60"/>
      <c r="G839" s="14"/>
      <c r="H839" s="12"/>
      <c r="I839" s="12"/>
      <c r="J839" s="12"/>
      <c r="K839" s="12"/>
      <c r="L839" s="44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2"/>
      <c r="BK839" s="12"/>
      <c r="BL839" s="12"/>
    </row>
    <row r="840">
      <c r="A840" s="12"/>
      <c r="B840" s="60"/>
      <c r="C840" s="12"/>
      <c r="D840" s="60"/>
      <c r="E840" s="60"/>
      <c r="F840" s="60"/>
      <c r="G840" s="14"/>
      <c r="H840" s="12"/>
      <c r="I840" s="12"/>
      <c r="J840" s="12"/>
      <c r="K840" s="12"/>
      <c r="L840" s="44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2"/>
      <c r="BK840" s="12"/>
      <c r="BL840" s="12"/>
    </row>
    <row r="841">
      <c r="A841" s="12"/>
      <c r="B841" s="60"/>
      <c r="C841" s="12"/>
      <c r="D841" s="60"/>
      <c r="E841" s="60"/>
      <c r="F841" s="60"/>
      <c r="G841" s="14"/>
      <c r="H841" s="12"/>
      <c r="I841" s="12"/>
      <c r="J841" s="12"/>
      <c r="K841" s="12"/>
      <c r="L841" s="44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2"/>
      <c r="BK841" s="12"/>
      <c r="BL841" s="12"/>
    </row>
    <row r="842">
      <c r="A842" s="12"/>
      <c r="B842" s="60"/>
      <c r="C842" s="12"/>
      <c r="D842" s="60"/>
      <c r="E842" s="60"/>
      <c r="F842" s="60"/>
      <c r="G842" s="14"/>
      <c r="H842" s="12"/>
      <c r="I842" s="12"/>
      <c r="J842" s="12"/>
      <c r="K842" s="12"/>
      <c r="L842" s="44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2"/>
      <c r="BK842" s="12"/>
      <c r="BL842" s="12"/>
    </row>
    <row r="843">
      <c r="A843" s="12"/>
      <c r="B843" s="60"/>
      <c r="C843" s="12"/>
      <c r="D843" s="60"/>
      <c r="E843" s="60"/>
      <c r="F843" s="60"/>
      <c r="G843" s="14"/>
      <c r="H843" s="12"/>
      <c r="I843" s="12"/>
      <c r="J843" s="12"/>
      <c r="K843" s="12"/>
      <c r="L843" s="44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2"/>
      <c r="BK843" s="12"/>
      <c r="BL843" s="12"/>
    </row>
    <row r="844">
      <c r="A844" s="12"/>
      <c r="B844" s="60"/>
      <c r="C844" s="12"/>
      <c r="D844" s="60"/>
      <c r="E844" s="60"/>
      <c r="F844" s="60"/>
      <c r="G844" s="14"/>
      <c r="H844" s="12"/>
      <c r="I844" s="12"/>
      <c r="J844" s="12"/>
      <c r="K844" s="12"/>
      <c r="L844" s="44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2"/>
      <c r="BK844" s="12"/>
      <c r="BL844" s="12"/>
    </row>
    <row r="845">
      <c r="A845" s="12"/>
      <c r="B845" s="60"/>
      <c r="C845" s="12"/>
      <c r="D845" s="60"/>
      <c r="E845" s="60"/>
      <c r="F845" s="60"/>
      <c r="G845" s="14"/>
      <c r="H845" s="12"/>
      <c r="I845" s="12"/>
      <c r="J845" s="12"/>
      <c r="K845" s="12"/>
      <c r="L845" s="44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2"/>
      <c r="BK845" s="12"/>
      <c r="BL845" s="12"/>
    </row>
    <row r="846">
      <c r="A846" s="12"/>
      <c r="B846" s="60"/>
      <c r="C846" s="12"/>
      <c r="D846" s="60"/>
      <c r="E846" s="60"/>
      <c r="F846" s="60"/>
      <c r="G846" s="14"/>
      <c r="H846" s="12"/>
      <c r="I846" s="12"/>
      <c r="J846" s="12"/>
      <c r="K846" s="12"/>
      <c r="L846" s="44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2"/>
      <c r="BK846" s="12"/>
      <c r="BL846" s="12"/>
    </row>
    <row r="847">
      <c r="A847" s="12"/>
      <c r="B847" s="60"/>
      <c r="C847" s="12"/>
      <c r="D847" s="60"/>
      <c r="E847" s="60"/>
      <c r="F847" s="60"/>
      <c r="G847" s="14"/>
      <c r="H847" s="12"/>
      <c r="I847" s="12"/>
      <c r="J847" s="12"/>
      <c r="K847" s="12"/>
      <c r="L847" s="44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2"/>
      <c r="BK847" s="12"/>
      <c r="BL847" s="12"/>
    </row>
    <row r="848">
      <c r="A848" s="12"/>
      <c r="B848" s="60"/>
      <c r="C848" s="12"/>
      <c r="D848" s="60"/>
      <c r="E848" s="60"/>
      <c r="F848" s="60"/>
      <c r="G848" s="14"/>
      <c r="H848" s="12"/>
      <c r="I848" s="12"/>
      <c r="J848" s="12"/>
      <c r="K848" s="12"/>
      <c r="L848" s="44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2"/>
      <c r="BK848" s="12"/>
      <c r="BL848" s="12"/>
    </row>
    <row r="849">
      <c r="A849" s="12"/>
      <c r="B849" s="60"/>
      <c r="C849" s="12"/>
      <c r="D849" s="60"/>
      <c r="E849" s="60"/>
      <c r="F849" s="60"/>
      <c r="G849" s="14"/>
      <c r="H849" s="12"/>
      <c r="I849" s="12"/>
      <c r="J849" s="12"/>
      <c r="K849" s="12"/>
      <c r="L849" s="44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2"/>
      <c r="BK849" s="12"/>
      <c r="BL849" s="12"/>
    </row>
    <row r="850">
      <c r="A850" s="12"/>
      <c r="B850" s="60"/>
      <c r="C850" s="12"/>
      <c r="D850" s="60"/>
      <c r="E850" s="60"/>
      <c r="F850" s="60"/>
      <c r="G850" s="14"/>
      <c r="H850" s="12"/>
      <c r="I850" s="12"/>
      <c r="J850" s="12"/>
      <c r="K850" s="12"/>
      <c r="L850" s="44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2"/>
      <c r="BK850" s="12"/>
      <c r="BL850" s="12"/>
    </row>
    <row r="851">
      <c r="A851" s="12"/>
      <c r="B851" s="60"/>
      <c r="C851" s="12"/>
      <c r="D851" s="60"/>
      <c r="E851" s="60"/>
      <c r="F851" s="60"/>
      <c r="G851" s="14"/>
      <c r="H851" s="12"/>
      <c r="I851" s="12"/>
      <c r="J851" s="12"/>
      <c r="K851" s="12"/>
      <c r="L851" s="44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2"/>
      <c r="BK851" s="12"/>
      <c r="BL851" s="12"/>
    </row>
    <row r="852">
      <c r="A852" s="12"/>
      <c r="B852" s="60"/>
      <c r="C852" s="12"/>
      <c r="D852" s="60"/>
      <c r="E852" s="60"/>
      <c r="F852" s="60"/>
      <c r="G852" s="14"/>
      <c r="H852" s="12"/>
      <c r="I852" s="12"/>
      <c r="J852" s="12"/>
      <c r="K852" s="12"/>
      <c r="L852" s="44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2"/>
      <c r="BK852" s="12"/>
      <c r="BL852" s="12"/>
    </row>
    <row r="853">
      <c r="A853" s="12"/>
      <c r="B853" s="60"/>
      <c r="C853" s="12"/>
      <c r="D853" s="60"/>
      <c r="E853" s="60"/>
      <c r="F853" s="60"/>
      <c r="G853" s="14"/>
      <c r="H853" s="12"/>
      <c r="I853" s="12"/>
      <c r="J853" s="12"/>
      <c r="K853" s="12"/>
      <c r="L853" s="44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2"/>
      <c r="BK853" s="12"/>
      <c r="BL853" s="12"/>
    </row>
    <row r="854">
      <c r="A854" s="12"/>
      <c r="B854" s="60"/>
      <c r="C854" s="12"/>
      <c r="D854" s="60"/>
      <c r="E854" s="60"/>
      <c r="F854" s="60"/>
      <c r="G854" s="14"/>
      <c r="H854" s="12"/>
      <c r="I854" s="12"/>
      <c r="J854" s="12"/>
      <c r="K854" s="12"/>
      <c r="L854" s="44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2"/>
      <c r="BK854" s="12"/>
      <c r="BL854" s="12"/>
    </row>
    <row r="855">
      <c r="A855" s="12"/>
      <c r="B855" s="60"/>
      <c r="C855" s="12"/>
      <c r="D855" s="60"/>
      <c r="E855" s="60"/>
      <c r="F855" s="60"/>
      <c r="G855" s="14"/>
      <c r="H855" s="12"/>
      <c r="I855" s="12"/>
      <c r="J855" s="12"/>
      <c r="K855" s="12"/>
      <c r="L855" s="44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2"/>
      <c r="BK855" s="12"/>
      <c r="BL855" s="12"/>
    </row>
    <row r="856">
      <c r="A856" s="12"/>
      <c r="B856" s="60"/>
      <c r="C856" s="12"/>
      <c r="D856" s="60"/>
      <c r="E856" s="60"/>
      <c r="F856" s="60"/>
      <c r="G856" s="14"/>
      <c r="H856" s="12"/>
      <c r="I856" s="12"/>
      <c r="J856" s="12"/>
      <c r="K856" s="12"/>
      <c r="L856" s="44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2"/>
      <c r="BK856" s="12"/>
      <c r="BL856" s="12"/>
    </row>
    <row r="857">
      <c r="A857" s="12"/>
      <c r="B857" s="60"/>
      <c r="C857" s="12"/>
      <c r="D857" s="60"/>
      <c r="E857" s="60"/>
      <c r="F857" s="60"/>
      <c r="G857" s="14"/>
      <c r="H857" s="12"/>
      <c r="I857" s="12"/>
      <c r="J857" s="12"/>
      <c r="K857" s="12"/>
      <c r="L857" s="44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2"/>
      <c r="BK857" s="12"/>
      <c r="BL857" s="12"/>
    </row>
    <row r="858">
      <c r="A858" s="12"/>
      <c r="B858" s="60"/>
      <c r="C858" s="12"/>
      <c r="D858" s="60"/>
      <c r="E858" s="60"/>
      <c r="F858" s="60"/>
      <c r="G858" s="14"/>
      <c r="H858" s="12"/>
      <c r="I858" s="12"/>
      <c r="J858" s="12"/>
      <c r="K858" s="12"/>
      <c r="L858" s="44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2"/>
      <c r="BK858" s="12"/>
      <c r="BL858" s="12"/>
    </row>
    <row r="859">
      <c r="A859" s="12"/>
      <c r="B859" s="60"/>
      <c r="C859" s="12"/>
      <c r="D859" s="60"/>
      <c r="E859" s="60"/>
      <c r="F859" s="60"/>
      <c r="G859" s="14"/>
      <c r="H859" s="12"/>
      <c r="I859" s="12"/>
      <c r="J859" s="12"/>
      <c r="K859" s="12"/>
      <c r="L859" s="44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2"/>
      <c r="BK859" s="12"/>
      <c r="BL859" s="12"/>
    </row>
    <row r="860">
      <c r="A860" s="12"/>
      <c r="B860" s="60"/>
      <c r="C860" s="12"/>
      <c r="D860" s="60"/>
      <c r="E860" s="60"/>
      <c r="F860" s="60"/>
      <c r="G860" s="14"/>
      <c r="H860" s="12"/>
      <c r="I860" s="12"/>
      <c r="J860" s="12"/>
      <c r="K860" s="12"/>
      <c r="L860" s="44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2"/>
      <c r="BK860" s="12"/>
      <c r="BL860" s="12"/>
    </row>
    <row r="861">
      <c r="A861" s="12"/>
      <c r="B861" s="60"/>
      <c r="C861" s="12"/>
      <c r="D861" s="60"/>
      <c r="E861" s="60"/>
      <c r="F861" s="60"/>
      <c r="G861" s="14"/>
      <c r="H861" s="12"/>
      <c r="I861" s="12"/>
      <c r="J861" s="12"/>
      <c r="K861" s="12"/>
      <c r="L861" s="44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2"/>
      <c r="BK861" s="12"/>
      <c r="BL861" s="12"/>
    </row>
    <row r="862">
      <c r="A862" s="12"/>
      <c r="B862" s="60"/>
      <c r="C862" s="12"/>
      <c r="D862" s="60"/>
      <c r="E862" s="60"/>
      <c r="F862" s="60"/>
      <c r="G862" s="14"/>
      <c r="H862" s="12"/>
      <c r="I862" s="12"/>
      <c r="J862" s="12"/>
      <c r="K862" s="12"/>
      <c r="L862" s="44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2"/>
      <c r="BK862" s="12"/>
      <c r="BL862" s="12"/>
    </row>
    <row r="863">
      <c r="A863" s="12"/>
      <c r="B863" s="60"/>
      <c r="C863" s="12"/>
      <c r="D863" s="60"/>
      <c r="E863" s="60"/>
      <c r="F863" s="60"/>
      <c r="G863" s="14"/>
      <c r="H863" s="12"/>
      <c r="I863" s="12"/>
      <c r="J863" s="12"/>
      <c r="K863" s="12"/>
      <c r="L863" s="44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2"/>
      <c r="BK863" s="12"/>
      <c r="BL863" s="12"/>
    </row>
    <row r="864">
      <c r="A864" s="12"/>
      <c r="B864" s="60"/>
      <c r="C864" s="12"/>
      <c r="D864" s="60"/>
      <c r="E864" s="60"/>
      <c r="F864" s="60"/>
      <c r="G864" s="14"/>
      <c r="H864" s="12"/>
      <c r="I864" s="12"/>
      <c r="J864" s="12"/>
      <c r="K864" s="12"/>
      <c r="L864" s="44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2"/>
      <c r="BK864" s="12"/>
      <c r="BL864" s="12"/>
    </row>
    <row r="865">
      <c r="A865" s="12"/>
      <c r="B865" s="60"/>
      <c r="C865" s="12"/>
      <c r="D865" s="60"/>
      <c r="E865" s="60"/>
      <c r="F865" s="60"/>
      <c r="G865" s="14"/>
      <c r="H865" s="12"/>
      <c r="I865" s="12"/>
      <c r="J865" s="12"/>
      <c r="K865" s="12"/>
      <c r="L865" s="44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2"/>
      <c r="BK865" s="12"/>
      <c r="BL865" s="12"/>
    </row>
    <row r="866">
      <c r="A866" s="12"/>
      <c r="B866" s="60"/>
      <c r="C866" s="12"/>
      <c r="D866" s="60"/>
      <c r="E866" s="60"/>
      <c r="F866" s="60"/>
      <c r="G866" s="14"/>
      <c r="H866" s="12"/>
      <c r="I866" s="12"/>
      <c r="J866" s="12"/>
      <c r="K866" s="12"/>
      <c r="L866" s="44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2"/>
      <c r="BK866" s="12"/>
      <c r="BL866" s="12"/>
    </row>
    <row r="867">
      <c r="A867" s="12"/>
      <c r="B867" s="60"/>
      <c r="C867" s="12"/>
      <c r="D867" s="60"/>
      <c r="E867" s="60"/>
      <c r="F867" s="60"/>
      <c r="G867" s="14"/>
      <c r="H867" s="12"/>
      <c r="I867" s="12"/>
      <c r="J867" s="12"/>
      <c r="K867" s="12"/>
      <c r="L867" s="44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2"/>
      <c r="BK867" s="12"/>
      <c r="BL867" s="12"/>
    </row>
    <row r="868">
      <c r="A868" s="12"/>
      <c r="B868" s="60"/>
      <c r="C868" s="12"/>
      <c r="D868" s="60"/>
      <c r="E868" s="60"/>
      <c r="F868" s="60"/>
      <c r="G868" s="14"/>
      <c r="H868" s="12"/>
      <c r="I868" s="12"/>
      <c r="J868" s="12"/>
      <c r="K868" s="12"/>
      <c r="L868" s="44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2"/>
      <c r="BK868" s="12"/>
      <c r="BL868" s="12"/>
    </row>
    <row r="869">
      <c r="A869" s="12"/>
      <c r="B869" s="60"/>
      <c r="C869" s="12"/>
      <c r="D869" s="60"/>
      <c r="E869" s="60"/>
      <c r="F869" s="60"/>
      <c r="G869" s="14"/>
      <c r="H869" s="12"/>
      <c r="I869" s="12"/>
      <c r="J869" s="12"/>
      <c r="K869" s="12"/>
      <c r="L869" s="44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2"/>
      <c r="BK869" s="12"/>
      <c r="BL869" s="12"/>
    </row>
    <row r="870">
      <c r="A870" s="12"/>
      <c r="B870" s="60"/>
      <c r="C870" s="12"/>
      <c r="D870" s="60"/>
      <c r="E870" s="60"/>
      <c r="F870" s="60"/>
      <c r="G870" s="14"/>
      <c r="H870" s="12"/>
      <c r="I870" s="12"/>
      <c r="J870" s="12"/>
      <c r="K870" s="12"/>
      <c r="L870" s="44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2"/>
      <c r="BK870" s="12"/>
      <c r="BL870" s="12"/>
    </row>
    <row r="871">
      <c r="A871" s="12"/>
      <c r="B871" s="60"/>
      <c r="C871" s="12"/>
      <c r="D871" s="60"/>
      <c r="E871" s="60"/>
      <c r="F871" s="60"/>
      <c r="G871" s="14"/>
      <c r="H871" s="12"/>
      <c r="I871" s="12"/>
      <c r="J871" s="12"/>
      <c r="K871" s="12"/>
      <c r="L871" s="44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2"/>
      <c r="BK871" s="12"/>
      <c r="BL871" s="12"/>
    </row>
    <row r="872">
      <c r="A872" s="12"/>
      <c r="B872" s="60"/>
      <c r="C872" s="12"/>
      <c r="D872" s="60"/>
      <c r="E872" s="60"/>
      <c r="F872" s="60"/>
      <c r="G872" s="14"/>
      <c r="H872" s="12"/>
      <c r="I872" s="12"/>
      <c r="J872" s="12"/>
      <c r="K872" s="12"/>
      <c r="L872" s="44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2"/>
      <c r="BK872" s="12"/>
      <c r="BL872" s="12"/>
    </row>
    <row r="873">
      <c r="A873" s="12"/>
      <c r="B873" s="60"/>
      <c r="C873" s="12"/>
      <c r="D873" s="60"/>
      <c r="E873" s="60"/>
      <c r="F873" s="60"/>
      <c r="G873" s="14"/>
      <c r="H873" s="12"/>
      <c r="I873" s="12"/>
      <c r="J873" s="12"/>
      <c r="K873" s="12"/>
      <c r="L873" s="44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2"/>
      <c r="BK873" s="12"/>
      <c r="BL873" s="12"/>
    </row>
    <row r="874">
      <c r="A874" s="12"/>
      <c r="B874" s="60"/>
      <c r="C874" s="12"/>
      <c r="D874" s="60"/>
      <c r="E874" s="60"/>
      <c r="F874" s="60"/>
      <c r="G874" s="14"/>
      <c r="H874" s="12"/>
      <c r="I874" s="12"/>
      <c r="J874" s="12"/>
      <c r="K874" s="12"/>
      <c r="L874" s="44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2"/>
      <c r="BK874" s="12"/>
      <c r="BL874" s="12"/>
    </row>
    <row r="875">
      <c r="A875" s="12"/>
      <c r="B875" s="60"/>
      <c r="C875" s="12"/>
      <c r="D875" s="60"/>
      <c r="E875" s="60"/>
      <c r="F875" s="60"/>
      <c r="G875" s="14"/>
      <c r="H875" s="12"/>
      <c r="I875" s="12"/>
      <c r="J875" s="12"/>
      <c r="K875" s="12"/>
      <c r="L875" s="44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2"/>
      <c r="BK875" s="12"/>
      <c r="BL875" s="12"/>
    </row>
    <row r="876">
      <c r="A876" s="12"/>
      <c r="B876" s="60"/>
      <c r="C876" s="12"/>
      <c r="D876" s="60"/>
      <c r="E876" s="60"/>
      <c r="F876" s="60"/>
      <c r="G876" s="14"/>
      <c r="H876" s="12"/>
      <c r="I876" s="12"/>
      <c r="J876" s="12"/>
      <c r="K876" s="12"/>
      <c r="L876" s="44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2"/>
      <c r="BK876" s="12"/>
      <c r="BL876" s="12"/>
    </row>
    <row r="877">
      <c r="A877" s="12"/>
      <c r="B877" s="60"/>
      <c r="C877" s="12"/>
      <c r="D877" s="60"/>
      <c r="E877" s="60"/>
      <c r="F877" s="60"/>
      <c r="G877" s="14"/>
      <c r="H877" s="12"/>
      <c r="I877" s="12"/>
      <c r="J877" s="12"/>
      <c r="K877" s="12"/>
      <c r="L877" s="44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2"/>
      <c r="BK877" s="12"/>
      <c r="BL877" s="12"/>
    </row>
    <row r="878">
      <c r="A878" s="12"/>
      <c r="B878" s="60"/>
      <c r="C878" s="12"/>
      <c r="D878" s="60"/>
      <c r="E878" s="60"/>
      <c r="F878" s="60"/>
      <c r="G878" s="14"/>
      <c r="H878" s="12"/>
      <c r="I878" s="12"/>
      <c r="J878" s="12"/>
      <c r="K878" s="12"/>
      <c r="L878" s="44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2"/>
      <c r="BK878" s="12"/>
      <c r="BL878" s="12"/>
    </row>
    <row r="879">
      <c r="A879" s="12"/>
      <c r="B879" s="60"/>
      <c r="C879" s="12"/>
      <c r="D879" s="60"/>
      <c r="E879" s="60"/>
      <c r="F879" s="60"/>
      <c r="G879" s="14"/>
      <c r="H879" s="12"/>
      <c r="I879" s="12"/>
      <c r="J879" s="12"/>
      <c r="K879" s="12"/>
      <c r="L879" s="44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2"/>
      <c r="BK879" s="12"/>
      <c r="BL879" s="12"/>
    </row>
    <row r="880">
      <c r="A880" s="12"/>
      <c r="B880" s="60"/>
      <c r="C880" s="12"/>
      <c r="D880" s="60"/>
      <c r="E880" s="60"/>
      <c r="F880" s="60"/>
      <c r="G880" s="14"/>
      <c r="H880" s="12"/>
      <c r="I880" s="12"/>
      <c r="J880" s="12"/>
      <c r="K880" s="12"/>
      <c r="L880" s="44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2"/>
      <c r="BK880" s="12"/>
      <c r="BL880" s="12"/>
    </row>
    <row r="881">
      <c r="A881" s="12"/>
      <c r="B881" s="60"/>
      <c r="C881" s="12"/>
      <c r="D881" s="60"/>
      <c r="E881" s="60"/>
      <c r="F881" s="60"/>
      <c r="G881" s="14"/>
      <c r="H881" s="12"/>
      <c r="I881" s="12"/>
      <c r="J881" s="12"/>
      <c r="K881" s="12"/>
      <c r="L881" s="44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2"/>
      <c r="BK881" s="12"/>
      <c r="BL881" s="12"/>
    </row>
    <row r="882">
      <c r="A882" s="12"/>
      <c r="B882" s="60"/>
      <c r="C882" s="12"/>
      <c r="D882" s="60"/>
      <c r="E882" s="60"/>
      <c r="F882" s="60"/>
      <c r="G882" s="14"/>
      <c r="H882" s="12"/>
      <c r="I882" s="12"/>
      <c r="J882" s="12"/>
      <c r="K882" s="12"/>
      <c r="L882" s="44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2"/>
      <c r="BK882" s="12"/>
      <c r="BL882" s="12"/>
    </row>
    <row r="883">
      <c r="A883" s="12"/>
      <c r="B883" s="60"/>
      <c r="C883" s="12"/>
      <c r="D883" s="60"/>
      <c r="E883" s="60"/>
      <c r="F883" s="60"/>
      <c r="G883" s="14"/>
      <c r="H883" s="12"/>
      <c r="I883" s="12"/>
      <c r="J883" s="12"/>
      <c r="K883" s="12"/>
      <c r="L883" s="44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2"/>
      <c r="BK883" s="12"/>
      <c r="BL883" s="12"/>
    </row>
    <row r="884">
      <c r="A884" s="12"/>
      <c r="B884" s="60"/>
      <c r="C884" s="12"/>
      <c r="D884" s="60"/>
      <c r="E884" s="60"/>
      <c r="F884" s="60"/>
      <c r="G884" s="14"/>
      <c r="H884" s="12"/>
      <c r="I884" s="12"/>
      <c r="J884" s="12"/>
      <c r="K884" s="12"/>
      <c r="L884" s="44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2"/>
      <c r="BK884" s="12"/>
      <c r="BL884" s="12"/>
    </row>
    <row r="885">
      <c r="A885" s="12"/>
      <c r="B885" s="60"/>
      <c r="C885" s="12"/>
      <c r="D885" s="60"/>
      <c r="E885" s="60"/>
      <c r="F885" s="60"/>
      <c r="G885" s="14"/>
      <c r="H885" s="12"/>
      <c r="I885" s="12"/>
      <c r="J885" s="12"/>
      <c r="K885" s="12"/>
      <c r="L885" s="44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2"/>
      <c r="BK885" s="12"/>
      <c r="BL885" s="12"/>
    </row>
    <row r="886">
      <c r="A886" s="12"/>
      <c r="B886" s="60"/>
      <c r="C886" s="12"/>
      <c r="D886" s="60"/>
      <c r="E886" s="60"/>
      <c r="F886" s="60"/>
      <c r="G886" s="14"/>
      <c r="H886" s="12"/>
      <c r="I886" s="12"/>
      <c r="J886" s="12"/>
      <c r="K886" s="12"/>
      <c r="L886" s="44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2"/>
      <c r="BK886" s="12"/>
      <c r="BL886" s="12"/>
    </row>
    <row r="887">
      <c r="A887" s="12"/>
      <c r="B887" s="60"/>
      <c r="C887" s="12"/>
      <c r="D887" s="60"/>
      <c r="E887" s="60"/>
      <c r="F887" s="60"/>
      <c r="G887" s="14"/>
      <c r="H887" s="12"/>
      <c r="I887" s="12"/>
      <c r="J887" s="12"/>
      <c r="K887" s="12"/>
      <c r="L887" s="44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2"/>
      <c r="BK887" s="12"/>
      <c r="BL887" s="12"/>
    </row>
    <row r="888">
      <c r="A888" s="12"/>
      <c r="B888" s="60"/>
      <c r="C888" s="12"/>
      <c r="D888" s="60"/>
      <c r="E888" s="60"/>
      <c r="F888" s="60"/>
      <c r="G888" s="14"/>
      <c r="H888" s="12"/>
      <c r="I888" s="12"/>
      <c r="J888" s="12"/>
      <c r="K888" s="12"/>
      <c r="L888" s="44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2"/>
      <c r="BK888" s="12"/>
      <c r="BL888" s="12"/>
    </row>
    <row r="889">
      <c r="A889" s="12"/>
      <c r="B889" s="60"/>
      <c r="C889" s="12"/>
      <c r="D889" s="60"/>
      <c r="E889" s="60"/>
      <c r="F889" s="60"/>
      <c r="G889" s="14"/>
      <c r="H889" s="12"/>
      <c r="I889" s="12"/>
      <c r="J889" s="12"/>
      <c r="K889" s="12"/>
      <c r="L889" s="44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2"/>
      <c r="BK889" s="12"/>
      <c r="BL889" s="12"/>
    </row>
    <row r="890">
      <c r="A890" s="12"/>
      <c r="B890" s="60"/>
      <c r="C890" s="12"/>
      <c r="D890" s="60"/>
      <c r="E890" s="60"/>
      <c r="F890" s="60"/>
      <c r="G890" s="14"/>
      <c r="H890" s="12"/>
      <c r="I890" s="12"/>
      <c r="J890" s="12"/>
      <c r="K890" s="12"/>
      <c r="L890" s="44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2"/>
      <c r="BK890" s="12"/>
      <c r="BL890" s="12"/>
    </row>
    <row r="891">
      <c r="A891" s="12"/>
      <c r="B891" s="60"/>
      <c r="C891" s="12"/>
      <c r="D891" s="60"/>
      <c r="E891" s="60"/>
      <c r="F891" s="60"/>
      <c r="G891" s="14"/>
      <c r="H891" s="12"/>
      <c r="I891" s="12"/>
      <c r="J891" s="12"/>
      <c r="K891" s="12"/>
      <c r="L891" s="44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2"/>
      <c r="BK891" s="12"/>
      <c r="BL891" s="12"/>
    </row>
    <row r="892">
      <c r="A892" s="12"/>
      <c r="B892" s="60"/>
      <c r="C892" s="12"/>
      <c r="D892" s="60"/>
      <c r="E892" s="60"/>
      <c r="F892" s="60"/>
      <c r="G892" s="14"/>
      <c r="H892" s="12"/>
      <c r="I892" s="12"/>
      <c r="J892" s="12"/>
      <c r="K892" s="12"/>
      <c r="L892" s="44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2"/>
      <c r="BK892" s="12"/>
      <c r="BL892" s="12"/>
    </row>
    <row r="893">
      <c r="A893" s="12"/>
      <c r="B893" s="60"/>
      <c r="C893" s="12"/>
      <c r="D893" s="60"/>
      <c r="E893" s="60"/>
      <c r="F893" s="60"/>
      <c r="G893" s="14"/>
      <c r="H893" s="12"/>
      <c r="I893" s="12"/>
      <c r="J893" s="12"/>
      <c r="K893" s="12"/>
      <c r="L893" s="44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2"/>
      <c r="BK893" s="12"/>
      <c r="BL893" s="12"/>
    </row>
    <row r="894">
      <c r="A894" s="12"/>
      <c r="B894" s="60"/>
      <c r="C894" s="12"/>
      <c r="D894" s="60"/>
      <c r="E894" s="60"/>
      <c r="F894" s="60"/>
      <c r="G894" s="14"/>
      <c r="H894" s="12"/>
      <c r="I894" s="12"/>
      <c r="J894" s="12"/>
      <c r="K894" s="12"/>
      <c r="L894" s="44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2"/>
      <c r="BK894" s="12"/>
      <c r="BL894" s="12"/>
    </row>
    <row r="895">
      <c r="A895" s="12"/>
      <c r="B895" s="60"/>
      <c r="C895" s="12"/>
      <c r="D895" s="60"/>
      <c r="E895" s="60"/>
      <c r="F895" s="60"/>
      <c r="G895" s="14"/>
      <c r="H895" s="12"/>
      <c r="I895" s="12"/>
      <c r="J895" s="12"/>
      <c r="K895" s="12"/>
      <c r="L895" s="44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2"/>
      <c r="BK895" s="12"/>
      <c r="BL895" s="12"/>
    </row>
  </sheetData>
  <autoFilter ref="$A$2:$BL$359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37.25"/>
    <col customWidth="1" min="3" max="3" width="11.25"/>
    <col customWidth="1" min="4" max="4" width="20.63"/>
    <col customWidth="1" min="5" max="5" width="14.88"/>
    <col customWidth="1" min="6" max="6" width="46.13"/>
    <col customWidth="1" min="7" max="7" width="13.0"/>
    <col customWidth="1" min="8" max="8" width="7.0"/>
    <col customWidth="1" min="9" max="9" width="6.13"/>
    <col customWidth="1" min="10" max="10" width="6.88"/>
    <col customWidth="1" min="11" max="11" width="15.13"/>
    <col customWidth="1" min="12" max="12" width="13.63"/>
    <col customWidth="1" min="13" max="13" width="7.5"/>
    <col customWidth="1" min="14" max="14" width="7.88"/>
    <col customWidth="1" min="55" max="55" width="15.25"/>
    <col customWidth="1" min="65" max="65" width="21.25"/>
    <col customWidth="1" min="66" max="66" width="25.0"/>
    <col customWidth="1" min="67" max="78" width="21.25"/>
  </cols>
  <sheetData>
    <row r="1" ht="33.75" customHeight="1">
      <c r="A1" s="62" t="s">
        <v>3582</v>
      </c>
      <c r="B1" s="63" t="s">
        <v>2</v>
      </c>
      <c r="C1" s="63" t="s">
        <v>3</v>
      </c>
      <c r="D1" s="62" t="s">
        <v>4</v>
      </c>
      <c r="E1" s="62" t="s">
        <v>5</v>
      </c>
      <c r="F1" s="62" t="s">
        <v>6</v>
      </c>
      <c r="G1" s="62" t="s">
        <v>3583</v>
      </c>
      <c r="H1" s="63" t="s">
        <v>8</v>
      </c>
      <c r="I1" s="63" t="s">
        <v>9</v>
      </c>
      <c r="J1" s="63" t="s">
        <v>10</v>
      </c>
      <c r="K1" s="63" t="s">
        <v>11</v>
      </c>
      <c r="L1" s="62" t="s">
        <v>12</v>
      </c>
      <c r="M1" s="62" t="s">
        <v>13</v>
      </c>
      <c r="N1" s="62" t="s">
        <v>14</v>
      </c>
      <c r="O1" s="62">
        <v>7.0</v>
      </c>
      <c r="P1" s="62">
        <v>8.0</v>
      </c>
      <c r="Q1" s="62">
        <v>9.0</v>
      </c>
      <c r="R1" s="62">
        <v>10.0</v>
      </c>
      <c r="S1" s="62">
        <v>11.0</v>
      </c>
      <c r="T1" s="62">
        <v>12.0</v>
      </c>
      <c r="U1" s="62">
        <v>1.0</v>
      </c>
      <c r="V1" s="62">
        <v>2.0</v>
      </c>
      <c r="W1" s="62">
        <v>3.0</v>
      </c>
      <c r="X1" s="62">
        <v>4.0</v>
      </c>
      <c r="Y1" s="62">
        <v>5.0</v>
      </c>
      <c r="Z1" s="62">
        <v>6.0</v>
      </c>
      <c r="AA1" s="62" t="s">
        <v>15</v>
      </c>
      <c r="AB1" s="62" t="s">
        <v>16</v>
      </c>
      <c r="AC1" s="62">
        <v>7.0</v>
      </c>
      <c r="AD1" s="62">
        <v>8.0</v>
      </c>
      <c r="AE1" s="62">
        <v>9.0</v>
      </c>
      <c r="AF1" s="62">
        <v>10.0</v>
      </c>
      <c r="AG1" s="62">
        <v>11.0</v>
      </c>
      <c r="AH1" s="62">
        <v>12.0</v>
      </c>
      <c r="AI1" s="62">
        <v>1.0</v>
      </c>
      <c r="AJ1" s="62">
        <v>2.0</v>
      </c>
      <c r="AK1" s="62">
        <v>3.0</v>
      </c>
      <c r="AL1" s="62">
        <v>4.0</v>
      </c>
      <c r="AM1" s="62">
        <v>5.0</v>
      </c>
      <c r="AN1" s="62">
        <v>6.0</v>
      </c>
      <c r="AO1" s="62" t="s">
        <v>17</v>
      </c>
      <c r="AP1" s="62" t="s">
        <v>18</v>
      </c>
      <c r="AQ1" s="62">
        <v>7.0</v>
      </c>
      <c r="AR1" s="62">
        <v>8.0</v>
      </c>
      <c r="AS1" s="62">
        <v>9.0</v>
      </c>
      <c r="AT1" s="62">
        <v>10.0</v>
      </c>
      <c r="AU1" s="62">
        <v>11.0</v>
      </c>
      <c r="AV1" s="62">
        <v>12.0</v>
      </c>
      <c r="AW1" s="62">
        <v>1.0</v>
      </c>
      <c r="AX1" s="62">
        <v>2.0</v>
      </c>
      <c r="AY1" s="62">
        <v>3.0</v>
      </c>
      <c r="AZ1" s="62">
        <v>4.0</v>
      </c>
      <c r="BA1" s="62">
        <v>5.0</v>
      </c>
      <c r="BB1" s="62">
        <v>6.0</v>
      </c>
      <c r="BC1" s="62" t="s">
        <v>19</v>
      </c>
      <c r="BD1" s="62" t="s">
        <v>20</v>
      </c>
      <c r="BE1" s="62" t="s">
        <v>21</v>
      </c>
      <c r="BF1" s="62" t="s">
        <v>22</v>
      </c>
      <c r="BG1" s="62" t="s">
        <v>23</v>
      </c>
      <c r="BH1" s="62" t="s">
        <v>24</v>
      </c>
      <c r="BI1" s="62" t="s">
        <v>25</v>
      </c>
      <c r="BJ1" s="62" t="s">
        <v>8</v>
      </c>
      <c r="BK1" s="62" t="s">
        <v>9</v>
      </c>
      <c r="BL1" s="64" t="s">
        <v>3584</v>
      </c>
      <c r="BM1" s="65" t="s">
        <v>3585</v>
      </c>
      <c r="BN1" s="62" t="s">
        <v>3586</v>
      </c>
      <c r="BO1" s="62" t="s">
        <v>3587</v>
      </c>
      <c r="BP1" s="62"/>
      <c r="BQ1" s="62"/>
      <c r="BR1" s="62"/>
      <c r="BS1" s="62"/>
      <c r="BT1" s="62"/>
      <c r="BU1" s="62"/>
      <c r="BV1" s="62"/>
      <c r="BW1" s="62"/>
      <c r="BX1" s="62"/>
      <c r="BY1" s="62"/>
      <c r="BZ1" s="62"/>
    </row>
    <row r="2">
      <c r="A2" s="66">
        <v>1.0</v>
      </c>
      <c r="B2" s="67" t="s">
        <v>3588</v>
      </c>
      <c r="C2" s="68">
        <v>2.024070537E9</v>
      </c>
      <c r="D2" s="67" t="s">
        <v>2496</v>
      </c>
      <c r="E2" s="67" t="s">
        <v>3589</v>
      </c>
      <c r="F2" s="67" t="s">
        <v>3590</v>
      </c>
      <c r="G2" s="66" t="s">
        <v>1917</v>
      </c>
      <c r="H2" s="68" t="s">
        <v>1527</v>
      </c>
      <c r="I2" s="69" t="s">
        <v>3334</v>
      </c>
      <c r="J2" s="66">
        <v>3.0</v>
      </c>
      <c r="K2" s="66" t="s">
        <v>2413</v>
      </c>
      <c r="L2" s="70" t="s">
        <v>3591</v>
      </c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>
        <v>500000.0</v>
      </c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>
        <v>500000.0</v>
      </c>
      <c r="AQ2" s="71"/>
      <c r="AR2" s="71"/>
      <c r="AS2" s="71"/>
      <c r="AT2" s="71"/>
      <c r="AU2" s="71"/>
      <c r="AV2" s="71"/>
      <c r="AW2" s="71"/>
      <c r="AX2" s="71"/>
      <c r="AY2" s="71"/>
      <c r="AZ2" s="71"/>
      <c r="BA2" s="71"/>
      <c r="BB2" s="71"/>
      <c r="BC2" s="71">
        <f t="shared" ref="BC2:BC7" si="2">SUM(O2:Z2)+SUM(AC2:AN2)+SUM(AQ2:BB2)</f>
        <v>0</v>
      </c>
      <c r="BD2" s="71">
        <f t="shared" ref="BD2:BD7" si="3">M2+AB2+AP2</f>
        <v>1000000</v>
      </c>
      <c r="BE2" s="71">
        <f t="shared" ref="BE2:BE7" si="4">AA2+AO2</f>
        <v>0</v>
      </c>
      <c r="BF2" s="71">
        <f t="shared" ref="BF2:BF7" si="5">BC2+BD2+BE2</f>
        <v>1000000</v>
      </c>
      <c r="BG2" s="67"/>
      <c r="BH2" s="67"/>
      <c r="BI2" s="67"/>
      <c r="BJ2" s="68" t="str">
        <f t="shared" ref="BJ2:BK2" si="1">H2</f>
        <v>E</v>
      </c>
      <c r="BK2" s="68" t="str">
        <f t="shared" si="1"/>
        <v>E-9</v>
      </c>
      <c r="BL2" s="72">
        <v>680000.0</v>
      </c>
      <c r="BM2" s="73">
        <v>45839.0</v>
      </c>
      <c r="BN2" s="74" t="str">
        <f t="shared" ref="BN2:BN134" si="6">IF(BJ2="A","Dr. Abdulloh Faqih, S.Ag., M.Ag.",IF(BJ2="B","Dra. Hj. Khotimah Suryani",IF(BJ2="C","Hj. Shofijah",IF(BJ2="D","Hj. Zaenab",IF(BJ2="E","Dra. Hj. Siti Aisyah",IF(BJ2="F","Hj. Siti Djamilah","Lainnya"))))))</f>
        <v>Dra. Hj. Siti Aisyah</v>
      </c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</row>
    <row r="3">
      <c r="A3" s="66">
        <v>2.0</v>
      </c>
      <c r="B3" s="75" t="s">
        <v>3592</v>
      </c>
      <c r="C3" s="69">
        <v>2.025070645E9</v>
      </c>
      <c r="D3" s="67" t="s">
        <v>3593</v>
      </c>
      <c r="E3" s="67" t="s">
        <v>3594</v>
      </c>
      <c r="F3" s="67" t="s">
        <v>3595</v>
      </c>
      <c r="G3" s="66" t="s">
        <v>82</v>
      </c>
      <c r="H3" s="69" t="s">
        <v>1392</v>
      </c>
      <c r="I3" s="69" t="s">
        <v>1399</v>
      </c>
      <c r="J3" s="66">
        <v>2.0</v>
      </c>
      <c r="K3" s="69" t="s">
        <v>227</v>
      </c>
      <c r="L3" s="76" t="s">
        <v>3596</v>
      </c>
      <c r="M3" s="71">
        <v>600000.0</v>
      </c>
      <c r="N3" s="71"/>
      <c r="O3" s="71"/>
      <c r="P3" s="71">
        <v>450000.0</v>
      </c>
      <c r="Q3" s="71">
        <v>450000.0</v>
      </c>
      <c r="R3" s="71">
        <v>450000.0</v>
      </c>
      <c r="S3" s="71">
        <v>450000.0</v>
      </c>
      <c r="T3" s="71">
        <v>450000.0</v>
      </c>
      <c r="U3" s="71">
        <v>450000.0</v>
      </c>
      <c r="V3" s="71">
        <v>450000.0</v>
      </c>
      <c r="W3" s="71">
        <v>450000.0</v>
      </c>
      <c r="X3" s="71">
        <v>450000.0</v>
      </c>
      <c r="Y3" s="71">
        <v>450000.0</v>
      </c>
      <c r="Z3" s="71">
        <v>450000.0</v>
      </c>
      <c r="AA3" s="71"/>
      <c r="AB3" s="71">
        <v>500000.0</v>
      </c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>
        <v>500000.0</v>
      </c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>
        <f t="shared" si="2"/>
        <v>4950000</v>
      </c>
      <c r="BD3" s="71">
        <f t="shared" si="3"/>
        <v>1600000</v>
      </c>
      <c r="BE3" s="71">
        <f t="shared" si="4"/>
        <v>0</v>
      </c>
      <c r="BF3" s="71">
        <f t="shared" si="5"/>
        <v>6550000</v>
      </c>
      <c r="BG3" s="67"/>
      <c r="BH3" s="67"/>
      <c r="BI3" s="67"/>
      <c r="BJ3" s="68" t="s">
        <v>1392</v>
      </c>
      <c r="BK3" s="68" t="s">
        <v>1399</v>
      </c>
      <c r="BL3" s="72">
        <v>460000.0</v>
      </c>
      <c r="BM3" s="73"/>
      <c r="BN3" s="74" t="str">
        <f t="shared" si="6"/>
        <v>Hj. Zaenab</v>
      </c>
      <c r="BO3" s="74"/>
      <c r="BP3" s="74"/>
      <c r="BQ3" s="74"/>
      <c r="BR3" s="74"/>
      <c r="BS3" s="74"/>
      <c r="BT3" s="74"/>
      <c r="BU3" s="74"/>
      <c r="BV3" s="74"/>
      <c r="BW3" s="74"/>
      <c r="BX3" s="74"/>
      <c r="BY3" s="74"/>
      <c r="BZ3" s="74"/>
    </row>
    <row r="4">
      <c r="A4" s="66">
        <v>3.0</v>
      </c>
      <c r="B4" s="75" t="s">
        <v>3597</v>
      </c>
      <c r="C4" s="69">
        <v>2.025070647E9</v>
      </c>
      <c r="D4" s="67" t="s">
        <v>3598</v>
      </c>
      <c r="E4" s="67" t="s">
        <v>3599</v>
      </c>
      <c r="F4" s="67" t="s">
        <v>3600</v>
      </c>
      <c r="G4" s="66" t="s">
        <v>82</v>
      </c>
      <c r="H4" s="69" t="s">
        <v>1392</v>
      </c>
      <c r="I4" s="69" t="s">
        <v>1399</v>
      </c>
      <c r="J4" s="66">
        <v>2.0</v>
      </c>
      <c r="K4" s="66" t="s">
        <v>609</v>
      </c>
      <c r="L4" s="76" t="s">
        <v>3601</v>
      </c>
      <c r="M4" s="71">
        <v>495000.0</v>
      </c>
      <c r="N4" s="71"/>
      <c r="O4" s="71"/>
      <c r="P4" s="71">
        <v>450000.0</v>
      </c>
      <c r="Q4" s="71">
        <v>450000.0</v>
      </c>
      <c r="R4" s="71">
        <v>450000.0</v>
      </c>
      <c r="S4" s="71">
        <v>450000.0</v>
      </c>
      <c r="T4" s="71">
        <v>450000.0</v>
      </c>
      <c r="U4" s="71">
        <v>450000.0</v>
      </c>
      <c r="V4" s="71">
        <v>450000.0</v>
      </c>
      <c r="W4" s="71">
        <v>450000.0</v>
      </c>
      <c r="X4" s="71">
        <v>450000.0</v>
      </c>
      <c r="Y4" s="71">
        <v>450000.0</v>
      </c>
      <c r="Z4" s="71">
        <v>450000.0</v>
      </c>
      <c r="AA4" s="71"/>
      <c r="AB4" s="71">
        <v>500000.0</v>
      </c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>
        <v>500000.0</v>
      </c>
      <c r="AQ4" s="71"/>
      <c r="AR4" s="71"/>
      <c r="AS4" s="71"/>
      <c r="AT4" s="71"/>
      <c r="AU4" s="71"/>
      <c r="AV4" s="71"/>
      <c r="AW4" s="71"/>
      <c r="AX4" s="71"/>
      <c r="AY4" s="71"/>
      <c r="AZ4" s="71"/>
      <c r="BA4" s="71"/>
      <c r="BB4" s="71"/>
      <c r="BC4" s="71">
        <f t="shared" si="2"/>
        <v>4950000</v>
      </c>
      <c r="BD4" s="71">
        <f t="shared" si="3"/>
        <v>1495000</v>
      </c>
      <c r="BE4" s="71">
        <f t="shared" si="4"/>
        <v>0</v>
      </c>
      <c r="BF4" s="71">
        <f t="shared" si="5"/>
        <v>6445000</v>
      </c>
      <c r="BG4" s="67"/>
      <c r="BH4" s="67"/>
      <c r="BI4" s="67"/>
      <c r="BJ4" s="68" t="s">
        <v>1392</v>
      </c>
      <c r="BK4" s="68" t="s">
        <v>1399</v>
      </c>
      <c r="BL4" s="72">
        <v>460000.0</v>
      </c>
      <c r="BM4" s="73"/>
      <c r="BN4" s="74" t="str">
        <f t="shared" si="6"/>
        <v>Hj. Zaenab</v>
      </c>
      <c r="BO4" s="74"/>
      <c r="BP4" s="74"/>
      <c r="BQ4" s="74"/>
      <c r="BR4" s="74"/>
      <c r="BS4" s="74"/>
      <c r="BT4" s="74"/>
      <c r="BU4" s="74"/>
      <c r="BV4" s="74"/>
      <c r="BW4" s="74"/>
      <c r="BX4" s="74"/>
      <c r="BY4" s="74"/>
      <c r="BZ4" s="74"/>
    </row>
    <row r="5">
      <c r="A5" s="66">
        <v>4.0</v>
      </c>
      <c r="B5" s="67" t="s">
        <v>3602</v>
      </c>
      <c r="C5" s="68">
        <v>2.024070745E9</v>
      </c>
      <c r="D5" s="67" t="s">
        <v>1807</v>
      </c>
      <c r="E5" s="67" t="s">
        <v>1808</v>
      </c>
      <c r="F5" s="67" t="s">
        <v>1809</v>
      </c>
      <c r="G5" s="66" t="s">
        <v>2049</v>
      </c>
      <c r="H5" s="68" t="s">
        <v>34</v>
      </c>
      <c r="I5" s="69" t="s">
        <v>1891</v>
      </c>
      <c r="J5" s="66">
        <v>3.0</v>
      </c>
      <c r="K5" s="66" t="s">
        <v>1885</v>
      </c>
      <c r="L5" s="70" t="s">
        <v>3603</v>
      </c>
      <c r="M5" s="71">
        <v>600000.0</v>
      </c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>
        <v>500000.0</v>
      </c>
      <c r="AC5" s="71">
        <v>450000.0</v>
      </c>
      <c r="AD5" s="71">
        <v>450000.0</v>
      </c>
      <c r="AE5" s="71">
        <v>450000.0</v>
      </c>
      <c r="AF5" s="71">
        <v>450000.0</v>
      </c>
      <c r="AG5" s="71">
        <v>450000.0</v>
      </c>
      <c r="AH5" s="71">
        <v>450000.0</v>
      </c>
      <c r="AI5" s="71">
        <v>450000.0</v>
      </c>
      <c r="AJ5" s="71">
        <v>450000.0</v>
      </c>
      <c r="AK5" s="71">
        <v>450000.0</v>
      </c>
      <c r="AL5" s="71">
        <v>450000.0</v>
      </c>
      <c r="AM5" s="71">
        <v>450000.0</v>
      </c>
      <c r="AN5" s="71">
        <v>450000.0</v>
      </c>
      <c r="AO5" s="71"/>
      <c r="AP5" s="71">
        <v>500000.0</v>
      </c>
      <c r="AQ5" s="71"/>
      <c r="AR5" s="71"/>
      <c r="AS5" s="71"/>
      <c r="AT5" s="71"/>
      <c r="AU5" s="71"/>
      <c r="AV5" s="71"/>
      <c r="AW5" s="71"/>
      <c r="AX5" s="71"/>
      <c r="AY5" s="71"/>
      <c r="AZ5" s="71"/>
      <c r="BA5" s="71"/>
      <c r="BB5" s="71"/>
      <c r="BC5" s="71">
        <f t="shared" si="2"/>
        <v>5400000</v>
      </c>
      <c r="BD5" s="71">
        <f t="shared" si="3"/>
        <v>1600000</v>
      </c>
      <c r="BE5" s="71">
        <f t="shared" si="4"/>
        <v>0</v>
      </c>
      <c r="BF5" s="71">
        <f t="shared" si="5"/>
        <v>7000000</v>
      </c>
      <c r="BG5" s="67"/>
      <c r="BH5" s="67"/>
      <c r="BI5" s="67"/>
      <c r="BJ5" s="68" t="str">
        <f t="shared" ref="BJ5:BK5" si="7">H5</f>
        <v>A</v>
      </c>
      <c r="BK5" s="68" t="str">
        <f t="shared" si="7"/>
        <v>A-8</v>
      </c>
      <c r="BL5" s="72">
        <v>613000.0</v>
      </c>
      <c r="BM5" s="73"/>
      <c r="BN5" s="74" t="str">
        <f t="shared" si="6"/>
        <v>Dr. Abdulloh Faqih, S.Ag., M.Ag.</v>
      </c>
      <c r="BO5" s="74"/>
      <c r="BP5" s="74"/>
      <c r="BQ5" s="74"/>
      <c r="BR5" s="74"/>
      <c r="BS5" s="74"/>
      <c r="BT5" s="74"/>
      <c r="BU5" s="74"/>
      <c r="BV5" s="74"/>
      <c r="BW5" s="74"/>
      <c r="BX5" s="74"/>
      <c r="BY5" s="74"/>
      <c r="BZ5" s="74"/>
    </row>
    <row r="6">
      <c r="A6" s="66">
        <v>5.0</v>
      </c>
      <c r="B6" s="75" t="s">
        <v>3604</v>
      </c>
      <c r="C6" s="69">
        <v>2.025070467E9</v>
      </c>
      <c r="D6" s="67" t="s">
        <v>3605</v>
      </c>
      <c r="E6" s="67" t="s">
        <v>3606</v>
      </c>
      <c r="F6" s="67" t="s">
        <v>3607</v>
      </c>
      <c r="G6" s="66" t="s">
        <v>600</v>
      </c>
      <c r="H6" s="69" t="s">
        <v>592</v>
      </c>
      <c r="I6" s="69" t="s">
        <v>608</v>
      </c>
      <c r="J6" s="66">
        <v>2.0</v>
      </c>
      <c r="K6" s="66" t="s">
        <v>627</v>
      </c>
      <c r="L6" s="76" t="s">
        <v>3608</v>
      </c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>
        <v>500000.0</v>
      </c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>
        <v>500000.0</v>
      </c>
      <c r="AQ6" s="71"/>
      <c r="AR6" s="71"/>
      <c r="AS6" s="71"/>
      <c r="AT6" s="71"/>
      <c r="AU6" s="71"/>
      <c r="AV6" s="71"/>
      <c r="AW6" s="71"/>
      <c r="AX6" s="71"/>
      <c r="AY6" s="71"/>
      <c r="AZ6" s="71"/>
      <c r="BA6" s="71"/>
      <c r="BB6" s="71"/>
      <c r="BC6" s="71">
        <f t="shared" si="2"/>
        <v>0</v>
      </c>
      <c r="BD6" s="71">
        <f t="shared" si="3"/>
        <v>1000000</v>
      </c>
      <c r="BE6" s="71">
        <f t="shared" si="4"/>
        <v>0</v>
      </c>
      <c r="BF6" s="71">
        <f t="shared" si="5"/>
        <v>1000000</v>
      </c>
      <c r="BG6" s="67"/>
      <c r="BH6" s="67"/>
      <c r="BI6" s="67"/>
      <c r="BJ6" s="68" t="s">
        <v>592</v>
      </c>
      <c r="BK6" s="68" t="s">
        <v>608</v>
      </c>
      <c r="BL6" s="72">
        <v>460000.0</v>
      </c>
      <c r="BM6" s="73"/>
      <c r="BN6" s="74" t="str">
        <f t="shared" si="6"/>
        <v>Dra. Hj. Khotimah Suryani</v>
      </c>
      <c r="BO6" s="74"/>
      <c r="BP6" s="74"/>
      <c r="BQ6" s="74"/>
      <c r="BR6" s="74"/>
      <c r="BS6" s="74"/>
      <c r="BT6" s="74"/>
      <c r="BU6" s="74"/>
      <c r="BV6" s="74"/>
      <c r="BW6" s="74"/>
      <c r="BX6" s="74"/>
      <c r="BY6" s="74"/>
      <c r="BZ6" s="74"/>
    </row>
    <row r="7">
      <c r="A7" s="66">
        <v>6.0</v>
      </c>
      <c r="B7" s="75" t="s">
        <v>3609</v>
      </c>
      <c r="C7" s="69">
        <v>2.025070417E9</v>
      </c>
      <c r="D7" s="67" t="s">
        <v>3610</v>
      </c>
      <c r="E7" s="67" t="s">
        <v>3611</v>
      </c>
      <c r="F7" s="67" t="s">
        <v>3612</v>
      </c>
      <c r="G7" s="66" t="s">
        <v>33</v>
      </c>
      <c r="H7" s="69" t="s">
        <v>34</v>
      </c>
      <c r="I7" s="69" t="s">
        <v>35</v>
      </c>
      <c r="J7" s="66">
        <v>2.0</v>
      </c>
      <c r="K7" s="66" t="s">
        <v>36</v>
      </c>
      <c r="L7" s="76" t="s">
        <v>3613</v>
      </c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>
        <v>500000.0</v>
      </c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>
        <v>500000.0</v>
      </c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>
        <f t="shared" si="2"/>
        <v>0</v>
      </c>
      <c r="BD7" s="71">
        <f t="shared" si="3"/>
        <v>1000000</v>
      </c>
      <c r="BE7" s="71">
        <f t="shared" si="4"/>
        <v>0</v>
      </c>
      <c r="BF7" s="71">
        <f t="shared" si="5"/>
        <v>1000000</v>
      </c>
      <c r="BG7" s="67"/>
      <c r="BH7" s="67"/>
      <c r="BI7" s="67"/>
      <c r="BJ7" s="68" t="s">
        <v>34</v>
      </c>
      <c r="BK7" s="68" t="s">
        <v>35</v>
      </c>
      <c r="BL7" s="72">
        <v>460000.0</v>
      </c>
      <c r="BM7" s="73"/>
      <c r="BN7" s="74" t="str">
        <f t="shared" si="6"/>
        <v>Dr. Abdulloh Faqih, S.Ag., M.Ag.</v>
      </c>
      <c r="BO7" s="74"/>
      <c r="BP7" s="74"/>
      <c r="BQ7" s="74"/>
      <c r="BR7" s="74"/>
      <c r="BS7" s="74"/>
      <c r="BT7" s="74"/>
      <c r="BU7" s="74"/>
      <c r="BV7" s="74"/>
      <c r="BW7" s="74"/>
      <c r="BX7" s="74"/>
      <c r="BY7" s="74"/>
      <c r="BZ7" s="74"/>
    </row>
    <row r="8">
      <c r="A8" s="77">
        <f t="shared" ref="A8:A55" si="8">IF(B7="","",ROW(A7)-0)</f>
        <v>7</v>
      </c>
      <c r="G8" s="5"/>
      <c r="L8" s="2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L8" s="6"/>
      <c r="BM8" s="73"/>
      <c r="BN8" s="74" t="str">
        <f t="shared" si="6"/>
        <v>Lainnya</v>
      </c>
      <c r="BO8" s="74"/>
      <c r="BP8" s="74"/>
      <c r="BQ8" s="74"/>
      <c r="BR8" s="74"/>
      <c r="BS8" s="74"/>
      <c r="BT8" s="74"/>
      <c r="BU8" s="74"/>
      <c r="BV8" s="74"/>
      <c r="BW8" s="74"/>
      <c r="BX8" s="74"/>
      <c r="BY8" s="74"/>
      <c r="BZ8" s="74"/>
    </row>
    <row r="9">
      <c r="A9" s="77" t="str">
        <f t="shared" si="8"/>
        <v/>
      </c>
      <c r="G9" s="5"/>
      <c r="L9" s="2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L9" s="6"/>
      <c r="BM9" s="73"/>
      <c r="BN9" s="74" t="str">
        <f t="shared" si="6"/>
        <v>Lainnya</v>
      </c>
      <c r="BO9" s="74"/>
      <c r="BP9" s="74"/>
      <c r="BQ9" s="74"/>
      <c r="BR9" s="74"/>
      <c r="BS9" s="74"/>
      <c r="BT9" s="74"/>
      <c r="BU9" s="74"/>
      <c r="BV9" s="74"/>
      <c r="BW9" s="74"/>
      <c r="BX9" s="74"/>
      <c r="BY9" s="74"/>
      <c r="BZ9" s="74"/>
    </row>
    <row r="10">
      <c r="A10" s="77" t="str">
        <f t="shared" si="8"/>
        <v/>
      </c>
      <c r="G10" s="5"/>
      <c r="L10" s="2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L10" s="6"/>
      <c r="BM10" s="73"/>
      <c r="BN10" s="74" t="str">
        <f t="shared" si="6"/>
        <v>Lainnya</v>
      </c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</row>
    <row r="11">
      <c r="A11" s="77" t="str">
        <f t="shared" si="8"/>
        <v/>
      </c>
      <c r="G11" s="5"/>
      <c r="L11" s="2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L11" s="6"/>
      <c r="BM11" s="73"/>
      <c r="BN11" s="74" t="str">
        <f t="shared" si="6"/>
        <v>Lainnya</v>
      </c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</row>
    <row r="12">
      <c r="A12" s="77" t="str">
        <f t="shared" si="8"/>
        <v/>
      </c>
      <c r="G12" s="5"/>
      <c r="L12" s="2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L12" s="6"/>
      <c r="BM12" s="73"/>
      <c r="BN12" s="74" t="str">
        <f t="shared" si="6"/>
        <v>Lainnya</v>
      </c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</row>
    <row r="13">
      <c r="A13" s="77" t="str">
        <f t="shared" si="8"/>
        <v/>
      </c>
      <c r="G13" s="5"/>
      <c r="L13" s="2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L13" s="6"/>
      <c r="BM13" s="73"/>
      <c r="BN13" s="74" t="str">
        <f t="shared" si="6"/>
        <v>Lainnya</v>
      </c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</row>
    <row r="14">
      <c r="A14" s="77" t="str">
        <f t="shared" si="8"/>
        <v/>
      </c>
      <c r="L14" s="2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L14" s="6"/>
      <c r="BM14" s="73"/>
      <c r="BN14" s="74" t="str">
        <f t="shared" si="6"/>
        <v>Lainnya</v>
      </c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</row>
    <row r="15">
      <c r="A15" s="77" t="str">
        <f t="shared" si="8"/>
        <v/>
      </c>
      <c r="G15" s="5"/>
      <c r="L15" s="2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L15" s="6"/>
      <c r="BM15" s="73"/>
      <c r="BN15" s="74" t="str">
        <f t="shared" si="6"/>
        <v>Lainnya</v>
      </c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</row>
    <row r="16">
      <c r="A16" s="77" t="str">
        <f t="shared" si="8"/>
        <v/>
      </c>
      <c r="G16" s="5"/>
      <c r="L16" s="2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L16" s="6"/>
      <c r="BM16" s="73"/>
      <c r="BN16" s="74" t="str">
        <f t="shared" si="6"/>
        <v>Lainnya</v>
      </c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</row>
    <row r="17">
      <c r="A17" s="77" t="str">
        <f t="shared" si="8"/>
        <v/>
      </c>
      <c r="G17" s="5"/>
      <c r="L17" s="2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L17" s="6"/>
      <c r="BM17" s="73"/>
      <c r="BN17" s="74" t="str">
        <f t="shared" si="6"/>
        <v>Lainnya</v>
      </c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</row>
    <row r="18">
      <c r="A18" s="77" t="str">
        <f t="shared" si="8"/>
        <v/>
      </c>
      <c r="G18" s="5"/>
      <c r="L18" s="2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L18" s="6"/>
      <c r="BM18" s="73"/>
      <c r="BN18" s="74" t="str">
        <f t="shared" si="6"/>
        <v>Lainnya</v>
      </c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</row>
    <row r="19">
      <c r="A19" s="77" t="str">
        <f t="shared" si="8"/>
        <v/>
      </c>
      <c r="G19" s="5"/>
      <c r="L19" s="2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L19" s="6"/>
      <c r="BM19" s="73"/>
      <c r="BN19" s="74" t="str">
        <f t="shared" si="6"/>
        <v>Lainnya</v>
      </c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</row>
    <row r="20">
      <c r="A20" s="77" t="str">
        <f t="shared" si="8"/>
        <v/>
      </c>
      <c r="G20" s="5"/>
      <c r="L20" s="2"/>
      <c r="AA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Q20" s="6"/>
      <c r="AR20" s="6"/>
      <c r="AS20" s="6"/>
      <c r="BC20" s="6"/>
      <c r="BD20" s="6"/>
      <c r="BE20" s="6"/>
      <c r="BF20" s="6"/>
      <c r="BL20" s="6"/>
      <c r="BM20" s="73"/>
      <c r="BN20" s="74" t="str">
        <f t="shared" si="6"/>
        <v>Lainnya</v>
      </c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</row>
    <row r="21">
      <c r="A21" s="77" t="str">
        <f t="shared" si="8"/>
        <v/>
      </c>
      <c r="G21" s="5"/>
      <c r="L21" s="2"/>
      <c r="AB21" s="6"/>
      <c r="AO21" s="6"/>
      <c r="AP21" s="6"/>
      <c r="AQ21" s="6"/>
      <c r="AR21" s="6"/>
      <c r="AS21" s="6"/>
      <c r="BC21" s="6"/>
      <c r="BD21" s="6"/>
      <c r="BE21" s="6"/>
      <c r="BF21" s="6"/>
      <c r="BL21" s="6"/>
      <c r="BM21" s="73"/>
      <c r="BN21" s="74" t="str">
        <f t="shared" si="6"/>
        <v>Lainnya</v>
      </c>
      <c r="BO21" s="74"/>
      <c r="BP21" s="74"/>
      <c r="BQ21" s="74"/>
      <c r="BR21" s="74"/>
      <c r="BS21" s="74"/>
      <c r="BT21" s="74"/>
      <c r="BU21" s="74"/>
      <c r="BV21" s="74"/>
      <c r="BW21" s="74"/>
      <c r="BX21" s="74"/>
      <c r="BY21" s="74"/>
      <c r="BZ21" s="74"/>
    </row>
    <row r="22">
      <c r="A22" s="77" t="str">
        <f t="shared" si="8"/>
        <v/>
      </c>
      <c r="G22" s="5"/>
      <c r="L22" s="2"/>
      <c r="M22" s="6"/>
      <c r="AB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BC22" s="6"/>
      <c r="BD22" s="6"/>
      <c r="BE22" s="6"/>
      <c r="BF22" s="6"/>
      <c r="BL22" s="6"/>
      <c r="BM22" s="73"/>
      <c r="BN22" s="74" t="str">
        <f t="shared" si="6"/>
        <v>Lainnya</v>
      </c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</row>
    <row r="23">
      <c r="A23" s="77" t="str">
        <f t="shared" si="8"/>
        <v/>
      </c>
      <c r="G23" s="5"/>
      <c r="L23" s="2"/>
      <c r="M23" s="6"/>
      <c r="AB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BC23" s="6"/>
      <c r="BD23" s="6"/>
      <c r="BE23" s="6"/>
      <c r="BF23" s="6"/>
      <c r="BL23" s="6"/>
      <c r="BM23" s="73"/>
      <c r="BN23" s="74" t="str">
        <f t="shared" si="6"/>
        <v>Lainnya</v>
      </c>
      <c r="BO23" s="74"/>
      <c r="BP23" s="74"/>
      <c r="BQ23" s="74"/>
      <c r="BR23" s="74"/>
      <c r="BS23" s="74"/>
      <c r="BT23" s="74"/>
      <c r="BU23" s="74"/>
      <c r="BV23" s="74"/>
      <c r="BW23" s="74"/>
      <c r="BX23" s="74"/>
      <c r="BY23" s="74"/>
      <c r="BZ23" s="74"/>
    </row>
    <row r="24">
      <c r="A24" s="77" t="str">
        <f t="shared" si="8"/>
        <v/>
      </c>
      <c r="B24" s="2"/>
      <c r="C24" s="2"/>
      <c r="H24" s="2"/>
      <c r="I24" s="2"/>
      <c r="J24" s="2"/>
      <c r="K24" s="2"/>
      <c r="L24" s="2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L24" s="6"/>
      <c r="BM24" s="73"/>
      <c r="BN24" s="74" t="str">
        <f t="shared" si="6"/>
        <v>Lainnya</v>
      </c>
      <c r="BO24" s="74"/>
      <c r="BP24" s="74"/>
      <c r="BQ24" s="74"/>
      <c r="BR24" s="74"/>
      <c r="BS24" s="74"/>
      <c r="BT24" s="74"/>
      <c r="BU24" s="74"/>
      <c r="BV24" s="74"/>
      <c r="BW24" s="74"/>
      <c r="BX24" s="74"/>
      <c r="BY24" s="74"/>
      <c r="BZ24" s="74"/>
    </row>
    <row r="25">
      <c r="A25" s="77" t="str">
        <f t="shared" si="8"/>
        <v/>
      </c>
      <c r="I25" s="2"/>
      <c r="L25" s="2"/>
      <c r="AN25" s="6"/>
      <c r="AO25" s="6"/>
      <c r="AQ25" s="6"/>
      <c r="AR25" s="6"/>
      <c r="AS25" s="6"/>
      <c r="BC25" s="6"/>
      <c r="BD25" s="6"/>
      <c r="BE25" s="6"/>
      <c r="BF25" s="6"/>
      <c r="BL25" s="6"/>
      <c r="BM25" s="73"/>
      <c r="BN25" s="74" t="str">
        <f t="shared" si="6"/>
        <v>Lainnya</v>
      </c>
      <c r="BO25" s="74"/>
      <c r="BP25" s="74"/>
      <c r="BQ25" s="74"/>
      <c r="BR25" s="74"/>
      <c r="BS25" s="74"/>
      <c r="BT25" s="74"/>
      <c r="BU25" s="74"/>
      <c r="BV25" s="74"/>
      <c r="BW25" s="74"/>
      <c r="BX25" s="74"/>
      <c r="BY25" s="74"/>
      <c r="BZ25" s="74"/>
    </row>
    <row r="26">
      <c r="A26" s="77" t="str">
        <f t="shared" si="8"/>
        <v/>
      </c>
      <c r="B26" s="2"/>
      <c r="C26" s="2"/>
      <c r="H26" s="2"/>
      <c r="I26" s="2"/>
      <c r="J26" s="2"/>
      <c r="K26" s="2"/>
      <c r="L26" s="2"/>
      <c r="Q26" s="6"/>
      <c r="BC26" s="6"/>
      <c r="BD26" s="6"/>
      <c r="BE26" s="6"/>
      <c r="BF26" s="6"/>
      <c r="BL26" s="6"/>
      <c r="BM26" s="73"/>
      <c r="BN26" s="74" t="str">
        <f t="shared" si="6"/>
        <v>Lainnya</v>
      </c>
      <c r="BO26" s="74"/>
      <c r="BP26" s="74"/>
      <c r="BQ26" s="74"/>
      <c r="BR26" s="74"/>
      <c r="BS26" s="74"/>
      <c r="BT26" s="74"/>
      <c r="BU26" s="74"/>
      <c r="BV26" s="74"/>
      <c r="BW26" s="74"/>
      <c r="BX26" s="74"/>
      <c r="BY26" s="74"/>
      <c r="BZ26" s="74"/>
    </row>
    <row r="27">
      <c r="A27" s="77" t="str">
        <f t="shared" si="8"/>
        <v/>
      </c>
      <c r="I27" s="2"/>
      <c r="L27" s="2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L27" s="6"/>
      <c r="BM27" s="73"/>
      <c r="BN27" s="74" t="str">
        <f t="shared" si="6"/>
        <v>Lainnya</v>
      </c>
      <c r="BO27" s="74"/>
      <c r="BP27" s="74"/>
      <c r="BQ27" s="74"/>
      <c r="BR27" s="74"/>
      <c r="BS27" s="74"/>
      <c r="BT27" s="74"/>
      <c r="BU27" s="74"/>
      <c r="BV27" s="74"/>
      <c r="BW27" s="74"/>
      <c r="BX27" s="74"/>
      <c r="BY27" s="74"/>
      <c r="BZ27" s="74"/>
    </row>
    <row r="28">
      <c r="A28" s="77" t="str">
        <f t="shared" si="8"/>
        <v/>
      </c>
      <c r="B28" s="2"/>
      <c r="C28" s="2"/>
      <c r="H28" s="2"/>
      <c r="I28" s="2"/>
      <c r="J28" s="2"/>
      <c r="K28" s="2"/>
      <c r="L28" s="2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L28" s="6"/>
      <c r="BM28" s="73"/>
      <c r="BN28" s="74" t="str">
        <f t="shared" si="6"/>
        <v>Lainnya</v>
      </c>
      <c r="BO28" s="74"/>
      <c r="BP28" s="74"/>
      <c r="BQ28" s="74"/>
      <c r="BR28" s="74"/>
      <c r="BS28" s="74"/>
      <c r="BT28" s="74"/>
      <c r="BU28" s="74"/>
      <c r="BV28" s="74"/>
      <c r="BW28" s="74"/>
      <c r="BX28" s="74"/>
      <c r="BY28" s="74"/>
      <c r="BZ28" s="74"/>
    </row>
    <row r="29">
      <c r="A29" s="77" t="str">
        <f t="shared" si="8"/>
        <v/>
      </c>
      <c r="B29" s="2"/>
      <c r="C29" s="2"/>
      <c r="H29" s="2"/>
      <c r="I29" s="2"/>
      <c r="J29" s="2"/>
      <c r="K29" s="2"/>
      <c r="L29" s="2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L29" s="6"/>
      <c r="BM29" s="73"/>
      <c r="BN29" s="74" t="str">
        <f t="shared" si="6"/>
        <v>Lainnya</v>
      </c>
      <c r="BO29" s="74"/>
      <c r="BP29" s="74"/>
      <c r="BQ29" s="74"/>
      <c r="BR29" s="74"/>
      <c r="BS29" s="74"/>
      <c r="BT29" s="74"/>
      <c r="BU29" s="74"/>
      <c r="BV29" s="74"/>
      <c r="BW29" s="74"/>
      <c r="BX29" s="74"/>
      <c r="BY29" s="74"/>
      <c r="BZ29" s="74"/>
    </row>
    <row r="30">
      <c r="A30" s="77" t="str">
        <f t="shared" si="8"/>
        <v/>
      </c>
      <c r="I30" s="2"/>
      <c r="L30" s="2"/>
      <c r="AB30" s="6"/>
      <c r="AO30" s="6"/>
      <c r="AP30" s="6"/>
      <c r="AQ30" s="6"/>
      <c r="AR30" s="6"/>
      <c r="AS30" s="6"/>
      <c r="BC30" s="6"/>
      <c r="BD30" s="6"/>
      <c r="BE30" s="6"/>
      <c r="BF30" s="6"/>
      <c r="BL30" s="6"/>
      <c r="BM30" s="73"/>
      <c r="BN30" s="74" t="str">
        <f t="shared" si="6"/>
        <v>Lainnya</v>
      </c>
      <c r="BO30" s="74"/>
      <c r="BP30" s="74"/>
      <c r="BQ30" s="74"/>
      <c r="BR30" s="74"/>
      <c r="BS30" s="74"/>
      <c r="BT30" s="74"/>
      <c r="BU30" s="74"/>
      <c r="BV30" s="74"/>
      <c r="BW30" s="74"/>
      <c r="BX30" s="74"/>
      <c r="BY30" s="74"/>
      <c r="BZ30" s="74"/>
    </row>
    <row r="31">
      <c r="A31" s="77" t="str">
        <f t="shared" si="8"/>
        <v/>
      </c>
      <c r="I31" s="2"/>
      <c r="L31" s="2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L31" s="6"/>
      <c r="BM31" s="73"/>
      <c r="BN31" s="74" t="str">
        <f t="shared" si="6"/>
        <v>Lainnya</v>
      </c>
      <c r="BO31" s="74"/>
      <c r="BP31" s="74"/>
      <c r="BQ31" s="74"/>
      <c r="BR31" s="74"/>
      <c r="BS31" s="74"/>
      <c r="BT31" s="74"/>
      <c r="BU31" s="74"/>
      <c r="BV31" s="74"/>
      <c r="BW31" s="74"/>
      <c r="BX31" s="74"/>
      <c r="BY31" s="74"/>
      <c r="BZ31" s="74"/>
    </row>
    <row r="32">
      <c r="A32" s="77" t="str">
        <f t="shared" si="8"/>
        <v/>
      </c>
      <c r="B32" s="2"/>
      <c r="C32" s="2"/>
      <c r="H32" s="2"/>
      <c r="I32" s="2"/>
      <c r="J32" s="2"/>
      <c r="K32" s="2"/>
      <c r="L32" s="2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L32" s="6"/>
      <c r="BM32" s="73"/>
      <c r="BN32" s="74" t="str">
        <f t="shared" si="6"/>
        <v>Lainnya</v>
      </c>
      <c r="BO32" s="74"/>
      <c r="BP32" s="74"/>
      <c r="BQ32" s="74"/>
      <c r="BR32" s="74"/>
      <c r="BS32" s="74"/>
      <c r="BT32" s="74"/>
      <c r="BU32" s="74"/>
      <c r="BV32" s="74"/>
      <c r="BW32" s="74"/>
      <c r="BX32" s="74"/>
      <c r="BY32" s="74"/>
      <c r="BZ32" s="74"/>
    </row>
    <row r="33">
      <c r="A33" s="77" t="str">
        <f t="shared" si="8"/>
        <v/>
      </c>
      <c r="G33" s="5"/>
      <c r="I33" s="2"/>
      <c r="L33" s="2"/>
      <c r="AN33" s="6"/>
      <c r="AO33" s="6"/>
      <c r="AQ33" s="6"/>
      <c r="AR33" s="6"/>
      <c r="AS33" s="6"/>
      <c r="BC33" s="6"/>
      <c r="BD33" s="6"/>
      <c r="BE33" s="6"/>
      <c r="BF33" s="6"/>
      <c r="BL33" s="6"/>
      <c r="BM33" s="73"/>
      <c r="BN33" s="74" t="str">
        <f t="shared" si="6"/>
        <v>Lainnya</v>
      </c>
      <c r="BO33" s="74"/>
      <c r="BP33" s="74"/>
      <c r="BQ33" s="74"/>
      <c r="BR33" s="74"/>
      <c r="BS33" s="74"/>
      <c r="BT33" s="74"/>
      <c r="BU33" s="74"/>
      <c r="BV33" s="74"/>
      <c r="BW33" s="74"/>
      <c r="BX33" s="74"/>
      <c r="BY33" s="74"/>
      <c r="BZ33" s="74"/>
    </row>
    <row r="34">
      <c r="A34" s="77" t="str">
        <f t="shared" si="8"/>
        <v/>
      </c>
      <c r="B34" s="2"/>
      <c r="C34" s="2"/>
      <c r="H34" s="2"/>
      <c r="I34" s="2"/>
      <c r="J34" s="2"/>
      <c r="K34" s="2"/>
      <c r="L34" s="2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L34" s="6"/>
      <c r="BM34" s="73"/>
      <c r="BN34" s="74" t="str">
        <f t="shared" si="6"/>
        <v>Lainnya</v>
      </c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</row>
    <row r="35">
      <c r="A35" s="77" t="str">
        <f t="shared" si="8"/>
        <v/>
      </c>
      <c r="I35" s="2"/>
      <c r="L35" s="2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Q35" s="6"/>
      <c r="AR35" s="6"/>
      <c r="AS35" s="6"/>
      <c r="AT35" s="6"/>
      <c r="BC35" s="6"/>
      <c r="BD35" s="6"/>
      <c r="BE35" s="6"/>
      <c r="BF35" s="6"/>
      <c r="BL35" s="6"/>
      <c r="BM35" s="73"/>
      <c r="BN35" s="74" t="str">
        <f t="shared" si="6"/>
        <v>Lainnya</v>
      </c>
      <c r="BO35" s="74"/>
      <c r="BP35" s="74"/>
      <c r="BQ35" s="74"/>
      <c r="BR35" s="74"/>
      <c r="BS35" s="74"/>
      <c r="BT35" s="74"/>
      <c r="BU35" s="74"/>
      <c r="BV35" s="74"/>
      <c r="BW35" s="74"/>
      <c r="BX35" s="74"/>
      <c r="BY35" s="74"/>
      <c r="BZ35" s="74"/>
    </row>
    <row r="36">
      <c r="A36" s="77" t="str">
        <f t="shared" si="8"/>
        <v/>
      </c>
      <c r="I36" s="2"/>
      <c r="L36" s="2"/>
      <c r="M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BC36" s="6"/>
      <c r="BD36" s="6"/>
      <c r="BE36" s="6"/>
      <c r="BF36" s="6"/>
      <c r="BL36" s="6"/>
      <c r="BM36" s="73"/>
      <c r="BN36" s="74" t="str">
        <f t="shared" si="6"/>
        <v>Lainnya</v>
      </c>
      <c r="BO36" s="74"/>
      <c r="BP36" s="74"/>
      <c r="BQ36" s="74"/>
      <c r="BR36" s="74"/>
      <c r="BS36" s="74"/>
      <c r="BT36" s="74"/>
      <c r="BU36" s="74"/>
      <c r="BV36" s="74"/>
      <c r="BW36" s="74"/>
      <c r="BX36" s="74"/>
      <c r="BY36" s="74"/>
      <c r="BZ36" s="74"/>
    </row>
    <row r="37">
      <c r="A37" s="77" t="str">
        <f t="shared" si="8"/>
        <v/>
      </c>
      <c r="I37" s="2"/>
      <c r="L37" s="2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L37" s="6"/>
      <c r="BM37" s="73"/>
      <c r="BN37" s="74" t="str">
        <f t="shared" si="6"/>
        <v>Lainnya</v>
      </c>
      <c r="BO37" s="74"/>
      <c r="BP37" s="74"/>
      <c r="BQ37" s="74"/>
      <c r="BR37" s="74"/>
      <c r="BS37" s="74"/>
      <c r="BT37" s="74"/>
      <c r="BU37" s="74"/>
      <c r="BV37" s="74"/>
      <c r="BW37" s="74"/>
      <c r="BX37" s="74"/>
      <c r="BY37" s="74"/>
      <c r="BZ37" s="74"/>
    </row>
    <row r="38">
      <c r="A38" s="77" t="str">
        <f t="shared" si="8"/>
        <v/>
      </c>
      <c r="G38" s="5"/>
      <c r="I38" s="2"/>
      <c r="L38" s="2"/>
      <c r="AO38" s="6"/>
      <c r="AP38" s="6"/>
      <c r="AQ38" s="6"/>
      <c r="AR38" s="6"/>
      <c r="AS38" s="6"/>
      <c r="AT38" s="6"/>
      <c r="BC38" s="6"/>
      <c r="BD38" s="6"/>
      <c r="BE38" s="6"/>
      <c r="BF38" s="6"/>
      <c r="BL38" s="6"/>
      <c r="BM38" s="73"/>
      <c r="BN38" s="74" t="str">
        <f t="shared" si="6"/>
        <v>Lainnya</v>
      </c>
      <c r="BO38" s="74"/>
      <c r="BP38" s="74"/>
      <c r="BQ38" s="74"/>
      <c r="BR38" s="74"/>
      <c r="BS38" s="74"/>
      <c r="BT38" s="74"/>
      <c r="BU38" s="74"/>
      <c r="BV38" s="74"/>
      <c r="BW38" s="74"/>
      <c r="BX38" s="74"/>
      <c r="BY38" s="74"/>
      <c r="BZ38" s="74"/>
    </row>
    <row r="39">
      <c r="A39" s="77" t="str">
        <f t="shared" si="8"/>
        <v/>
      </c>
      <c r="G39" s="5"/>
      <c r="I39" s="2"/>
      <c r="L39" s="2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L39" s="6"/>
      <c r="BM39" s="73"/>
      <c r="BN39" s="74" t="str">
        <f t="shared" si="6"/>
        <v>Lainnya</v>
      </c>
      <c r="BO39" s="74"/>
      <c r="BP39" s="74"/>
      <c r="BQ39" s="74"/>
      <c r="BR39" s="74"/>
      <c r="BS39" s="74"/>
      <c r="BT39" s="74"/>
      <c r="BU39" s="74"/>
      <c r="BV39" s="74"/>
      <c r="BW39" s="74"/>
      <c r="BX39" s="74"/>
      <c r="BY39" s="74"/>
      <c r="BZ39" s="74"/>
    </row>
    <row r="40">
      <c r="A40" s="77" t="str">
        <f t="shared" si="8"/>
        <v/>
      </c>
      <c r="G40" s="2"/>
      <c r="I40" s="2"/>
      <c r="L40" s="2"/>
      <c r="AM40" s="6"/>
      <c r="AN40" s="6"/>
      <c r="AO40" s="6"/>
      <c r="AQ40" s="6"/>
      <c r="AR40" s="6"/>
      <c r="AS40" s="6"/>
      <c r="AT40" s="6"/>
      <c r="BC40" s="6"/>
      <c r="BD40" s="6"/>
      <c r="BE40" s="6"/>
      <c r="BF40" s="6"/>
      <c r="BL40" s="6"/>
      <c r="BM40" s="73"/>
      <c r="BN40" s="74" t="str">
        <f t="shared" si="6"/>
        <v>Lainnya</v>
      </c>
      <c r="BO40" s="74"/>
      <c r="BP40" s="74"/>
      <c r="BQ40" s="74"/>
      <c r="BR40" s="74"/>
      <c r="BS40" s="74"/>
      <c r="BT40" s="74"/>
      <c r="BU40" s="74"/>
      <c r="BV40" s="74"/>
      <c r="BW40" s="74"/>
      <c r="BX40" s="74"/>
      <c r="BY40" s="74"/>
      <c r="BZ40" s="74"/>
    </row>
    <row r="41">
      <c r="A41" s="77" t="str">
        <f t="shared" si="8"/>
        <v/>
      </c>
      <c r="B41" s="2"/>
      <c r="C41" s="2"/>
      <c r="H41" s="2"/>
      <c r="I41" s="2"/>
      <c r="J41" s="2"/>
      <c r="K41" s="2"/>
      <c r="L41" s="2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L41" s="6"/>
      <c r="BM41" s="73"/>
      <c r="BN41" s="74" t="str">
        <f t="shared" si="6"/>
        <v>Lainnya</v>
      </c>
      <c r="BO41" s="74"/>
      <c r="BP41" s="74"/>
      <c r="BQ41" s="74"/>
      <c r="BR41" s="74"/>
      <c r="BS41" s="74"/>
      <c r="BT41" s="74"/>
      <c r="BU41" s="74"/>
      <c r="BV41" s="74"/>
      <c r="BW41" s="74"/>
      <c r="BX41" s="74"/>
      <c r="BY41" s="74"/>
      <c r="BZ41" s="74"/>
    </row>
    <row r="42">
      <c r="A42" s="77" t="str">
        <f t="shared" si="8"/>
        <v/>
      </c>
      <c r="B42" s="2"/>
      <c r="C42" s="2"/>
      <c r="H42" s="2"/>
      <c r="I42" s="2"/>
      <c r="J42" s="2"/>
      <c r="K42" s="2"/>
      <c r="L42" s="2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L42" s="6"/>
      <c r="BM42" s="73"/>
      <c r="BN42" s="74" t="str">
        <f t="shared" si="6"/>
        <v>Lainnya</v>
      </c>
      <c r="BO42" s="74"/>
      <c r="BP42" s="74"/>
      <c r="BQ42" s="74"/>
      <c r="BR42" s="74"/>
      <c r="BS42" s="74"/>
      <c r="BT42" s="74"/>
      <c r="BU42" s="74"/>
      <c r="BV42" s="74"/>
      <c r="BW42" s="74"/>
      <c r="BX42" s="74"/>
      <c r="BY42" s="74"/>
      <c r="BZ42" s="74"/>
    </row>
    <row r="43">
      <c r="A43" s="77" t="str">
        <f t="shared" si="8"/>
        <v/>
      </c>
      <c r="B43" s="2"/>
      <c r="C43" s="2"/>
      <c r="H43" s="2"/>
      <c r="I43" s="2"/>
      <c r="J43" s="2"/>
      <c r="K43" s="2"/>
      <c r="L43" s="2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L43" s="6"/>
      <c r="BM43" s="73"/>
      <c r="BN43" s="74" t="str">
        <f t="shared" si="6"/>
        <v>Lainnya</v>
      </c>
      <c r="BO43" s="74"/>
      <c r="BP43" s="74"/>
      <c r="BQ43" s="74"/>
      <c r="BR43" s="74"/>
      <c r="BS43" s="74"/>
      <c r="BT43" s="74"/>
      <c r="BU43" s="74"/>
      <c r="BV43" s="74"/>
      <c r="BW43" s="74"/>
      <c r="BX43" s="74"/>
      <c r="BY43" s="74"/>
      <c r="BZ43" s="74"/>
    </row>
    <row r="44">
      <c r="A44" s="77" t="str">
        <f t="shared" si="8"/>
        <v/>
      </c>
      <c r="B44" s="2"/>
      <c r="C44" s="2"/>
      <c r="H44" s="2"/>
      <c r="I44" s="2"/>
      <c r="J44" s="2"/>
      <c r="K44" s="2"/>
      <c r="L44" s="2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L44" s="6"/>
      <c r="BM44" s="73"/>
      <c r="BN44" s="74" t="str">
        <f t="shared" si="6"/>
        <v>Lainnya</v>
      </c>
      <c r="BO44" s="74"/>
      <c r="BP44" s="74"/>
      <c r="BQ44" s="74"/>
      <c r="BR44" s="74"/>
      <c r="BS44" s="74"/>
      <c r="BT44" s="74"/>
      <c r="BU44" s="74"/>
      <c r="BV44" s="74"/>
      <c r="BW44" s="74"/>
      <c r="BX44" s="74"/>
      <c r="BY44" s="74"/>
      <c r="BZ44" s="74"/>
    </row>
    <row r="45">
      <c r="A45" s="77" t="str">
        <f t="shared" si="8"/>
        <v/>
      </c>
      <c r="B45" s="2"/>
      <c r="C45" s="2"/>
      <c r="H45" s="2"/>
      <c r="I45" s="2"/>
      <c r="J45" s="2"/>
      <c r="K45" s="2"/>
      <c r="L45" s="2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L45" s="6"/>
      <c r="BM45" s="73"/>
      <c r="BN45" s="74" t="str">
        <f t="shared" si="6"/>
        <v>Lainnya</v>
      </c>
      <c r="BO45" s="74"/>
      <c r="BP45" s="74"/>
      <c r="BQ45" s="74"/>
      <c r="BR45" s="74"/>
      <c r="BS45" s="74"/>
      <c r="BT45" s="74"/>
      <c r="BU45" s="74"/>
      <c r="BV45" s="74"/>
      <c r="BW45" s="74"/>
      <c r="BX45" s="74"/>
      <c r="BY45" s="74"/>
      <c r="BZ45" s="74"/>
    </row>
    <row r="46">
      <c r="A46" s="77" t="str">
        <f t="shared" si="8"/>
        <v/>
      </c>
      <c r="G46" s="2"/>
      <c r="I46" s="2"/>
      <c r="L46" s="2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L46" s="6"/>
      <c r="BM46" s="73"/>
      <c r="BN46" s="74" t="str">
        <f t="shared" si="6"/>
        <v>Lainnya</v>
      </c>
      <c r="BO46" s="74"/>
      <c r="BP46" s="74"/>
      <c r="BQ46" s="74"/>
      <c r="BR46" s="74"/>
      <c r="BS46" s="74"/>
      <c r="BT46" s="74"/>
      <c r="BU46" s="74"/>
      <c r="BV46" s="74"/>
      <c r="BW46" s="74"/>
      <c r="BX46" s="74"/>
      <c r="BY46" s="74"/>
      <c r="BZ46" s="74"/>
    </row>
    <row r="47">
      <c r="A47" s="77" t="str">
        <f t="shared" si="8"/>
        <v/>
      </c>
      <c r="B47" s="2"/>
      <c r="C47" s="2"/>
      <c r="G47" s="2"/>
      <c r="H47" s="2"/>
      <c r="I47" s="2"/>
      <c r="J47" s="2"/>
      <c r="K47" s="2"/>
      <c r="L47" s="2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L47" s="6"/>
      <c r="BM47" s="73"/>
      <c r="BN47" s="74" t="str">
        <f t="shared" si="6"/>
        <v>Lainnya</v>
      </c>
      <c r="BO47" s="74"/>
      <c r="BP47" s="74"/>
      <c r="BQ47" s="74"/>
      <c r="BR47" s="74"/>
      <c r="BS47" s="74"/>
      <c r="BT47" s="74"/>
      <c r="BU47" s="74"/>
      <c r="BV47" s="74"/>
      <c r="BW47" s="74"/>
      <c r="BX47" s="74"/>
      <c r="BY47" s="74"/>
      <c r="BZ47" s="74"/>
    </row>
    <row r="48">
      <c r="A48" s="77" t="str">
        <f t="shared" si="8"/>
        <v/>
      </c>
      <c r="B48" s="2"/>
      <c r="C48" s="2"/>
      <c r="H48" s="2"/>
      <c r="I48" s="2"/>
      <c r="J48" s="2"/>
      <c r="K48" s="2"/>
      <c r="L48" s="2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L48" s="6"/>
      <c r="BM48" s="73"/>
      <c r="BN48" s="74" t="str">
        <f t="shared" si="6"/>
        <v>Lainnya</v>
      </c>
      <c r="BO48" s="74"/>
      <c r="BP48" s="74"/>
      <c r="BQ48" s="74"/>
      <c r="BR48" s="74"/>
      <c r="BS48" s="74"/>
      <c r="BT48" s="74"/>
      <c r="BU48" s="74"/>
      <c r="BV48" s="74"/>
      <c r="BW48" s="74"/>
      <c r="BX48" s="74"/>
      <c r="BY48" s="74"/>
      <c r="BZ48" s="74"/>
    </row>
    <row r="49">
      <c r="A49" s="77" t="str">
        <f t="shared" si="8"/>
        <v/>
      </c>
      <c r="B49" s="2"/>
      <c r="C49" s="2"/>
      <c r="H49" s="2"/>
      <c r="I49" s="2"/>
      <c r="J49" s="2"/>
      <c r="K49" s="2"/>
      <c r="L49" s="2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L49" s="6"/>
      <c r="BM49" s="73"/>
      <c r="BN49" s="74" t="str">
        <f t="shared" si="6"/>
        <v>Lainnya</v>
      </c>
      <c r="BO49" s="74"/>
      <c r="BP49" s="74"/>
      <c r="BQ49" s="74"/>
      <c r="BR49" s="74"/>
      <c r="BS49" s="74"/>
      <c r="BT49" s="74"/>
      <c r="BU49" s="74"/>
      <c r="BV49" s="74"/>
      <c r="BW49" s="74"/>
      <c r="BX49" s="74"/>
      <c r="BY49" s="74"/>
      <c r="BZ49" s="74"/>
    </row>
    <row r="50">
      <c r="A50" s="77" t="str">
        <f t="shared" si="8"/>
        <v/>
      </c>
      <c r="B50" s="2"/>
      <c r="C50" s="2"/>
      <c r="H50" s="2"/>
      <c r="I50" s="2"/>
      <c r="J50" s="2"/>
      <c r="K50" s="2"/>
      <c r="L50" s="2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L50" s="6"/>
      <c r="BM50" s="73"/>
      <c r="BN50" s="74" t="str">
        <f t="shared" si="6"/>
        <v>Lainnya</v>
      </c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</row>
    <row r="51">
      <c r="A51" s="77" t="str">
        <f t="shared" si="8"/>
        <v/>
      </c>
      <c r="I51" s="2"/>
      <c r="L51" s="2"/>
      <c r="M51" s="6"/>
      <c r="AB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BC51" s="6"/>
      <c r="BD51" s="6"/>
      <c r="BE51" s="6"/>
      <c r="BF51" s="6"/>
      <c r="BL51" s="6"/>
      <c r="BM51" s="73"/>
      <c r="BN51" s="74" t="str">
        <f t="shared" si="6"/>
        <v>Lainnya</v>
      </c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</row>
    <row r="52">
      <c r="A52" s="77" t="str">
        <f t="shared" si="8"/>
        <v/>
      </c>
      <c r="B52" s="2"/>
      <c r="C52" s="2"/>
      <c r="H52" s="2"/>
      <c r="I52" s="2"/>
      <c r="J52" s="2"/>
      <c r="K52" s="2"/>
      <c r="L52" s="2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L52" s="6"/>
      <c r="BM52" s="73"/>
      <c r="BN52" s="74" t="str">
        <f t="shared" si="6"/>
        <v>Lainnya</v>
      </c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</row>
    <row r="53">
      <c r="A53" s="77" t="str">
        <f t="shared" si="8"/>
        <v/>
      </c>
      <c r="B53" s="2"/>
      <c r="C53" s="2"/>
      <c r="G53" s="2"/>
      <c r="H53" s="2"/>
      <c r="I53" s="2"/>
      <c r="J53" s="2"/>
      <c r="K53" s="2"/>
      <c r="L53" s="2"/>
      <c r="AB53" s="6"/>
      <c r="AE53" s="6"/>
      <c r="AF53" s="6"/>
      <c r="AP53" s="6"/>
      <c r="BC53" s="6"/>
      <c r="BD53" s="6"/>
      <c r="BE53" s="6"/>
      <c r="BF53" s="6"/>
      <c r="BL53" s="6"/>
      <c r="BM53" s="73"/>
      <c r="BN53" s="74" t="str">
        <f t="shared" si="6"/>
        <v>Lainnya</v>
      </c>
      <c r="BO53" s="74"/>
      <c r="BP53" s="74"/>
      <c r="BQ53" s="74"/>
      <c r="BR53" s="74"/>
      <c r="BS53" s="74"/>
      <c r="BT53" s="74"/>
      <c r="BU53" s="74"/>
      <c r="BV53" s="74"/>
      <c r="BW53" s="2" t="s">
        <v>3614</v>
      </c>
      <c r="BX53" s="78" t="s">
        <v>3615</v>
      </c>
      <c r="BY53" s="78" t="str">
        <f>HYPERLINK("https://drive.google.com/file/d/1SctNXt4BrR-peuxU9yIkhRRKDREZ_8TH/view?usp=drivesdk","DITA SYAFA AZZAHRA - C")</f>
        <v>DITA SYAFA AZZAHRA - C</v>
      </c>
      <c r="BZ53" s="2" t="s">
        <v>3616</v>
      </c>
    </row>
    <row r="54">
      <c r="A54" s="77" t="str">
        <f t="shared" si="8"/>
        <v/>
      </c>
      <c r="B54" s="2"/>
      <c r="C54" s="2"/>
      <c r="H54" s="2"/>
      <c r="I54" s="2"/>
      <c r="J54" s="2"/>
      <c r="K54" s="2"/>
      <c r="L54" s="2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L54" s="6"/>
      <c r="BM54" s="73"/>
      <c r="BN54" s="74" t="str">
        <f t="shared" si="6"/>
        <v>Lainnya</v>
      </c>
      <c r="BO54" s="74"/>
      <c r="BP54" s="74"/>
      <c r="BQ54" s="74"/>
      <c r="BR54" s="74"/>
      <c r="BS54" s="74"/>
      <c r="BT54" s="74"/>
      <c r="BU54" s="74"/>
      <c r="BV54" s="74"/>
      <c r="BW54" s="2" t="s">
        <v>3617</v>
      </c>
      <c r="BX54" s="78" t="s">
        <v>3618</v>
      </c>
      <c r="BY54" s="79" t="str">
        <f>HYPERLINK("https://drive.google.com/file/d/1a4AwbqRwHI2cB6e-NdnRkW8ymRwcuAUK/view?usp=drivesdk","NABILA DWI NUR HANA - C")</f>
        <v>NABILA DWI NUR HANA - C</v>
      </c>
      <c r="BZ54" s="2" t="s">
        <v>3619</v>
      </c>
    </row>
    <row r="55">
      <c r="A55" s="77" t="str">
        <f t="shared" si="8"/>
        <v/>
      </c>
      <c r="B55" s="2"/>
      <c r="C55" s="2"/>
      <c r="H55" s="2"/>
      <c r="I55" s="2"/>
      <c r="J55" s="2"/>
      <c r="K55" s="2"/>
      <c r="L55" s="2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L55" s="6"/>
      <c r="BM55" s="73"/>
      <c r="BN55" s="74" t="str">
        <f t="shared" si="6"/>
        <v>Lainnya</v>
      </c>
      <c r="BO55" s="74"/>
      <c r="BP55" s="74"/>
      <c r="BQ55" s="74"/>
      <c r="BR55" s="74"/>
      <c r="BS55" s="74"/>
      <c r="BT55" s="74"/>
      <c r="BU55" s="74"/>
      <c r="BV55" s="74"/>
      <c r="BW55" s="2" t="s">
        <v>3620</v>
      </c>
      <c r="BX55" s="78" t="s">
        <v>3621</v>
      </c>
      <c r="BY55" s="79" t="str">
        <f>HYPERLINK("https://drive.google.com/file/d/1gktu4u6yVrvhc8r6y3QEHBhkr1aqrSCx/view?usp=drivesdk","CITRA ALFINA WIDIANTO - C")</f>
        <v>CITRA ALFINA WIDIANTO - C</v>
      </c>
      <c r="BZ55" s="2" t="s">
        <v>3622</v>
      </c>
    </row>
    <row r="56">
      <c r="A56" s="77" t="str">
        <f t="shared" ref="A56:A126" si="9">IF(B56="","",ROW(A56)-2)</f>
        <v/>
      </c>
      <c r="G56" s="2"/>
      <c r="I56" s="2"/>
      <c r="L56" s="2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L56" s="6"/>
      <c r="BM56" s="73"/>
      <c r="BN56" s="74" t="str">
        <f t="shared" si="6"/>
        <v>Lainnya</v>
      </c>
      <c r="BO56" s="2"/>
      <c r="BP56" s="74"/>
      <c r="BQ56" s="74"/>
      <c r="BR56" s="74"/>
      <c r="BS56" s="74"/>
      <c r="BT56" s="74"/>
      <c r="BU56" s="74"/>
      <c r="BV56" s="74"/>
      <c r="BW56" s="2" t="s">
        <v>3623</v>
      </c>
      <c r="BX56" s="78" t="s">
        <v>3624</v>
      </c>
      <c r="BY56" s="79" t="str">
        <f>HYPERLINK("https://drive.google.com/file/d/1bXFKN0YzC_pbAYNWUqxn0yn3_-WP2sGp/view?usp=drivesdk","NUR DIANA KHOLIDAH - B")</f>
        <v>NUR DIANA KHOLIDAH - B</v>
      </c>
      <c r="BZ56" s="2" t="s">
        <v>3625</v>
      </c>
    </row>
    <row r="57">
      <c r="A57" s="77" t="str">
        <f t="shared" si="9"/>
        <v/>
      </c>
      <c r="G57" s="2"/>
      <c r="I57" s="2"/>
      <c r="L57" s="2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L57" s="6"/>
      <c r="BM57" s="73"/>
      <c r="BN57" s="74" t="str">
        <f t="shared" si="6"/>
        <v>Lainnya</v>
      </c>
      <c r="BO57" s="2"/>
      <c r="BP57" s="74"/>
      <c r="BQ57" s="74"/>
      <c r="BR57" s="74"/>
      <c r="BS57" s="74"/>
      <c r="BT57" s="74"/>
      <c r="BU57" s="74"/>
      <c r="BV57" s="74"/>
      <c r="BW57" s="2" t="s">
        <v>3626</v>
      </c>
      <c r="BX57" s="78" t="s">
        <v>3627</v>
      </c>
      <c r="BY57" s="79" t="str">
        <f>HYPERLINK("https://drive.google.com/file/d/1q2To6LlEOXUODOOGaa55pmwXTfUMcgWy/view?usp=drivesdk","BUNGA HIDAYATUS SHIYAM - B")</f>
        <v>BUNGA HIDAYATUS SHIYAM - B</v>
      </c>
      <c r="BZ57" s="2" t="s">
        <v>3628</v>
      </c>
    </row>
    <row r="58">
      <c r="A58" s="77" t="str">
        <f t="shared" si="9"/>
        <v/>
      </c>
      <c r="B58" s="2"/>
      <c r="C58" s="2"/>
      <c r="H58" s="2"/>
      <c r="I58" s="2"/>
      <c r="J58" s="2"/>
      <c r="K58" s="2"/>
      <c r="L58" s="2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L58" s="6"/>
      <c r="BM58" s="73"/>
      <c r="BN58" s="74" t="str">
        <f t="shared" si="6"/>
        <v>Lainnya</v>
      </c>
      <c r="BO58" s="2"/>
      <c r="BP58" s="74"/>
      <c r="BQ58" s="74"/>
      <c r="BR58" s="74"/>
      <c r="BS58" s="74"/>
      <c r="BT58" s="74"/>
      <c r="BU58" s="74"/>
      <c r="BV58" s="74"/>
      <c r="BW58" s="2" t="s">
        <v>3629</v>
      </c>
      <c r="BX58" s="78" t="s">
        <v>3630</v>
      </c>
      <c r="BY58" s="79" t="str">
        <f>HYPERLINK("https://drive.google.com/file/d/1wBMjTDsiYAMjK6SbZOxFRmBGfUvjZCq4/view?usp=drivesdk","FARISAH MAULIDHA ALHUSNA - B")</f>
        <v>FARISAH MAULIDHA ALHUSNA - B</v>
      </c>
      <c r="BZ58" s="2" t="s">
        <v>3631</v>
      </c>
    </row>
    <row r="59">
      <c r="A59" s="77" t="str">
        <f t="shared" si="9"/>
        <v/>
      </c>
      <c r="B59" s="2"/>
      <c r="C59" s="2"/>
      <c r="H59" s="2"/>
      <c r="I59" s="2"/>
      <c r="J59" s="2"/>
      <c r="K59" s="2"/>
      <c r="L59" s="2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L59" s="6"/>
      <c r="BM59" s="73"/>
      <c r="BN59" s="74" t="str">
        <f t="shared" si="6"/>
        <v>Lainnya</v>
      </c>
      <c r="BO59" s="2"/>
      <c r="BP59" s="74"/>
      <c r="BQ59" s="74"/>
      <c r="BR59" s="74"/>
      <c r="BS59" s="74"/>
      <c r="BT59" s="74"/>
      <c r="BU59" s="74"/>
      <c r="BV59" s="74"/>
      <c r="BW59" s="2" t="s">
        <v>3632</v>
      </c>
      <c r="BX59" s="78" t="s">
        <v>3633</v>
      </c>
      <c r="BY59" s="79" t="str">
        <f>HYPERLINK("https://drive.google.com/file/d/1nurl8CvONXB0T5f6-AbkrBm_2KL6ZcPY/view?usp=drivesdk","AHMAD HAIKAL ZIDAN AL-IKHSAN - A")</f>
        <v>AHMAD HAIKAL ZIDAN AL-IKHSAN - A</v>
      </c>
      <c r="BZ59" s="2" t="s">
        <v>3634</v>
      </c>
    </row>
    <row r="60">
      <c r="A60" s="77" t="str">
        <f t="shared" si="9"/>
        <v/>
      </c>
      <c r="G60" s="2"/>
      <c r="I60" s="2"/>
      <c r="L60" s="2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L60" s="6"/>
      <c r="BM60" s="73"/>
      <c r="BN60" s="74" t="str">
        <f t="shared" si="6"/>
        <v>Lainnya</v>
      </c>
      <c r="BO60" s="2"/>
      <c r="BP60" s="74"/>
      <c r="BQ60" s="74"/>
      <c r="BR60" s="74"/>
      <c r="BS60" s="74"/>
      <c r="BT60" s="74"/>
      <c r="BU60" s="74"/>
      <c r="BV60" s="74"/>
      <c r="BW60" s="74"/>
      <c r="BX60" s="74"/>
      <c r="BY60" s="74"/>
      <c r="BZ60" s="74"/>
    </row>
    <row r="61">
      <c r="A61" s="77" t="str">
        <f t="shared" si="9"/>
        <v/>
      </c>
      <c r="G61" s="2"/>
      <c r="I61" s="2"/>
      <c r="L61" s="2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L61" s="6"/>
      <c r="BM61" s="73"/>
      <c r="BN61" s="74" t="str">
        <f t="shared" si="6"/>
        <v>Lainnya</v>
      </c>
      <c r="BO61" s="2"/>
      <c r="BP61" s="74"/>
      <c r="BQ61" s="74"/>
      <c r="BR61" s="74"/>
      <c r="BS61" s="74"/>
      <c r="BT61" s="74"/>
      <c r="BU61" s="74"/>
      <c r="BV61" s="74"/>
      <c r="BW61" s="74"/>
      <c r="BX61" s="74"/>
      <c r="BY61" s="74"/>
      <c r="BZ61" s="74"/>
    </row>
    <row r="62">
      <c r="A62" s="77" t="str">
        <f t="shared" si="9"/>
        <v/>
      </c>
      <c r="B62" s="2"/>
      <c r="C62" s="2"/>
      <c r="H62" s="2"/>
      <c r="I62" s="2"/>
      <c r="J62" s="2"/>
      <c r="K62" s="2"/>
      <c r="L62" s="2"/>
      <c r="O62" s="6"/>
      <c r="P62" s="6"/>
      <c r="Q62" s="6"/>
      <c r="R62" s="6"/>
      <c r="BB62" s="6"/>
      <c r="BC62" s="6"/>
      <c r="BD62" s="6"/>
      <c r="BE62" s="6"/>
      <c r="BF62" s="6"/>
      <c r="BL62" s="6"/>
      <c r="BM62" s="73"/>
      <c r="BN62" s="74" t="str">
        <f t="shared" si="6"/>
        <v>Lainnya</v>
      </c>
      <c r="BO62" s="2"/>
      <c r="BP62" s="74"/>
      <c r="BQ62" s="74"/>
      <c r="BR62" s="74"/>
      <c r="BS62" s="74"/>
      <c r="BT62" s="74"/>
      <c r="BU62" s="74"/>
      <c r="BV62" s="74"/>
      <c r="BW62" s="2" t="s">
        <v>3635</v>
      </c>
      <c r="BX62" s="78" t="s">
        <v>3636</v>
      </c>
      <c r="BY62" s="79" t="str">
        <f>HYPERLINK("https://drive.google.com/file/d/1RTNgXsECz0JPgj6qXU5XDUJWShjN7XEW/view?usp=drivesdk","MEDINA PUTRI - C")</f>
        <v>MEDINA PUTRI - C</v>
      </c>
      <c r="BZ62" s="2" t="s">
        <v>3637</v>
      </c>
    </row>
    <row r="63">
      <c r="A63" s="77" t="str">
        <f t="shared" si="9"/>
        <v/>
      </c>
      <c r="B63" s="2"/>
      <c r="C63" s="2"/>
      <c r="H63" s="2"/>
      <c r="I63" s="2"/>
      <c r="J63" s="2"/>
      <c r="K63" s="2"/>
      <c r="L63" s="2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L63" s="6"/>
      <c r="BM63" s="73"/>
      <c r="BN63" s="74" t="str">
        <f t="shared" si="6"/>
        <v>Lainnya</v>
      </c>
      <c r="BO63" s="2"/>
      <c r="BP63" s="74"/>
      <c r="BQ63" s="74"/>
      <c r="BR63" s="74"/>
      <c r="BS63" s="74"/>
      <c r="BT63" s="74"/>
      <c r="BU63" s="74"/>
      <c r="BV63" s="74"/>
      <c r="BW63" s="2" t="s">
        <v>3638</v>
      </c>
      <c r="BX63" s="78" t="s">
        <v>3639</v>
      </c>
      <c r="BY63" s="79" t="str">
        <f>HYPERLINK("https://drive.google.com/file/d/1qaunhIQ7ts-6P4-i016sNY3gqaaQXLEp/view?usp=drivesdk","ZHAAFIRAH NUR FADHILA - B")</f>
        <v>ZHAAFIRAH NUR FADHILA - B</v>
      </c>
      <c r="BZ63" s="2" t="s">
        <v>3640</v>
      </c>
    </row>
    <row r="64">
      <c r="A64" s="77" t="str">
        <f t="shared" si="9"/>
        <v/>
      </c>
      <c r="B64" s="2"/>
      <c r="C64" s="2"/>
      <c r="H64" s="2"/>
      <c r="I64" s="2"/>
      <c r="J64" s="2"/>
      <c r="K64" s="2"/>
      <c r="L64" s="2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L64" s="6"/>
      <c r="BM64" s="73"/>
      <c r="BN64" s="74" t="str">
        <f t="shared" si="6"/>
        <v>Lainnya</v>
      </c>
      <c r="BO64" s="2"/>
      <c r="BP64" s="74"/>
      <c r="BQ64" s="74"/>
      <c r="BR64" s="74"/>
      <c r="BS64" s="74"/>
      <c r="BT64" s="74"/>
      <c r="BU64" s="74"/>
      <c r="BV64" s="74"/>
      <c r="BW64" s="2" t="s">
        <v>3641</v>
      </c>
      <c r="BX64" s="78" t="s">
        <v>3642</v>
      </c>
      <c r="BY64" s="79" t="str">
        <f>HYPERLINK("https://drive.google.com/file/d/1t1aoqAr-EKPgkL1CHRbEtNVGqsXQxMXB/view?usp=drivesdk","ZHARIIFAH NUR FADHILA - B")</f>
        <v>ZHARIIFAH NUR FADHILA - B</v>
      </c>
      <c r="BZ64" s="2" t="s">
        <v>3643</v>
      </c>
    </row>
    <row r="65">
      <c r="A65" s="77" t="str">
        <f t="shared" si="9"/>
        <v/>
      </c>
      <c r="B65" s="2"/>
      <c r="C65" s="2"/>
      <c r="D65" s="2"/>
      <c r="E65" s="2"/>
      <c r="F65" s="2"/>
      <c r="H65" s="2"/>
      <c r="I65" s="2"/>
      <c r="J65" s="2"/>
      <c r="K65" s="2"/>
      <c r="L65" s="2"/>
      <c r="AO65" s="6"/>
      <c r="AQ65" s="6"/>
      <c r="AR65" s="6"/>
      <c r="AS65" s="6"/>
      <c r="BC65" s="6"/>
      <c r="BD65" s="6"/>
      <c r="BE65" s="6"/>
      <c r="BF65" s="6"/>
      <c r="BL65" s="6"/>
      <c r="BM65" s="73"/>
      <c r="BN65" s="74" t="str">
        <f t="shared" si="6"/>
        <v>Lainnya</v>
      </c>
      <c r="BO65" s="2"/>
      <c r="BP65" s="74"/>
      <c r="BQ65" s="74"/>
      <c r="BR65" s="74"/>
      <c r="BS65" s="74"/>
      <c r="BT65" s="74"/>
      <c r="BU65" s="74"/>
      <c r="BV65" s="74"/>
      <c r="BW65" s="2" t="s">
        <v>3644</v>
      </c>
      <c r="BX65" s="78" t="s">
        <v>3645</v>
      </c>
      <c r="BY65" s="79" t="str">
        <f>HYPERLINK("https://drive.google.com/file/d/1EwuPyQtigdm3N_I_7QwZZn3i297IPVts/view?usp=drivesdk","KARISMA KHOIRUNISA R - C")</f>
        <v>KARISMA KHOIRUNISA R - C</v>
      </c>
      <c r="BZ65" s="2" t="s">
        <v>3646</v>
      </c>
    </row>
    <row r="66">
      <c r="A66" s="77" t="str">
        <f t="shared" si="9"/>
        <v/>
      </c>
      <c r="G66" s="2"/>
      <c r="H66" s="2"/>
      <c r="I66" s="2"/>
      <c r="L66" s="2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L66" s="6"/>
      <c r="BM66" s="73"/>
      <c r="BN66" s="74" t="str">
        <f t="shared" si="6"/>
        <v>Lainnya</v>
      </c>
      <c r="BO66" s="2"/>
      <c r="BP66" s="74"/>
      <c r="BQ66" s="74"/>
      <c r="BR66" s="74"/>
      <c r="BS66" s="74"/>
      <c r="BT66" s="74"/>
      <c r="BU66" s="74"/>
      <c r="BV66" s="74"/>
      <c r="BW66" s="2" t="s">
        <v>3647</v>
      </c>
      <c r="BX66" s="78" t="s">
        <v>3648</v>
      </c>
      <c r="BY66" s="79" t="str">
        <f>HYPERLINK("https://drive.google.com/file/d/1cLHFF3qjO69W5-0BQ-JFOgep1SqV0MQ0/view?usp=drivesdk","MEINANDA SHAQIRA PUTRI ARETA - C")</f>
        <v>MEINANDA SHAQIRA PUTRI ARETA - C</v>
      </c>
      <c r="BZ66" s="2" t="s">
        <v>3649</v>
      </c>
    </row>
    <row r="67">
      <c r="A67" s="77" t="str">
        <f t="shared" si="9"/>
        <v/>
      </c>
      <c r="B67" s="2"/>
      <c r="C67" s="2"/>
      <c r="D67" s="2"/>
      <c r="E67" s="2"/>
      <c r="F67" s="2"/>
      <c r="H67" s="2"/>
      <c r="I67" s="2"/>
      <c r="J67" s="2"/>
      <c r="M67" s="6"/>
      <c r="S67" s="6"/>
      <c r="AB67" s="6"/>
      <c r="AP67" s="6"/>
      <c r="BC67" s="6"/>
      <c r="BD67" s="6"/>
      <c r="BE67" s="6"/>
      <c r="BF67" s="6"/>
      <c r="BL67" s="6"/>
      <c r="BM67" s="73"/>
      <c r="BN67" s="74" t="str">
        <f t="shared" si="6"/>
        <v>Lainnya</v>
      </c>
      <c r="BO67" s="2"/>
      <c r="BP67" s="74"/>
      <c r="BQ67" s="74"/>
      <c r="BR67" s="74"/>
      <c r="BS67" s="74"/>
      <c r="BT67" s="74"/>
      <c r="BU67" s="74"/>
      <c r="BV67" s="74"/>
      <c r="BW67" s="2" t="s">
        <v>3650</v>
      </c>
      <c r="BX67" s="78" t="s">
        <v>3651</v>
      </c>
      <c r="BY67" s="79" t="str">
        <f>HYPERLINK("https://drive.google.com/file/d/1S_cG_qK6MDo2y0UlgVmevde1CxMsNxha/view?usp=drivesdk","ZASKIA FATIMATUS AZZAHRAH - C")</f>
        <v>ZASKIA FATIMATUS AZZAHRAH - C</v>
      </c>
      <c r="BZ67" s="2" t="s">
        <v>3652</v>
      </c>
    </row>
    <row r="68">
      <c r="A68" s="77" t="str">
        <f t="shared" si="9"/>
        <v/>
      </c>
      <c r="G68" s="5"/>
      <c r="I68" s="2"/>
      <c r="L68" s="2"/>
      <c r="AO68" s="6"/>
      <c r="AQ68" s="6"/>
      <c r="AR68" s="6"/>
      <c r="AS68" s="6"/>
      <c r="AT68" s="6"/>
      <c r="AU68" s="6"/>
      <c r="BC68" s="6"/>
      <c r="BD68" s="6"/>
      <c r="BE68" s="6"/>
      <c r="BF68" s="6"/>
      <c r="BL68" s="6"/>
      <c r="BM68" s="73"/>
      <c r="BN68" s="74" t="str">
        <f t="shared" si="6"/>
        <v>Lainnya</v>
      </c>
      <c r="BO68" s="2"/>
      <c r="BP68" s="74"/>
      <c r="BQ68" s="74"/>
      <c r="BR68" s="74"/>
      <c r="BS68" s="74"/>
      <c r="BT68" s="74"/>
      <c r="BU68" s="74"/>
      <c r="BV68" s="74"/>
      <c r="BW68" s="2" t="s">
        <v>3653</v>
      </c>
      <c r="BX68" s="78" t="s">
        <v>3654</v>
      </c>
      <c r="BY68" s="79" t="str">
        <f>HYPERLINK("https://drive.google.com/file/d/1du7I35XPIdQZjkOAct4eRo3H7GQSagHg/view?usp=drivesdk","MOHAMMAD MUFTI AL FARIZI - A")</f>
        <v>MOHAMMAD MUFTI AL FARIZI - A</v>
      </c>
      <c r="BZ68" s="2" t="s">
        <v>3655</v>
      </c>
    </row>
    <row r="69">
      <c r="A69" s="77" t="str">
        <f t="shared" si="9"/>
        <v/>
      </c>
      <c r="B69" s="2"/>
      <c r="C69" s="2"/>
      <c r="H69" s="2"/>
      <c r="I69" s="2"/>
      <c r="J69" s="2"/>
      <c r="K69" s="2"/>
      <c r="L69" s="2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L69" s="6"/>
      <c r="BM69" s="73"/>
      <c r="BN69" s="74" t="str">
        <f t="shared" si="6"/>
        <v>Lainnya</v>
      </c>
      <c r="BO69" s="2"/>
      <c r="BP69" s="74"/>
      <c r="BQ69" s="74"/>
      <c r="BR69" s="74"/>
      <c r="BS69" s="74"/>
      <c r="BT69" s="74"/>
      <c r="BU69" s="74"/>
      <c r="BV69" s="74"/>
      <c r="BW69" s="2" t="s">
        <v>3656</v>
      </c>
      <c r="BX69" s="78" t="s">
        <v>3657</v>
      </c>
      <c r="BY69" s="79" t="str">
        <f>HYPERLINK("https://drive.google.com/file/d/1ZtXW_imowrDLuvO4EZgbM-snXEOmRzM6/view?usp=drivesdk","DEWI AYU SEKAR WANGI - C")</f>
        <v>DEWI AYU SEKAR WANGI - C</v>
      </c>
      <c r="BZ69" s="2" t="s">
        <v>3658</v>
      </c>
    </row>
    <row r="70">
      <c r="A70" s="77" t="str">
        <f t="shared" si="9"/>
        <v/>
      </c>
      <c r="B70" s="2"/>
      <c r="C70" s="2"/>
      <c r="H70" s="2"/>
      <c r="I70" s="2"/>
      <c r="J70" s="2"/>
      <c r="K70" s="2"/>
      <c r="L70" s="2"/>
      <c r="Q70" s="6"/>
      <c r="R70" s="6"/>
      <c r="S70" s="6"/>
      <c r="T70" s="6"/>
      <c r="BB70" s="6"/>
      <c r="BC70" s="6"/>
      <c r="BD70" s="6"/>
      <c r="BE70" s="6"/>
      <c r="BF70" s="6"/>
      <c r="BL70" s="6"/>
      <c r="BM70" s="73"/>
      <c r="BN70" s="74" t="str">
        <f t="shared" si="6"/>
        <v>Lainnya</v>
      </c>
      <c r="BO70" s="2"/>
      <c r="BP70" s="74"/>
      <c r="BQ70" s="74"/>
      <c r="BR70" s="74"/>
      <c r="BS70" s="74"/>
      <c r="BT70" s="74"/>
      <c r="BU70" s="74"/>
      <c r="BV70" s="74"/>
      <c r="BW70" s="2" t="s">
        <v>3659</v>
      </c>
      <c r="BX70" s="78" t="s">
        <v>3660</v>
      </c>
      <c r="BY70" s="79" t="str">
        <f>HYPERLINK("https://drive.google.com/file/d/1Dhb3cvcA2odhuzBZirjaJprMMALJu4zM/view?usp=drivesdk","MUHAMMAD NURIL HUDA ASSHODIQI - A")</f>
        <v>MUHAMMAD NURIL HUDA ASSHODIQI - A</v>
      </c>
      <c r="BZ70" s="2" t="s">
        <v>3661</v>
      </c>
    </row>
    <row r="71">
      <c r="A71" s="77" t="str">
        <f t="shared" si="9"/>
        <v/>
      </c>
      <c r="B71" s="2"/>
      <c r="C71" s="2"/>
      <c r="H71" s="2"/>
      <c r="I71" s="2"/>
      <c r="J71" s="2"/>
      <c r="K71" s="2"/>
      <c r="L71" s="2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L71" s="6"/>
      <c r="BM71" s="73"/>
      <c r="BN71" s="74" t="str">
        <f t="shared" si="6"/>
        <v>Lainnya</v>
      </c>
      <c r="BO71" s="2"/>
      <c r="BP71" s="74"/>
      <c r="BQ71" s="74"/>
      <c r="BR71" s="74"/>
      <c r="BS71" s="74"/>
      <c r="BT71" s="74"/>
      <c r="BU71" s="74"/>
      <c r="BV71" s="74"/>
      <c r="BW71" s="2" t="s">
        <v>3662</v>
      </c>
      <c r="BX71" s="78" t="s">
        <v>3663</v>
      </c>
      <c r="BY71" s="79" t="str">
        <f>HYPERLINK("https://drive.google.com/file/d/14RejVJJg7-3JCgsrqthf4Rg7h7nVmmmA/view?usp=drivesdk","ULUL AZMI BASORI - B")</f>
        <v>ULUL AZMI BASORI - B</v>
      </c>
      <c r="BZ71" s="2" t="s">
        <v>3664</v>
      </c>
    </row>
    <row r="72">
      <c r="A72" s="77" t="str">
        <f t="shared" si="9"/>
        <v/>
      </c>
      <c r="B72" s="2"/>
      <c r="C72" s="2"/>
      <c r="H72" s="2"/>
      <c r="I72" s="2"/>
      <c r="J72" s="2"/>
      <c r="K72" s="2"/>
      <c r="L72" s="2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L72" s="6"/>
      <c r="BM72" s="73"/>
      <c r="BN72" s="74" t="str">
        <f t="shared" si="6"/>
        <v>Lainnya</v>
      </c>
      <c r="BO72" s="2"/>
      <c r="BP72" s="74"/>
      <c r="BQ72" s="74"/>
      <c r="BR72" s="74"/>
      <c r="BS72" s="74"/>
      <c r="BT72" s="74"/>
      <c r="BU72" s="74"/>
      <c r="BV72" s="74"/>
      <c r="BW72" s="2" t="s">
        <v>3665</v>
      </c>
      <c r="BX72" s="78" t="s">
        <v>3666</v>
      </c>
      <c r="BY72" s="79" t="str">
        <f>HYPERLINK("https://drive.google.com/file/d/1Td0LoCP5QngZ-0rs-DwHrt37O4zceAlX/view?usp=drivesdk","ANGGI KURNIAWATI - F")</f>
        <v>ANGGI KURNIAWATI - F</v>
      </c>
      <c r="BZ72" s="2" t="s">
        <v>3667</v>
      </c>
    </row>
    <row r="73">
      <c r="A73" s="77" t="str">
        <f t="shared" si="9"/>
        <v/>
      </c>
      <c r="B73" s="2"/>
      <c r="C73" s="2"/>
      <c r="H73" s="2"/>
      <c r="I73" s="2"/>
      <c r="J73" s="2"/>
      <c r="K73" s="2"/>
      <c r="L73" s="2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L73" s="6"/>
      <c r="BM73" s="73"/>
      <c r="BN73" s="74" t="str">
        <f t="shared" si="6"/>
        <v>Lainnya</v>
      </c>
      <c r="BO73" s="2"/>
      <c r="BP73" s="74"/>
      <c r="BQ73" s="74"/>
      <c r="BR73" s="74"/>
      <c r="BS73" s="74"/>
      <c r="BT73" s="74"/>
      <c r="BU73" s="74"/>
      <c r="BV73" s="74"/>
      <c r="BW73" s="2" t="s">
        <v>3668</v>
      </c>
      <c r="BX73" s="78" t="s">
        <v>3669</v>
      </c>
      <c r="BY73" s="79" t="str">
        <f>HYPERLINK("https://drive.google.com/file/d/1eepz_dyWxc-Nju9CHV7orAQRD9x3tH8R/view?usp=drivesdk","CAHAYA ABWABIL FAROH - C")</f>
        <v>CAHAYA ABWABIL FAROH - C</v>
      </c>
      <c r="BZ73" s="2" t="s">
        <v>3670</v>
      </c>
    </row>
    <row r="74">
      <c r="A74" s="77" t="str">
        <f t="shared" si="9"/>
        <v/>
      </c>
      <c r="B74" s="2"/>
      <c r="C74" s="2"/>
      <c r="H74" s="2"/>
      <c r="I74" s="2"/>
      <c r="J74" s="2"/>
      <c r="M74" s="6"/>
      <c r="R74" s="6"/>
      <c r="S74" s="6"/>
      <c r="T74" s="6"/>
      <c r="AB74" s="6"/>
      <c r="AP74" s="6"/>
      <c r="BC74" s="6"/>
      <c r="BD74" s="6"/>
      <c r="BE74" s="6"/>
      <c r="BF74" s="6"/>
      <c r="BL74" s="6"/>
      <c r="BM74" s="73"/>
      <c r="BN74" s="74" t="str">
        <f t="shared" si="6"/>
        <v>Lainnya</v>
      </c>
      <c r="BO74" s="2"/>
      <c r="BP74" s="74"/>
      <c r="BQ74" s="74"/>
      <c r="BR74" s="74"/>
      <c r="BS74" s="74"/>
      <c r="BT74" s="74"/>
      <c r="BU74" s="74"/>
      <c r="BV74" s="74"/>
      <c r="BW74" s="74"/>
      <c r="BX74" s="74"/>
      <c r="BY74" s="74"/>
      <c r="BZ74" s="74"/>
    </row>
    <row r="75">
      <c r="A75" s="77" t="str">
        <f t="shared" si="9"/>
        <v/>
      </c>
      <c r="G75" s="2"/>
      <c r="I75" s="2"/>
      <c r="L75" s="2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L75" s="6"/>
      <c r="BM75" s="73"/>
      <c r="BN75" s="74" t="str">
        <f t="shared" si="6"/>
        <v>Lainnya</v>
      </c>
      <c r="BO75" s="2"/>
      <c r="BP75" s="74"/>
      <c r="BQ75" s="74"/>
      <c r="BR75" s="74"/>
      <c r="BS75" s="74"/>
      <c r="BT75" s="74"/>
      <c r="BU75" s="74"/>
      <c r="BV75" s="74"/>
      <c r="BW75" s="74"/>
      <c r="BX75" s="74"/>
      <c r="BY75" s="74"/>
      <c r="BZ75" s="74"/>
    </row>
    <row r="76">
      <c r="A76" s="77" t="str">
        <f t="shared" si="9"/>
        <v/>
      </c>
      <c r="G76" s="5"/>
      <c r="I76" s="2"/>
      <c r="L76" s="2"/>
      <c r="M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BC76" s="6"/>
      <c r="BD76" s="6"/>
      <c r="BE76" s="6"/>
      <c r="BF76" s="6"/>
      <c r="BL76" s="6"/>
      <c r="BM76" s="2"/>
      <c r="BN76" s="74" t="str">
        <f t="shared" si="6"/>
        <v>Lainnya</v>
      </c>
      <c r="BO76" s="2"/>
      <c r="BP76" s="74"/>
      <c r="BQ76" s="74"/>
      <c r="BR76" s="74"/>
      <c r="BS76" s="74"/>
      <c r="BT76" s="74"/>
      <c r="BU76" s="74"/>
      <c r="BV76" s="74"/>
      <c r="BW76" s="74"/>
      <c r="BX76" s="74"/>
      <c r="BY76" s="74"/>
      <c r="BZ76" s="74"/>
    </row>
    <row r="77">
      <c r="A77" s="77" t="str">
        <f t="shared" si="9"/>
        <v/>
      </c>
      <c r="B77" s="2"/>
      <c r="C77" s="2"/>
      <c r="H77" s="2"/>
      <c r="I77" s="2"/>
      <c r="J77" s="2"/>
      <c r="K77" s="2"/>
      <c r="L77" s="2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L77" s="6"/>
      <c r="BM77" s="73"/>
      <c r="BN77" s="74" t="str">
        <f t="shared" si="6"/>
        <v>Lainnya</v>
      </c>
      <c r="BO77" s="2"/>
      <c r="BP77" s="74"/>
      <c r="BQ77" s="74"/>
      <c r="BR77" s="74"/>
      <c r="BS77" s="74"/>
      <c r="BT77" s="74"/>
      <c r="BU77" s="74"/>
      <c r="BV77" s="74"/>
      <c r="BW77" s="2" t="s">
        <v>3671</v>
      </c>
      <c r="BX77" s="78" t="s">
        <v>3672</v>
      </c>
      <c r="BY77" s="79" t="str">
        <f>HYPERLINK("https://drive.google.com/file/d/1tqbceVe_hJU_YJzWvJJ_spiV8ni2UnPT/view?usp=drivesdk","NAFISAH NADA AURELA - B")</f>
        <v>NAFISAH NADA AURELA - B</v>
      </c>
      <c r="BZ77" s="2" t="s">
        <v>3673</v>
      </c>
    </row>
    <row r="78">
      <c r="A78" s="77" t="str">
        <f t="shared" si="9"/>
        <v/>
      </c>
      <c r="D78" s="2"/>
      <c r="E78" s="2"/>
      <c r="F78" s="2"/>
      <c r="G78" s="2"/>
      <c r="I78" s="2"/>
      <c r="L78" s="2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BC78" s="6"/>
      <c r="BD78" s="6"/>
      <c r="BE78" s="6"/>
      <c r="BF78" s="6"/>
      <c r="BL78" s="6"/>
      <c r="BM78" s="73"/>
      <c r="BN78" s="74" t="str">
        <f t="shared" si="6"/>
        <v>Lainnya</v>
      </c>
      <c r="BO78" s="2"/>
      <c r="BP78" s="74"/>
      <c r="BQ78" s="74"/>
      <c r="BR78" s="74"/>
      <c r="BS78" s="74"/>
      <c r="BT78" s="74"/>
      <c r="BU78" s="74"/>
      <c r="BV78" s="74"/>
      <c r="BW78" s="74"/>
      <c r="BX78" s="74"/>
      <c r="BY78" s="74"/>
      <c r="BZ78" s="74"/>
    </row>
    <row r="79">
      <c r="A79" s="77" t="str">
        <f t="shared" si="9"/>
        <v/>
      </c>
      <c r="G79" s="2"/>
      <c r="I79" s="2"/>
      <c r="L79" s="2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L79" s="6"/>
      <c r="BM79" s="73"/>
      <c r="BN79" s="74" t="str">
        <f t="shared" si="6"/>
        <v>Lainnya</v>
      </c>
      <c r="BO79" s="2"/>
      <c r="BP79" s="74"/>
      <c r="BQ79" s="74"/>
      <c r="BR79" s="74"/>
      <c r="BS79" s="74"/>
      <c r="BT79" s="74"/>
      <c r="BU79" s="74"/>
      <c r="BV79" s="74"/>
      <c r="BW79" s="74"/>
      <c r="BX79" s="74"/>
      <c r="BY79" s="74"/>
      <c r="BZ79" s="74"/>
    </row>
    <row r="80">
      <c r="A80" s="77" t="str">
        <f t="shared" si="9"/>
        <v/>
      </c>
      <c r="B80" s="2"/>
      <c r="C80" s="2"/>
      <c r="H80" s="2"/>
      <c r="I80" s="2"/>
      <c r="J80" s="2"/>
      <c r="K80" s="2"/>
      <c r="L80" s="2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L80" s="6"/>
      <c r="BM80" s="73"/>
      <c r="BN80" s="74" t="str">
        <f t="shared" si="6"/>
        <v>Lainnya</v>
      </c>
      <c r="BO80" s="2"/>
      <c r="BP80" s="74"/>
      <c r="BQ80" s="74"/>
      <c r="BR80" s="74"/>
      <c r="BS80" s="74"/>
      <c r="BT80" s="74"/>
      <c r="BU80" s="74"/>
      <c r="BV80" s="74"/>
      <c r="BW80" s="74"/>
      <c r="BX80" s="74"/>
      <c r="BY80" s="74"/>
      <c r="BZ80" s="74"/>
    </row>
    <row r="81">
      <c r="A81" s="77" t="str">
        <f t="shared" si="9"/>
        <v/>
      </c>
      <c r="B81" s="2"/>
      <c r="C81" s="2"/>
      <c r="H81" s="2"/>
      <c r="I81" s="2"/>
      <c r="J81" s="2"/>
      <c r="K81" s="2"/>
      <c r="L81" s="2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L81" s="6"/>
      <c r="BM81" s="73"/>
      <c r="BN81" s="74" t="str">
        <f t="shared" si="6"/>
        <v>Lainnya</v>
      </c>
      <c r="BO81" s="2"/>
      <c r="BP81" s="74"/>
      <c r="BQ81" s="74"/>
      <c r="BR81" s="74"/>
      <c r="BS81" s="74"/>
      <c r="BT81" s="74"/>
      <c r="BU81" s="74"/>
      <c r="BV81" s="74"/>
      <c r="BW81" s="74"/>
      <c r="BX81" s="74"/>
      <c r="BY81" s="74"/>
      <c r="BZ81" s="74"/>
    </row>
    <row r="82">
      <c r="A82" s="77" t="str">
        <f t="shared" si="9"/>
        <v/>
      </c>
      <c r="B82" s="2"/>
      <c r="C82" s="2"/>
      <c r="H82" s="2"/>
      <c r="I82" s="2"/>
      <c r="J82" s="2"/>
      <c r="K82" s="2"/>
      <c r="L82" s="2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L82" s="6"/>
      <c r="BM82" s="73"/>
      <c r="BN82" s="74" t="str">
        <f t="shared" si="6"/>
        <v>Lainnya</v>
      </c>
      <c r="BO82" s="2"/>
      <c r="BP82" s="74"/>
      <c r="BQ82" s="74"/>
      <c r="BR82" s="74"/>
      <c r="BS82" s="74"/>
      <c r="BT82" s="74"/>
      <c r="BU82" s="74"/>
      <c r="BV82" s="74"/>
      <c r="BW82" s="2" t="s">
        <v>3674</v>
      </c>
      <c r="BX82" s="78" t="s">
        <v>3675</v>
      </c>
      <c r="BY82" s="79" t="str">
        <f>HYPERLINK("https://drive.google.com/file/d/1w4cAOVwGhGr90aKiibXWNVm5H_-yovGW/view?usp=drivesdk","MOH. TSALIS FAHMI - A")</f>
        <v>MOH. TSALIS FAHMI - A</v>
      </c>
      <c r="BZ82" s="2" t="s">
        <v>3676</v>
      </c>
    </row>
    <row r="83">
      <c r="A83" s="77" t="str">
        <f t="shared" si="9"/>
        <v/>
      </c>
      <c r="B83" s="2"/>
      <c r="C83" s="2"/>
      <c r="H83" s="2"/>
      <c r="I83" s="2"/>
      <c r="J83" s="2"/>
      <c r="K83" s="2"/>
      <c r="L83" s="2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L83" s="6"/>
      <c r="BM83" s="73"/>
      <c r="BN83" s="74" t="str">
        <f t="shared" si="6"/>
        <v>Lainnya</v>
      </c>
      <c r="BO83" s="2"/>
      <c r="BP83" s="74"/>
      <c r="BQ83" s="74"/>
      <c r="BR83" s="74"/>
      <c r="BS83" s="74"/>
      <c r="BT83" s="74"/>
      <c r="BU83" s="74"/>
      <c r="BV83" s="74"/>
      <c r="BW83" s="74"/>
      <c r="BX83" s="74"/>
      <c r="BY83" s="74"/>
      <c r="BZ83" s="74"/>
    </row>
    <row r="84">
      <c r="A84" s="77" t="str">
        <f t="shared" si="9"/>
        <v/>
      </c>
      <c r="G84" s="2"/>
      <c r="I84" s="2"/>
      <c r="L84" s="2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L84" s="6"/>
      <c r="BM84" s="73"/>
      <c r="BN84" s="74" t="str">
        <f t="shared" si="6"/>
        <v>Lainnya</v>
      </c>
      <c r="BO84" s="2"/>
      <c r="BP84" s="74"/>
      <c r="BQ84" s="74"/>
      <c r="BR84" s="74"/>
      <c r="BS84" s="74"/>
      <c r="BT84" s="74"/>
      <c r="BU84" s="74"/>
      <c r="BV84" s="74"/>
      <c r="BW84" s="2" t="s">
        <v>3677</v>
      </c>
      <c r="BX84" s="78" t="s">
        <v>3678</v>
      </c>
      <c r="BY84" s="79" t="str">
        <f>HYPERLINK("https://drive.google.com/file/d/1BHVFWbVrLwXoOZMXu44185DfhUJ3aml3/view?usp=drivesdk","BALQIS NAYSILLA SABILAH - B")</f>
        <v>BALQIS NAYSILLA SABILAH - B</v>
      </c>
      <c r="BZ84" s="2" t="s">
        <v>3679</v>
      </c>
    </row>
    <row r="85">
      <c r="A85" s="77" t="str">
        <f t="shared" si="9"/>
        <v/>
      </c>
      <c r="G85" s="5"/>
      <c r="I85" s="2"/>
      <c r="L85" s="2"/>
      <c r="AM85" s="6"/>
      <c r="AN85" s="6"/>
      <c r="AO85" s="6"/>
      <c r="AQ85" s="6"/>
      <c r="AR85" s="6"/>
      <c r="AS85" s="6"/>
      <c r="AT85" s="6"/>
      <c r="AU85" s="6"/>
      <c r="AV85" s="6"/>
      <c r="BC85" s="6"/>
      <c r="BD85" s="6"/>
      <c r="BE85" s="6"/>
      <c r="BF85" s="6"/>
      <c r="BL85" s="6"/>
      <c r="BM85" s="73"/>
      <c r="BN85" s="74" t="str">
        <f t="shared" si="6"/>
        <v>Lainnya</v>
      </c>
      <c r="BO85" s="2"/>
      <c r="BP85" s="74"/>
      <c r="BQ85" s="74"/>
      <c r="BR85" s="74"/>
      <c r="BS85" s="74"/>
      <c r="BT85" s="74"/>
      <c r="BU85" s="74"/>
      <c r="BV85" s="74"/>
      <c r="BW85" s="2" t="s">
        <v>3680</v>
      </c>
      <c r="BX85" s="78" t="s">
        <v>3681</v>
      </c>
      <c r="BY85" s="79" t="str">
        <f>HYPERLINK("https://drive.google.com/file/d/19xnE0yy_QZdMtatMSuNd8S0izPBoOHCg/view?usp=drivesdk","NIKEN FARAH AYUNDA - B")</f>
        <v>NIKEN FARAH AYUNDA - B</v>
      </c>
      <c r="BZ85" s="2" t="s">
        <v>3682</v>
      </c>
    </row>
    <row r="86">
      <c r="A86" s="77" t="str">
        <f t="shared" si="9"/>
        <v/>
      </c>
      <c r="B86" s="2"/>
      <c r="C86" s="2"/>
      <c r="H86" s="2"/>
      <c r="I86" s="2"/>
      <c r="J86" s="2"/>
      <c r="K86" s="2"/>
      <c r="L86" s="2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L86" s="6"/>
      <c r="BM86" s="73"/>
      <c r="BN86" s="74" t="str">
        <f t="shared" si="6"/>
        <v>Lainnya</v>
      </c>
      <c r="BO86" s="2"/>
      <c r="BP86" s="74"/>
      <c r="BQ86" s="74"/>
      <c r="BR86" s="74"/>
      <c r="BS86" s="74"/>
      <c r="BT86" s="74"/>
      <c r="BU86" s="74"/>
      <c r="BV86" s="74"/>
      <c r="BW86" s="2" t="s">
        <v>3683</v>
      </c>
      <c r="BX86" s="78" t="s">
        <v>3684</v>
      </c>
      <c r="BY86" s="79" t="str">
        <f>HYPERLINK("https://drive.google.com/file/d/1DcPZI_4kGdkeoeIlGr7cQ84m-A3Kqeig/view?usp=drivesdk","VLOREDA AYU NATASYA - E")</f>
        <v>VLOREDA AYU NATASYA - E</v>
      </c>
      <c r="BZ86" s="2" t="s">
        <v>3685</v>
      </c>
    </row>
    <row r="87">
      <c r="A87" s="77" t="str">
        <f t="shared" si="9"/>
        <v/>
      </c>
      <c r="G87" s="2"/>
      <c r="I87" s="2"/>
      <c r="L87" s="2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L87" s="6"/>
      <c r="BM87" s="73"/>
      <c r="BN87" s="74" t="str">
        <f t="shared" si="6"/>
        <v>Lainnya</v>
      </c>
      <c r="BO87" s="2"/>
      <c r="BP87" s="74"/>
      <c r="BQ87" s="74"/>
      <c r="BR87" s="74"/>
      <c r="BS87" s="74"/>
      <c r="BT87" s="74"/>
      <c r="BU87" s="74"/>
      <c r="BV87" s="74"/>
      <c r="BW87" s="74"/>
      <c r="BX87" s="74"/>
      <c r="BY87" s="74"/>
      <c r="BZ87" s="74"/>
    </row>
    <row r="88">
      <c r="A88" s="77" t="str">
        <f t="shared" si="9"/>
        <v/>
      </c>
      <c r="G88" s="2"/>
      <c r="I88" s="2"/>
      <c r="L88" s="2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L88" s="6"/>
      <c r="BM88" s="73"/>
      <c r="BN88" s="74" t="str">
        <f t="shared" si="6"/>
        <v>Lainnya</v>
      </c>
      <c r="BO88" s="2"/>
      <c r="BP88" s="74"/>
      <c r="BQ88" s="74"/>
      <c r="BR88" s="74"/>
      <c r="BS88" s="74"/>
      <c r="BT88" s="74"/>
      <c r="BU88" s="74"/>
      <c r="BV88" s="74"/>
      <c r="BW88" s="2" t="s">
        <v>3686</v>
      </c>
      <c r="BX88" s="78" t="s">
        <v>3687</v>
      </c>
      <c r="BY88" s="79" t="str">
        <f>HYPERLINK("https://drive.google.com/file/d/15hPOg9iA9nrmmImc-S73yTFvT7FYXvjD/view?usp=drivesdk","TSANIAH KAMILA AQILAH - D")</f>
        <v>TSANIAH KAMILA AQILAH - D</v>
      </c>
      <c r="BZ88" s="2" t="s">
        <v>3688</v>
      </c>
    </row>
    <row r="89">
      <c r="A89" s="77" t="str">
        <f t="shared" si="9"/>
        <v/>
      </c>
      <c r="I89" s="2"/>
      <c r="L89" s="2"/>
      <c r="AN89" s="6"/>
      <c r="AO89" s="6"/>
      <c r="AP89" s="6"/>
      <c r="AQ89" s="6"/>
      <c r="AR89" s="6"/>
      <c r="AS89" s="6"/>
      <c r="AT89" s="6"/>
      <c r="AU89" s="6"/>
      <c r="AV89" s="6"/>
      <c r="BC89" s="6"/>
      <c r="BD89" s="6"/>
      <c r="BE89" s="6"/>
      <c r="BF89" s="6"/>
      <c r="BL89" s="6"/>
      <c r="BM89" s="73"/>
      <c r="BN89" s="74" t="str">
        <f t="shared" si="6"/>
        <v>Lainnya</v>
      </c>
      <c r="BO89" s="2"/>
      <c r="BP89" s="74"/>
      <c r="BQ89" s="74"/>
      <c r="BR89" s="74"/>
      <c r="BS89" s="74"/>
      <c r="BT89" s="74"/>
      <c r="BU89" s="74"/>
      <c r="BV89" s="74"/>
      <c r="BW89" s="74"/>
      <c r="BX89" s="74"/>
      <c r="BY89" s="74"/>
      <c r="BZ89" s="74"/>
    </row>
    <row r="90">
      <c r="A90" s="77" t="str">
        <f t="shared" si="9"/>
        <v/>
      </c>
      <c r="G90" s="5"/>
      <c r="I90" s="2"/>
      <c r="L90" s="2"/>
      <c r="M90" s="6"/>
      <c r="AB90" s="6"/>
      <c r="AO90" s="6"/>
      <c r="AP90" s="6"/>
      <c r="AQ90" s="6"/>
      <c r="AR90" s="6"/>
      <c r="AS90" s="6"/>
      <c r="AT90" s="6"/>
      <c r="AU90" s="6"/>
      <c r="AV90" s="6"/>
      <c r="BC90" s="6"/>
      <c r="BD90" s="6"/>
      <c r="BE90" s="6"/>
      <c r="BF90" s="6"/>
      <c r="BL90" s="6"/>
      <c r="BM90" s="73"/>
      <c r="BN90" s="74" t="str">
        <f t="shared" si="6"/>
        <v>Lainnya</v>
      </c>
      <c r="BO90" s="2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</row>
    <row r="91">
      <c r="A91" s="77" t="str">
        <f t="shared" si="9"/>
        <v/>
      </c>
      <c r="B91" s="2"/>
      <c r="C91" s="2"/>
      <c r="H91" s="2"/>
      <c r="I91" s="2"/>
      <c r="J91" s="2"/>
      <c r="K91" s="2"/>
      <c r="L91" s="2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J91" s="2"/>
      <c r="BK91" s="2"/>
      <c r="BL91" s="6"/>
      <c r="BM91" s="73"/>
      <c r="BN91" s="74" t="str">
        <f t="shared" si="6"/>
        <v>Lainnya</v>
      </c>
      <c r="BO91" s="2"/>
      <c r="BP91" s="74"/>
      <c r="BQ91" s="74"/>
      <c r="BR91" s="74"/>
      <c r="BS91" s="74"/>
      <c r="BT91" s="74"/>
      <c r="BU91" s="74"/>
      <c r="BV91" s="74"/>
      <c r="BW91" s="2" t="s">
        <v>3689</v>
      </c>
      <c r="BX91" s="78" t="s">
        <v>3690</v>
      </c>
      <c r="BY91" s="79" t="str">
        <f>HYPERLINK("https://drive.google.com/file/d/1i18s6wS7CF-zB4O-QSDx99SsgSQN80Rs/view?usp=drivesdk","ANDHINY SAFA ADILAH - B")</f>
        <v>ANDHINY SAFA ADILAH - B</v>
      </c>
      <c r="BZ91" s="2" t="s">
        <v>3691</v>
      </c>
    </row>
    <row r="92">
      <c r="A92" s="77" t="str">
        <f t="shared" si="9"/>
        <v/>
      </c>
      <c r="G92" s="5"/>
      <c r="I92" s="2"/>
      <c r="L92" s="2"/>
      <c r="AH92" s="6"/>
      <c r="AI92" s="6"/>
      <c r="AJ92" s="6"/>
      <c r="AK92" s="6"/>
      <c r="AL92" s="6"/>
      <c r="AM92" s="6"/>
      <c r="AN92" s="6"/>
      <c r="AO92" s="6"/>
      <c r="AQ92" s="6"/>
      <c r="AR92" s="6"/>
      <c r="AS92" s="6"/>
      <c r="AT92" s="6"/>
      <c r="AU92" s="6"/>
      <c r="AV92" s="6"/>
      <c r="BC92" s="6"/>
      <c r="BD92" s="6"/>
      <c r="BE92" s="6"/>
      <c r="BF92" s="6"/>
      <c r="BL92" s="6"/>
      <c r="BM92" s="73"/>
      <c r="BN92" s="74" t="str">
        <f t="shared" si="6"/>
        <v>Lainnya</v>
      </c>
      <c r="BO92" s="2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</row>
    <row r="93">
      <c r="A93" s="77" t="str">
        <f t="shared" si="9"/>
        <v/>
      </c>
      <c r="G93" s="2"/>
      <c r="I93" s="2"/>
      <c r="L93" s="2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L93" s="6"/>
      <c r="BM93" s="73"/>
      <c r="BN93" s="74" t="str">
        <f t="shared" si="6"/>
        <v>Lainnya</v>
      </c>
      <c r="BO93" s="2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</row>
    <row r="94">
      <c r="A94" s="77" t="str">
        <f t="shared" si="9"/>
        <v/>
      </c>
      <c r="B94" s="2"/>
      <c r="C94" s="2"/>
      <c r="H94" s="2"/>
      <c r="I94" s="2"/>
      <c r="J94" s="2"/>
      <c r="K94" s="2"/>
      <c r="L94" s="2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L94" s="6"/>
      <c r="BM94" s="73"/>
      <c r="BN94" s="74" t="str">
        <f t="shared" si="6"/>
        <v>Lainnya</v>
      </c>
      <c r="BO94" s="2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</row>
    <row r="95">
      <c r="A95" s="77" t="str">
        <f t="shared" si="9"/>
        <v/>
      </c>
      <c r="G95" s="5"/>
      <c r="I95" s="2"/>
      <c r="L95" s="2"/>
      <c r="M95" s="6"/>
      <c r="AB95" s="6"/>
      <c r="AO95" s="6"/>
      <c r="AP95" s="6"/>
      <c r="AQ95" s="6"/>
      <c r="AR95" s="6"/>
      <c r="AS95" s="6"/>
      <c r="AT95" s="6"/>
      <c r="AU95" s="6"/>
      <c r="AV95" s="6"/>
      <c r="BC95" s="6"/>
      <c r="BD95" s="6"/>
      <c r="BE95" s="6"/>
      <c r="BF95" s="6"/>
      <c r="BL95" s="6"/>
      <c r="BM95" s="73"/>
      <c r="BN95" s="74" t="str">
        <f t="shared" si="6"/>
        <v>Lainnya</v>
      </c>
      <c r="BO95" s="2"/>
      <c r="BP95" s="2"/>
      <c r="BQ95" s="74"/>
      <c r="BR95" s="74"/>
      <c r="BS95" s="74"/>
      <c r="BT95" s="74"/>
      <c r="BU95" s="74"/>
      <c r="BV95" s="74"/>
      <c r="BW95" s="74"/>
      <c r="BX95" s="74"/>
      <c r="BY95" s="74"/>
      <c r="BZ95" s="74"/>
    </row>
    <row r="96">
      <c r="A96" s="77" t="str">
        <f t="shared" si="9"/>
        <v/>
      </c>
      <c r="G96" s="5"/>
      <c r="I96" s="2"/>
      <c r="L96" s="2"/>
      <c r="AM96" s="6"/>
      <c r="AN96" s="6"/>
      <c r="AO96" s="6"/>
      <c r="AQ96" s="6"/>
      <c r="AR96" s="6"/>
      <c r="AS96" s="6"/>
      <c r="AT96" s="6"/>
      <c r="AU96" s="6"/>
      <c r="AV96" s="6"/>
      <c r="BC96" s="6"/>
      <c r="BD96" s="6"/>
      <c r="BE96" s="6"/>
      <c r="BF96" s="6"/>
      <c r="BL96" s="6"/>
      <c r="BM96" s="73"/>
      <c r="BN96" s="74" t="str">
        <f t="shared" si="6"/>
        <v>Lainnya</v>
      </c>
      <c r="BO96" s="2"/>
      <c r="BP96" s="2"/>
      <c r="BQ96" s="74"/>
      <c r="BR96" s="74"/>
      <c r="BS96" s="74"/>
      <c r="BT96" s="74"/>
      <c r="BU96" s="74"/>
      <c r="BV96" s="74"/>
      <c r="BW96" s="74"/>
      <c r="BX96" s="74"/>
      <c r="BY96" s="74"/>
      <c r="BZ96" s="74"/>
    </row>
    <row r="97">
      <c r="A97" s="77" t="str">
        <f t="shared" si="9"/>
        <v/>
      </c>
      <c r="B97" s="2"/>
      <c r="C97" s="2"/>
      <c r="H97" s="2"/>
      <c r="I97" s="2"/>
      <c r="J97" s="2"/>
      <c r="K97" s="2"/>
      <c r="L97" s="2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L97" s="6"/>
      <c r="BM97" s="73"/>
      <c r="BN97" s="74" t="str">
        <f t="shared" si="6"/>
        <v>Lainnya</v>
      </c>
      <c r="BO97" s="2"/>
      <c r="BP97" s="2"/>
      <c r="BQ97" s="74"/>
      <c r="BR97" s="74"/>
      <c r="BS97" s="74"/>
      <c r="BT97" s="74"/>
      <c r="BU97" s="74"/>
      <c r="BV97" s="74"/>
      <c r="BW97" s="74"/>
      <c r="BX97" s="74"/>
      <c r="BY97" s="74"/>
      <c r="BZ97" s="74"/>
    </row>
    <row r="98">
      <c r="A98" s="77" t="str">
        <f t="shared" si="9"/>
        <v/>
      </c>
      <c r="G98" s="5"/>
      <c r="I98" s="2"/>
      <c r="L98" s="5"/>
      <c r="M98" s="6"/>
      <c r="AB98" s="6"/>
      <c r="AN98" s="6"/>
      <c r="AO98" s="6"/>
      <c r="AP98" s="6"/>
      <c r="AQ98" s="6"/>
      <c r="AR98" s="6"/>
      <c r="AS98" s="6"/>
      <c r="AT98" s="6"/>
      <c r="AU98" s="6"/>
      <c r="AV98" s="6"/>
      <c r="BC98" s="6"/>
      <c r="BD98" s="6"/>
      <c r="BE98" s="6"/>
      <c r="BF98" s="6"/>
      <c r="BL98" s="6"/>
      <c r="BM98" s="73"/>
      <c r="BN98" s="74" t="str">
        <f t="shared" si="6"/>
        <v>Lainnya</v>
      </c>
      <c r="BO98" s="2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</row>
    <row r="99">
      <c r="A99" s="77" t="str">
        <f t="shared" si="9"/>
        <v/>
      </c>
      <c r="I99" s="2"/>
      <c r="L99" s="2"/>
      <c r="M99" s="6"/>
      <c r="AB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BC99" s="6"/>
      <c r="BD99" s="6"/>
      <c r="BE99" s="6"/>
      <c r="BF99" s="6"/>
      <c r="BL99" s="6"/>
      <c r="BM99" s="73"/>
      <c r="BN99" s="74" t="str">
        <f t="shared" si="6"/>
        <v>Lainnya</v>
      </c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</row>
    <row r="100">
      <c r="A100" s="77" t="str">
        <f t="shared" si="9"/>
        <v/>
      </c>
      <c r="I100" s="2"/>
      <c r="L100" s="2"/>
      <c r="M100" s="6"/>
      <c r="AA100" s="6"/>
      <c r="AB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BC100" s="6"/>
      <c r="BD100" s="6"/>
      <c r="BE100" s="6"/>
      <c r="BF100" s="6"/>
      <c r="BL100" s="6"/>
      <c r="BM100" s="73"/>
      <c r="BN100" s="74" t="str">
        <f t="shared" si="6"/>
        <v>Lainnya</v>
      </c>
      <c r="BO100" s="2"/>
      <c r="BP100" s="74"/>
      <c r="BQ100" s="74"/>
      <c r="BR100" s="74"/>
      <c r="BS100" s="74"/>
      <c r="BT100" s="74"/>
      <c r="BU100" s="74"/>
      <c r="BV100" s="74"/>
      <c r="BW100" s="2" t="s">
        <v>3692</v>
      </c>
      <c r="BX100" s="78" t="s">
        <v>3693</v>
      </c>
      <c r="BY100" s="79" t="str">
        <f>HYPERLINK("https://drive.google.com/file/d/1xWecT_eGN6h8FvBCoSnWRTK7rQzumHde/view?usp=drivesdk","NOVI IMRO`ATUL HABIBAH - C")</f>
        <v>NOVI IMRO`ATUL HABIBAH - C</v>
      </c>
      <c r="BZ100" s="2" t="s">
        <v>3694</v>
      </c>
    </row>
    <row r="101">
      <c r="A101" s="77" t="str">
        <f t="shared" si="9"/>
        <v/>
      </c>
      <c r="G101" s="2"/>
      <c r="I101" s="2"/>
      <c r="L101" s="2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L101" s="6"/>
      <c r="BM101" s="73"/>
      <c r="BN101" s="74" t="str">
        <f t="shared" si="6"/>
        <v>Lainnya</v>
      </c>
      <c r="BO101" s="2"/>
      <c r="BP101" s="74"/>
      <c r="BQ101" s="74"/>
      <c r="BR101" s="74"/>
      <c r="BS101" s="74"/>
      <c r="BT101" s="74"/>
      <c r="BU101" s="74"/>
      <c r="BV101" s="74"/>
      <c r="BW101" s="2" t="s">
        <v>3695</v>
      </c>
      <c r="BX101" s="78" t="s">
        <v>3696</v>
      </c>
      <c r="BY101" s="79" t="str">
        <f>HYPERLINK("https://drive.google.com/file/d/13IKGnBGW7U8XkzIASgjboLXO40ckaKEs/view?usp=drivesdk","ANDY HESTI DALILIFAHIMA - E")</f>
        <v>ANDY HESTI DALILIFAHIMA - E</v>
      </c>
      <c r="BZ101" s="2" t="s">
        <v>3697</v>
      </c>
    </row>
    <row r="102">
      <c r="A102" s="77" t="str">
        <f t="shared" si="9"/>
        <v/>
      </c>
      <c r="B102" s="2"/>
      <c r="C102" s="2"/>
      <c r="H102" s="2"/>
      <c r="I102" s="2"/>
      <c r="J102" s="2"/>
      <c r="K102" s="2"/>
      <c r="L102" s="2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L102" s="6"/>
      <c r="BM102" s="73"/>
      <c r="BN102" s="74" t="str">
        <f t="shared" si="6"/>
        <v>Lainnya</v>
      </c>
      <c r="BO102" s="2"/>
      <c r="BP102" s="74"/>
      <c r="BQ102" s="74"/>
      <c r="BR102" s="74"/>
      <c r="BS102" s="74"/>
      <c r="BT102" s="74"/>
      <c r="BU102" s="74"/>
      <c r="BV102" s="74"/>
      <c r="BW102" s="74"/>
      <c r="BX102" s="74"/>
      <c r="BY102" s="74"/>
      <c r="BZ102" s="74"/>
    </row>
    <row r="103">
      <c r="A103" s="77" t="str">
        <f t="shared" si="9"/>
        <v/>
      </c>
      <c r="G103" s="2"/>
      <c r="I103" s="2"/>
      <c r="L103" s="2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L103" s="6"/>
      <c r="BM103" s="73"/>
      <c r="BN103" s="74" t="str">
        <f t="shared" si="6"/>
        <v>Lainnya</v>
      </c>
      <c r="BO103" s="2"/>
      <c r="BP103" s="74"/>
      <c r="BQ103" s="74"/>
      <c r="BR103" s="74"/>
      <c r="BS103" s="74"/>
      <c r="BT103" s="74"/>
      <c r="BU103" s="74"/>
      <c r="BV103" s="74"/>
      <c r="BW103" s="2" t="s">
        <v>3698</v>
      </c>
      <c r="BX103" s="78" t="s">
        <v>3699</v>
      </c>
      <c r="BY103" s="79" t="str">
        <f>HYPERLINK("https://drive.google.com/file/d/1w3GwnAQC4PrvC4j61fsLAw8N3pOXcO2h/view?usp=drivesdk","JIHAN AGUSTIN FITRIA - C")</f>
        <v>JIHAN AGUSTIN FITRIA - C</v>
      </c>
      <c r="BZ103" s="2" t="s">
        <v>3700</v>
      </c>
    </row>
    <row r="104">
      <c r="A104" s="77" t="str">
        <f t="shared" si="9"/>
        <v/>
      </c>
      <c r="G104" s="2"/>
      <c r="I104" s="2"/>
      <c r="L104" s="2"/>
      <c r="M104" s="6"/>
      <c r="AO104" s="6"/>
      <c r="AQ104" s="6"/>
      <c r="AR104" s="6"/>
      <c r="AS104" s="6"/>
      <c r="AT104" s="6"/>
      <c r="AU104" s="6"/>
      <c r="AV104" s="6"/>
      <c r="AW104" s="6"/>
      <c r="BC104" s="6"/>
      <c r="BD104" s="6"/>
      <c r="BE104" s="6"/>
      <c r="BF104" s="6"/>
      <c r="BL104" s="6"/>
      <c r="BM104" s="73"/>
      <c r="BN104" s="74" t="str">
        <f t="shared" si="6"/>
        <v>Lainnya</v>
      </c>
      <c r="BO104" s="2"/>
      <c r="BP104" s="74"/>
      <c r="BQ104" s="74"/>
      <c r="BR104" s="74"/>
      <c r="BS104" s="74"/>
      <c r="BT104" s="74"/>
      <c r="BU104" s="74"/>
      <c r="BV104" s="74"/>
      <c r="BW104" s="2" t="s">
        <v>3701</v>
      </c>
      <c r="BX104" s="78" t="s">
        <v>3702</v>
      </c>
      <c r="BY104" s="79" t="str">
        <f>HYPERLINK("https://drive.google.com/file/d/1PfaUC7cEVBTGtReWCSnhHTY8dhO4Dj4F/view?usp=drivesdk","ERVINA ANGGI WAHYUNI - C")</f>
        <v>ERVINA ANGGI WAHYUNI - C</v>
      </c>
      <c r="BZ104" s="2" t="s">
        <v>3703</v>
      </c>
    </row>
    <row r="105">
      <c r="A105" s="77" t="str">
        <f t="shared" si="9"/>
        <v/>
      </c>
      <c r="G105" s="2"/>
      <c r="I105" s="2"/>
      <c r="L105" s="2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L105" s="6"/>
      <c r="BM105" s="73"/>
      <c r="BN105" s="74" t="str">
        <f t="shared" si="6"/>
        <v>Lainnya</v>
      </c>
      <c r="BO105" s="2"/>
      <c r="BP105" s="74"/>
      <c r="BQ105" s="74"/>
      <c r="BR105" s="74"/>
      <c r="BS105" s="74"/>
      <c r="BT105" s="74"/>
      <c r="BU105" s="74"/>
      <c r="BV105" s="74"/>
      <c r="BW105" s="74"/>
      <c r="BX105" s="74"/>
      <c r="BY105" s="74"/>
      <c r="BZ105" s="74"/>
    </row>
    <row r="106">
      <c r="A106" s="77" t="str">
        <f t="shared" si="9"/>
        <v/>
      </c>
      <c r="G106" s="2"/>
      <c r="I106" s="2"/>
      <c r="L106" s="2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L106" s="6"/>
      <c r="BM106" s="73"/>
      <c r="BN106" s="74" t="str">
        <f t="shared" si="6"/>
        <v>Lainnya</v>
      </c>
      <c r="BO106" s="2"/>
      <c r="BP106" s="74"/>
      <c r="BQ106" s="74"/>
      <c r="BR106" s="74"/>
      <c r="BS106" s="74"/>
      <c r="BT106" s="74"/>
      <c r="BU106" s="74"/>
      <c r="BV106" s="74"/>
      <c r="BW106" s="2" t="s">
        <v>3704</v>
      </c>
      <c r="BX106" s="78" t="s">
        <v>3705</v>
      </c>
      <c r="BY106" s="79" t="str">
        <f>HYPERLINK("https://drive.google.com/file/d/1zlR7yTmRhTJaeV5WnpqXAJN71FDM99Uc/view?usp=drivesdk","LIAL HAFIDHOH - C")</f>
        <v>LIAL HAFIDHOH - C</v>
      </c>
      <c r="BZ106" s="2" t="s">
        <v>3706</v>
      </c>
    </row>
    <row r="107">
      <c r="A107" s="77" t="str">
        <f t="shared" si="9"/>
        <v/>
      </c>
      <c r="G107" s="5"/>
      <c r="I107" s="2"/>
      <c r="L107" s="2"/>
      <c r="AO107" s="6"/>
      <c r="AQ107" s="6"/>
      <c r="AR107" s="6"/>
      <c r="AS107" s="6"/>
      <c r="AT107" s="6"/>
      <c r="AU107" s="6"/>
      <c r="AV107" s="6"/>
      <c r="AW107" s="6"/>
      <c r="BC107" s="6"/>
      <c r="BD107" s="6"/>
      <c r="BE107" s="6"/>
      <c r="BF107" s="6"/>
      <c r="BL107" s="6"/>
      <c r="BM107" s="73"/>
      <c r="BN107" s="74" t="str">
        <f t="shared" si="6"/>
        <v>Lainnya</v>
      </c>
      <c r="BO107" s="2"/>
      <c r="BP107" s="74"/>
      <c r="BQ107" s="74"/>
      <c r="BR107" s="74"/>
      <c r="BS107" s="74"/>
      <c r="BT107" s="74"/>
      <c r="BU107" s="74"/>
      <c r="BV107" s="74"/>
      <c r="BW107" s="74"/>
      <c r="BX107" s="74"/>
      <c r="BY107" s="74"/>
      <c r="BZ107" s="74"/>
    </row>
    <row r="108">
      <c r="A108" s="77" t="str">
        <f t="shared" si="9"/>
        <v/>
      </c>
      <c r="D108" s="2"/>
      <c r="E108" s="2"/>
      <c r="F108" s="2"/>
      <c r="G108" s="2"/>
      <c r="I108" s="2"/>
      <c r="L108" s="2"/>
      <c r="AO108" s="6"/>
      <c r="AQ108" s="6"/>
      <c r="AR108" s="6"/>
      <c r="AS108" s="6"/>
      <c r="AT108" s="6"/>
      <c r="AU108" s="6"/>
      <c r="AV108" s="6"/>
      <c r="AW108" s="6"/>
      <c r="BC108" s="6"/>
      <c r="BD108" s="6"/>
      <c r="BE108" s="6"/>
      <c r="BF108" s="6"/>
      <c r="BL108" s="6"/>
      <c r="BM108" s="73"/>
      <c r="BN108" s="74" t="str">
        <f t="shared" si="6"/>
        <v>Lainnya</v>
      </c>
      <c r="BO108" s="2"/>
      <c r="BP108" s="74"/>
      <c r="BQ108" s="74"/>
      <c r="BR108" s="74"/>
      <c r="BS108" s="74"/>
      <c r="BT108" s="74"/>
      <c r="BU108" s="74"/>
      <c r="BV108" s="74"/>
      <c r="BW108" s="2" t="s">
        <v>3707</v>
      </c>
      <c r="BX108" s="78" t="s">
        <v>3708</v>
      </c>
      <c r="BY108" s="79" t="str">
        <f>HYPERLINK("https://drive.google.com/file/d/13qHOiS5-1jnylnuzO4uIq9x6su5Z2mTi/view?usp=drivesdk","PUTRI ALYA ANTHASA - B")</f>
        <v>PUTRI ALYA ANTHASA - B</v>
      </c>
      <c r="BZ108" s="2" t="s">
        <v>3709</v>
      </c>
    </row>
    <row r="109">
      <c r="A109" s="77" t="str">
        <f t="shared" si="9"/>
        <v/>
      </c>
      <c r="B109" s="2"/>
      <c r="C109" s="2"/>
      <c r="H109" s="2"/>
      <c r="I109" s="2"/>
      <c r="J109" s="2"/>
      <c r="K109" s="2"/>
      <c r="L109" s="2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L109" s="6"/>
      <c r="BM109" s="80"/>
      <c r="BN109" s="74" t="str">
        <f t="shared" si="6"/>
        <v>Lainnya</v>
      </c>
      <c r="BO109" s="2"/>
      <c r="BP109" s="74"/>
      <c r="BQ109" s="74"/>
      <c r="BR109" s="74"/>
      <c r="BS109" s="74"/>
      <c r="BT109" s="74"/>
      <c r="BU109" s="74"/>
      <c r="BV109" s="74"/>
      <c r="BW109" s="74"/>
      <c r="BX109" s="74"/>
      <c r="BY109" s="74"/>
      <c r="BZ109" s="74"/>
    </row>
    <row r="110">
      <c r="A110" s="77" t="str">
        <f t="shared" si="9"/>
        <v/>
      </c>
      <c r="G110" s="2"/>
      <c r="I110" s="2"/>
      <c r="L110" s="2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L110" s="6"/>
      <c r="BM110" s="73"/>
      <c r="BN110" s="74" t="str">
        <f t="shared" si="6"/>
        <v>Lainnya</v>
      </c>
      <c r="BO110" s="2"/>
      <c r="BP110" s="74"/>
      <c r="BQ110" s="74"/>
      <c r="BR110" s="74"/>
      <c r="BS110" s="74"/>
      <c r="BT110" s="74"/>
      <c r="BU110" s="74"/>
      <c r="BV110" s="74"/>
      <c r="BW110" s="74"/>
      <c r="BX110" s="74"/>
      <c r="BY110" s="74"/>
      <c r="BZ110" s="74"/>
    </row>
    <row r="111">
      <c r="A111" s="77" t="str">
        <f t="shared" si="9"/>
        <v/>
      </c>
      <c r="B111" s="2"/>
      <c r="C111" s="2"/>
      <c r="H111" s="2"/>
      <c r="I111" s="2"/>
      <c r="J111" s="2"/>
      <c r="K111" s="2"/>
      <c r="L111" s="2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L111" s="6"/>
      <c r="BM111" s="73"/>
      <c r="BN111" s="74" t="str">
        <f t="shared" si="6"/>
        <v>Lainnya</v>
      </c>
      <c r="BO111" s="2"/>
      <c r="BP111" s="74"/>
      <c r="BQ111" s="74"/>
      <c r="BR111" s="74"/>
      <c r="BS111" s="74"/>
      <c r="BT111" s="74"/>
      <c r="BU111" s="74"/>
      <c r="BV111" s="74"/>
      <c r="BW111" s="74"/>
      <c r="BX111" s="74"/>
      <c r="BY111" s="74"/>
      <c r="BZ111" s="74"/>
    </row>
    <row r="112">
      <c r="A112" s="77" t="str">
        <f t="shared" si="9"/>
        <v/>
      </c>
      <c r="G112" s="5"/>
      <c r="I112" s="2"/>
      <c r="L112" s="2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L112" s="6"/>
      <c r="BM112" s="73"/>
      <c r="BN112" s="74" t="str">
        <f t="shared" si="6"/>
        <v>Lainnya</v>
      </c>
      <c r="BO112" s="2"/>
      <c r="BP112" s="74"/>
      <c r="BQ112" s="74"/>
      <c r="BR112" s="74"/>
      <c r="BS112" s="74"/>
      <c r="BT112" s="74"/>
      <c r="BU112" s="74"/>
      <c r="BV112" s="74"/>
      <c r="BW112" s="74"/>
      <c r="BX112" s="74"/>
      <c r="BY112" s="74"/>
      <c r="BZ112" s="74"/>
    </row>
    <row r="113">
      <c r="A113" s="77" t="str">
        <f t="shared" si="9"/>
        <v/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6"/>
      <c r="AB113" s="6"/>
      <c r="AE113" s="6"/>
      <c r="AF113" s="6"/>
      <c r="AG113" s="6"/>
      <c r="AH113" s="6"/>
      <c r="AI113" s="6"/>
      <c r="AP113" s="6"/>
      <c r="BC113" s="6"/>
      <c r="BD113" s="6"/>
      <c r="BE113" s="6"/>
      <c r="BF113" s="6"/>
      <c r="BL113" s="6"/>
      <c r="BM113" s="73"/>
      <c r="BN113" s="74" t="str">
        <f t="shared" si="6"/>
        <v>Lainnya</v>
      </c>
      <c r="BO113" s="2"/>
      <c r="BP113" s="74"/>
      <c r="BQ113" s="74"/>
      <c r="BR113" s="74"/>
      <c r="BS113" s="74"/>
      <c r="BT113" s="74"/>
      <c r="BU113" s="74"/>
      <c r="BV113" s="74"/>
      <c r="BW113" s="74"/>
      <c r="BX113" s="74"/>
      <c r="BY113" s="74"/>
      <c r="BZ113" s="74"/>
    </row>
    <row r="114">
      <c r="A114" s="77" t="str">
        <f t="shared" si="9"/>
        <v/>
      </c>
      <c r="G114" s="2"/>
      <c r="I114" s="2"/>
      <c r="L114" s="2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Q114" s="6"/>
      <c r="AR114" s="6"/>
      <c r="AS114" s="6"/>
      <c r="AT114" s="6"/>
      <c r="AU114" s="6"/>
      <c r="AV114" s="6"/>
      <c r="AW114" s="6"/>
      <c r="BC114" s="6"/>
      <c r="BD114" s="6"/>
      <c r="BE114" s="6"/>
      <c r="BF114" s="6"/>
      <c r="BL114" s="6"/>
      <c r="BM114" s="73"/>
      <c r="BN114" s="74" t="str">
        <f t="shared" si="6"/>
        <v>Lainnya</v>
      </c>
      <c r="BO114" s="2"/>
      <c r="BP114" s="74"/>
      <c r="BQ114" s="74"/>
      <c r="BR114" s="74"/>
      <c r="BS114" s="74"/>
      <c r="BT114" s="74"/>
      <c r="BU114" s="74"/>
      <c r="BV114" s="74"/>
      <c r="BW114" s="74"/>
      <c r="BX114" s="74"/>
      <c r="BY114" s="74"/>
      <c r="BZ114" s="74"/>
    </row>
    <row r="115">
      <c r="A115" s="77" t="str">
        <f t="shared" si="9"/>
        <v/>
      </c>
      <c r="G115" s="5"/>
      <c r="I115" s="2"/>
      <c r="L115" s="2"/>
      <c r="M115" s="6"/>
      <c r="AO115" s="6"/>
      <c r="AQ115" s="6"/>
      <c r="AR115" s="6"/>
      <c r="AS115" s="6"/>
      <c r="AT115" s="6"/>
      <c r="AU115" s="6"/>
      <c r="AV115" s="6"/>
      <c r="AW115" s="6"/>
      <c r="BC115" s="6"/>
      <c r="BD115" s="6"/>
      <c r="BE115" s="6"/>
      <c r="BF115" s="6"/>
      <c r="BL115" s="6"/>
      <c r="BM115" s="73"/>
      <c r="BN115" s="74" t="str">
        <f t="shared" si="6"/>
        <v>Lainnya</v>
      </c>
      <c r="BO115" s="2"/>
      <c r="BP115" s="74"/>
      <c r="BQ115" s="74"/>
      <c r="BR115" s="74"/>
      <c r="BS115" s="74"/>
      <c r="BT115" s="74"/>
      <c r="BU115" s="74"/>
      <c r="BV115" s="74"/>
      <c r="BW115" s="2" t="s">
        <v>3710</v>
      </c>
      <c r="BX115" s="78" t="s">
        <v>3711</v>
      </c>
      <c r="BY115" s="79" t="str">
        <f>HYPERLINK("https://drive.google.com/file/d/1pR0xD5PEukB8rXqAStWC-3DslR8NmdVi/view?usp=drivesdk","LATIFATUL MUNAWAROH - C")</f>
        <v>LATIFATUL MUNAWAROH - C</v>
      </c>
      <c r="BZ115" s="2" t="s">
        <v>3712</v>
      </c>
    </row>
    <row r="116">
      <c r="A116" s="77" t="str">
        <f t="shared" si="9"/>
        <v/>
      </c>
      <c r="B116" s="2"/>
      <c r="C116" s="2"/>
      <c r="H116" s="2"/>
      <c r="I116" s="2"/>
      <c r="J116" s="2"/>
      <c r="K116" s="2"/>
      <c r="L116" s="2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L116" s="6"/>
      <c r="BM116" s="73"/>
      <c r="BN116" s="74" t="str">
        <f t="shared" si="6"/>
        <v>Lainnya</v>
      </c>
      <c r="BO116" s="2"/>
      <c r="BP116" s="74"/>
      <c r="BQ116" s="74"/>
      <c r="BR116" s="74"/>
      <c r="BS116" s="74"/>
      <c r="BT116" s="74"/>
      <c r="BU116" s="74"/>
      <c r="BV116" s="74"/>
      <c r="BW116" s="2" t="s">
        <v>3713</v>
      </c>
      <c r="BX116" s="78" t="s">
        <v>3714</v>
      </c>
      <c r="BY116" s="79" t="str">
        <f>HYPERLINK("https://drive.google.com/file/d/1aG3tyLWxCZ4cYpV2lKAlZ-qKD9ICQ-A0/view?usp=drivesdk","MOH. ABU KHAZIM ABRAHAM - A")</f>
        <v>MOH. ABU KHAZIM ABRAHAM - A</v>
      </c>
      <c r="BZ116" s="2" t="s">
        <v>3715</v>
      </c>
    </row>
    <row r="117">
      <c r="A117" s="77" t="str">
        <f t="shared" si="9"/>
        <v/>
      </c>
      <c r="I117" s="2"/>
      <c r="L117" s="2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L117" s="6"/>
      <c r="BM117" s="73"/>
      <c r="BN117" s="74" t="str">
        <f t="shared" si="6"/>
        <v>Lainnya</v>
      </c>
      <c r="BO117" s="2"/>
      <c r="BP117" s="74"/>
      <c r="BQ117" s="74"/>
      <c r="BR117" s="74"/>
      <c r="BS117" s="74"/>
      <c r="BT117" s="74"/>
      <c r="BU117" s="74"/>
      <c r="BV117" s="74"/>
      <c r="BW117" s="74"/>
      <c r="BX117" s="74"/>
      <c r="BY117" s="74"/>
      <c r="BZ117" s="74"/>
    </row>
    <row r="118">
      <c r="A118" s="77" t="str">
        <f t="shared" si="9"/>
        <v/>
      </c>
      <c r="B118" s="2"/>
      <c r="C118" s="2"/>
      <c r="H118" s="2"/>
      <c r="I118" s="2"/>
      <c r="J118" s="2"/>
      <c r="K118" s="2"/>
      <c r="L118" s="2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L118" s="6"/>
      <c r="BM118" s="73"/>
      <c r="BN118" s="74" t="str">
        <f t="shared" si="6"/>
        <v>Lainnya</v>
      </c>
      <c r="BO118" s="2"/>
      <c r="BP118" s="74"/>
      <c r="BQ118" s="74"/>
      <c r="BR118" s="74"/>
      <c r="BS118" s="74"/>
      <c r="BT118" s="74"/>
      <c r="BU118" s="74"/>
      <c r="BV118" s="74"/>
      <c r="BW118" s="2" t="s">
        <v>3716</v>
      </c>
      <c r="BX118" s="78" t="s">
        <v>3717</v>
      </c>
      <c r="BY118" s="79" t="str">
        <f>HYPERLINK("https://drive.google.com/file/d/1TcVmRQxA0rdFK32_9WdHiCERw2BvioDV/view?usp=drivesdk","SASTA ELMUZA SYAWALLUNA - B")</f>
        <v>SASTA ELMUZA SYAWALLUNA - B</v>
      </c>
      <c r="BZ118" s="2" t="s">
        <v>3718</v>
      </c>
    </row>
    <row r="119">
      <c r="A119" s="77" t="str">
        <f t="shared" si="9"/>
        <v/>
      </c>
      <c r="D119" s="2"/>
      <c r="E119" s="2"/>
      <c r="G119" s="2"/>
      <c r="I119" s="2"/>
      <c r="L119" s="2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L119" s="6"/>
      <c r="BM119" s="73"/>
      <c r="BN119" s="74" t="str">
        <f t="shared" si="6"/>
        <v>Lainnya</v>
      </c>
      <c r="BO119" s="2"/>
      <c r="BP119" s="74"/>
      <c r="BQ119" s="74"/>
      <c r="BR119" s="74"/>
      <c r="BS119" s="74"/>
      <c r="BT119" s="74"/>
      <c r="BU119" s="74"/>
      <c r="BV119" s="74"/>
      <c r="BW119" s="74"/>
      <c r="BX119" s="74"/>
      <c r="BY119" s="74"/>
      <c r="BZ119" s="74"/>
    </row>
    <row r="120">
      <c r="A120" s="77" t="str">
        <f t="shared" si="9"/>
        <v/>
      </c>
      <c r="B120" s="2"/>
      <c r="C120" s="2"/>
      <c r="H120" s="2"/>
      <c r="I120" s="2"/>
      <c r="J120" s="2"/>
      <c r="K120" s="2"/>
      <c r="L120" s="2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L120" s="6"/>
      <c r="BM120" s="73"/>
      <c r="BN120" s="74" t="str">
        <f t="shared" si="6"/>
        <v>Lainnya</v>
      </c>
      <c r="BO120" s="2"/>
      <c r="BP120" s="74"/>
      <c r="BQ120" s="74"/>
      <c r="BR120" s="74"/>
      <c r="BS120" s="74"/>
      <c r="BT120" s="74"/>
      <c r="BU120" s="74"/>
      <c r="BV120" s="74"/>
      <c r="BW120" s="2" t="s">
        <v>3719</v>
      </c>
      <c r="BX120" s="78" t="s">
        <v>3720</v>
      </c>
      <c r="BY120" s="79" t="str">
        <f>HYPERLINK("https://drive.google.com/file/d/1nee_CPw-3hGwjGF-fho2MM3ix2OQ51X-/view?usp=drivesdk","AFICHA DWI AGUSTINA - B")</f>
        <v>AFICHA DWI AGUSTINA - B</v>
      </c>
      <c r="BZ120" s="2" t="s">
        <v>3721</v>
      </c>
    </row>
    <row r="121">
      <c r="A121" s="77" t="str">
        <f t="shared" si="9"/>
        <v/>
      </c>
      <c r="B121" s="2"/>
      <c r="C121" s="2"/>
      <c r="H121" s="2"/>
      <c r="I121" s="2"/>
      <c r="J121" s="2"/>
      <c r="K121" s="2"/>
      <c r="L121" s="2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L121" s="6"/>
      <c r="BM121" s="73"/>
      <c r="BN121" s="74" t="str">
        <f t="shared" si="6"/>
        <v>Lainnya</v>
      </c>
      <c r="BO121" s="2"/>
      <c r="BP121" s="74"/>
      <c r="BQ121" s="74"/>
      <c r="BR121" s="74"/>
      <c r="BS121" s="74"/>
      <c r="BT121" s="74"/>
      <c r="BU121" s="74"/>
      <c r="BV121" s="74"/>
      <c r="BW121" s="2" t="s">
        <v>3722</v>
      </c>
      <c r="BX121" s="78" t="s">
        <v>3723</v>
      </c>
      <c r="BY121" s="79" t="str">
        <f>HYPERLINK("https://drive.google.com/file/d/12nAwIa2ivqx7GDh94Yv_nhfvm1iydq1f/view?usp=drivesdk","AQILAH QAISARAMADHANI - B")</f>
        <v>AQILAH QAISARAMADHANI - B</v>
      </c>
      <c r="BZ121" s="2" t="s">
        <v>3724</v>
      </c>
    </row>
    <row r="122">
      <c r="A122" s="77" t="str">
        <f t="shared" si="9"/>
        <v/>
      </c>
      <c r="B122" s="2"/>
      <c r="C122" s="2"/>
      <c r="H122" s="2"/>
      <c r="I122" s="2"/>
      <c r="J122" s="2"/>
      <c r="K122" s="2"/>
      <c r="L122" s="2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L122" s="6"/>
      <c r="BM122" s="73"/>
      <c r="BN122" s="74" t="str">
        <f t="shared" si="6"/>
        <v>Lainnya</v>
      </c>
      <c r="BO122" s="2"/>
      <c r="BP122" s="74"/>
      <c r="BQ122" s="74"/>
      <c r="BR122" s="74"/>
      <c r="BS122" s="74"/>
      <c r="BT122" s="74"/>
      <c r="BU122" s="74"/>
      <c r="BV122" s="74"/>
      <c r="BW122" s="74"/>
      <c r="BX122" s="74"/>
      <c r="BY122" s="74"/>
      <c r="BZ122" s="74"/>
    </row>
    <row r="123">
      <c r="A123" s="77" t="str">
        <f t="shared" si="9"/>
        <v/>
      </c>
      <c r="B123" s="2"/>
      <c r="C123" s="2"/>
      <c r="H123" s="2"/>
      <c r="I123" s="2"/>
      <c r="J123" s="2"/>
      <c r="K123" s="2"/>
      <c r="L123" s="2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L123" s="6"/>
      <c r="BM123" s="73"/>
      <c r="BN123" s="74" t="str">
        <f t="shared" si="6"/>
        <v>Lainnya</v>
      </c>
      <c r="BO123" s="2"/>
      <c r="BP123" s="74"/>
      <c r="BQ123" s="74"/>
      <c r="BR123" s="74"/>
      <c r="BS123" s="74"/>
      <c r="BT123" s="74"/>
      <c r="BU123" s="74"/>
      <c r="BV123" s="74"/>
      <c r="BW123" s="74"/>
      <c r="BX123" s="74"/>
      <c r="BY123" s="74"/>
      <c r="BZ123" s="74"/>
    </row>
    <row r="124">
      <c r="A124" s="77" t="str">
        <f t="shared" si="9"/>
        <v/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6"/>
      <c r="R124" s="6"/>
      <c r="S124" s="6"/>
      <c r="T124" s="6"/>
      <c r="U124" s="6"/>
      <c r="V124" s="6"/>
      <c r="AB124" s="6"/>
      <c r="AP124" s="6"/>
      <c r="BB124" s="6"/>
      <c r="BC124" s="6"/>
      <c r="BD124" s="6"/>
      <c r="BE124" s="6"/>
      <c r="BF124" s="6"/>
      <c r="BL124" s="6"/>
      <c r="BM124" s="73"/>
      <c r="BN124" s="74" t="str">
        <f t="shared" si="6"/>
        <v>Lainnya</v>
      </c>
      <c r="BO124" s="2"/>
      <c r="BP124" s="74"/>
      <c r="BQ124" s="74"/>
      <c r="BR124" s="74"/>
      <c r="BS124" s="74"/>
      <c r="BT124" s="74"/>
      <c r="BU124" s="74"/>
      <c r="BV124" s="74"/>
      <c r="BW124" s="74"/>
      <c r="BX124" s="74"/>
      <c r="BY124" s="74"/>
      <c r="BZ124" s="74"/>
    </row>
    <row r="125">
      <c r="A125" s="77" t="str">
        <f t="shared" si="9"/>
        <v/>
      </c>
      <c r="B125" s="2"/>
      <c r="C125" s="2"/>
      <c r="H125" s="2"/>
      <c r="I125" s="2"/>
      <c r="J125" s="2"/>
      <c r="K125" s="2"/>
      <c r="L125" s="2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L125" s="6"/>
      <c r="BM125" s="73"/>
      <c r="BN125" s="74" t="str">
        <f t="shared" si="6"/>
        <v>Lainnya</v>
      </c>
      <c r="BO125" s="2"/>
      <c r="BP125" s="74"/>
      <c r="BQ125" s="74"/>
      <c r="BR125" s="74"/>
      <c r="BS125" s="74"/>
      <c r="BT125" s="74"/>
      <c r="BU125" s="74"/>
      <c r="BV125" s="74"/>
      <c r="BW125" s="74"/>
      <c r="BX125" s="74"/>
      <c r="BY125" s="74"/>
      <c r="BZ125" s="74"/>
    </row>
    <row r="126">
      <c r="A126" s="77" t="str">
        <f t="shared" si="9"/>
        <v/>
      </c>
      <c r="B126" s="2"/>
      <c r="C126" s="2"/>
      <c r="H126" s="2"/>
      <c r="I126" s="2"/>
      <c r="J126" s="2"/>
      <c r="K126" s="2"/>
      <c r="L126" s="2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L126" s="6"/>
      <c r="BM126" s="73"/>
      <c r="BN126" s="74" t="str">
        <f t="shared" si="6"/>
        <v>Lainnya</v>
      </c>
      <c r="BO126" s="2"/>
      <c r="BP126" s="74"/>
      <c r="BQ126" s="74"/>
      <c r="BR126" s="74"/>
      <c r="BS126" s="74"/>
      <c r="BT126" s="74"/>
      <c r="BU126" s="74"/>
      <c r="BV126" s="74"/>
      <c r="BW126" s="74"/>
      <c r="BX126" s="74"/>
      <c r="BY126" s="74"/>
      <c r="BZ126" s="74"/>
    </row>
    <row r="127">
      <c r="A127" s="77">
        <v>105.0</v>
      </c>
      <c r="B127" s="2"/>
      <c r="C127" s="2"/>
      <c r="H127" s="2"/>
      <c r="I127" s="2"/>
      <c r="J127" s="2"/>
      <c r="K127" s="2"/>
      <c r="L127" s="2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L127" s="6"/>
      <c r="BM127" s="73"/>
      <c r="BN127" s="74" t="str">
        <f t="shared" si="6"/>
        <v>Lainnya</v>
      </c>
      <c r="BO127" s="2"/>
      <c r="BP127" s="74"/>
      <c r="BQ127" s="74"/>
      <c r="BR127" s="74"/>
      <c r="BS127" s="74"/>
      <c r="BT127" s="74"/>
      <c r="BU127" s="74"/>
      <c r="BV127" s="74"/>
      <c r="BW127" s="2" t="s">
        <v>3725</v>
      </c>
      <c r="BX127" s="78" t="s">
        <v>3726</v>
      </c>
      <c r="BY127" s="79" t="str">
        <f>HYPERLINK("https://drive.google.com/file/d/19MgjfFJi39DCa1eSHvwMlJAqYXgtJh7J/view?usp=drivesdk","MUHAMMAD YUNAN AN NAWAF - A")</f>
        <v>MUHAMMAD YUNAN AN NAWAF - A</v>
      </c>
      <c r="BZ127" s="2" t="s">
        <v>3727</v>
      </c>
    </row>
    <row r="128">
      <c r="A128" s="77" t="str">
        <f t="shared" ref="A128:A164" si="10">IF(B128="","",ROW(A128)-2)</f>
        <v/>
      </c>
      <c r="G128" s="2"/>
      <c r="I128" s="2"/>
      <c r="L128" s="2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L128" s="6"/>
      <c r="BM128" s="73"/>
      <c r="BN128" s="74" t="str">
        <f t="shared" si="6"/>
        <v>Lainnya</v>
      </c>
      <c r="BO128" s="2"/>
      <c r="BP128" s="74"/>
      <c r="BQ128" s="74"/>
      <c r="BR128" s="74"/>
      <c r="BS128" s="74"/>
      <c r="BT128" s="74"/>
      <c r="BU128" s="74"/>
      <c r="BV128" s="74"/>
      <c r="BW128" s="2" t="s">
        <v>3728</v>
      </c>
      <c r="BX128" s="78" t="s">
        <v>3729</v>
      </c>
      <c r="BY128" s="79" t="str">
        <f>HYPERLINK("https://drive.google.com/file/d/12UY7xY5uxI-rh4l00yueAelUgal6SDS0/view?usp=drivesdk","ASMAUL KHUSNAH - C")</f>
        <v>ASMAUL KHUSNAH - C</v>
      </c>
      <c r="BZ128" s="2" t="s">
        <v>3730</v>
      </c>
    </row>
    <row r="129">
      <c r="A129" s="77" t="str">
        <f t="shared" si="10"/>
        <v/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S129" s="6"/>
      <c r="T129" s="6"/>
      <c r="U129" s="6"/>
      <c r="V129" s="6"/>
      <c r="W129" s="6"/>
      <c r="X129" s="6"/>
      <c r="Y129" s="6"/>
      <c r="Z129" s="6"/>
      <c r="BB129" s="6"/>
      <c r="BC129" s="6"/>
      <c r="BD129" s="6"/>
      <c r="BE129" s="6"/>
      <c r="BF129" s="6"/>
      <c r="BL129" s="6"/>
      <c r="BM129" s="73"/>
      <c r="BN129" s="74" t="str">
        <f t="shared" si="6"/>
        <v>Lainnya</v>
      </c>
      <c r="BO129" s="2"/>
      <c r="BP129" s="2" t="s">
        <v>3731</v>
      </c>
      <c r="BQ129" s="74"/>
      <c r="BR129" s="74"/>
      <c r="BS129" s="74"/>
      <c r="BT129" s="74"/>
      <c r="BU129" s="74"/>
      <c r="BV129" s="74"/>
      <c r="BW129" s="74"/>
      <c r="BX129" s="74"/>
      <c r="BY129" s="74"/>
      <c r="BZ129" s="74"/>
    </row>
    <row r="130">
      <c r="A130" s="77" t="str">
        <f t="shared" si="10"/>
        <v/>
      </c>
      <c r="B130" s="2"/>
      <c r="C130" s="2"/>
      <c r="H130" s="2"/>
      <c r="I130" s="2"/>
      <c r="J130" s="2"/>
      <c r="K130" s="2"/>
      <c r="L130" s="2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L130" s="6"/>
      <c r="BM130" s="73"/>
      <c r="BN130" s="74" t="str">
        <f t="shared" si="6"/>
        <v>Lainnya</v>
      </c>
      <c r="BO130" s="2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</row>
    <row r="131">
      <c r="A131" s="77" t="str">
        <f t="shared" si="10"/>
        <v/>
      </c>
      <c r="B131" s="2"/>
      <c r="C131" s="2"/>
      <c r="H131" s="2"/>
      <c r="I131" s="2"/>
      <c r="J131" s="2"/>
      <c r="K131" s="2"/>
      <c r="L131" s="2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L131" s="6"/>
      <c r="BM131" s="81"/>
      <c r="BN131" s="74" t="str">
        <f t="shared" si="6"/>
        <v>Lainnya</v>
      </c>
      <c r="BO131" s="2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</row>
    <row r="132">
      <c r="A132" s="77" t="str">
        <f t="shared" si="10"/>
        <v/>
      </c>
      <c r="B132" s="2"/>
      <c r="C132" s="2"/>
      <c r="H132" s="2"/>
      <c r="I132" s="2"/>
      <c r="J132" s="2"/>
      <c r="K132" s="2"/>
      <c r="L132" s="2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L132" s="6"/>
      <c r="BM132" s="73"/>
      <c r="BN132" s="74" t="str">
        <f t="shared" si="6"/>
        <v>Lainnya</v>
      </c>
      <c r="BO132" s="2"/>
      <c r="BP132" s="2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</row>
    <row r="133">
      <c r="A133" s="77" t="str">
        <f t="shared" si="10"/>
        <v/>
      </c>
      <c r="G133" s="2"/>
      <c r="I133" s="2"/>
      <c r="L133" s="2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L133" s="6"/>
      <c r="BM133" s="73"/>
      <c r="BN133" s="74" t="str">
        <f t="shared" si="6"/>
        <v>Lainnya</v>
      </c>
      <c r="BO133" s="2"/>
      <c r="BP133" s="2"/>
      <c r="BQ133" s="74"/>
      <c r="BR133" s="74"/>
      <c r="BS133" s="74"/>
      <c r="BT133" s="74"/>
      <c r="BU133" s="74"/>
      <c r="BV133" s="74"/>
      <c r="BW133" s="2" t="s">
        <v>3732</v>
      </c>
      <c r="BX133" s="78" t="s">
        <v>3733</v>
      </c>
      <c r="BY133" s="79" t="str">
        <f>HYPERLINK("https://drive.google.com/file/d/18IA8S5UZy1QXwP7eHJ4PgQ6LKJwzHc6V/view?usp=drivesdk","ADYATMA FIRDAUS - A")</f>
        <v>ADYATMA FIRDAUS - A</v>
      </c>
      <c r="BZ133" s="2" t="s">
        <v>3734</v>
      </c>
    </row>
    <row r="134">
      <c r="A134" s="77" t="str">
        <f t="shared" si="10"/>
        <v/>
      </c>
      <c r="B134" s="2"/>
      <c r="C134" s="2"/>
      <c r="H134" s="2"/>
      <c r="I134" s="2"/>
      <c r="J134" s="2"/>
      <c r="K134" s="2"/>
      <c r="L134" s="2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L134" s="6"/>
      <c r="BM134" s="73"/>
      <c r="BN134" s="74" t="str">
        <f t="shared" si="6"/>
        <v>Lainnya</v>
      </c>
      <c r="BO134" s="2"/>
      <c r="BP134" s="2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</row>
    <row r="135">
      <c r="A135" s="77" t="str">
        <f t="shared" si="10"/>
        <v/>
      </c>
      <c r="G135" s="6"/>
      <c r="I135" s="2"/>
      <c r="L135" s="2"/>
      <c r="M135" s="6"/>
      <c r="AB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</row>
    <row r="136">
      <c r="A136" s="77" t="str">
        <f t="shared" si="10"/>
        <v/>
      </c>
      <c r="G136" s="6"/>
      <c r="I136" s="2"/>
      <c r="L136" s="5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</row>
    <row r="137">
      <c r="A137" s="77" t="str">
        <f t="shared" si="10"/>
        <v/>
      </c>
      <c r="G137" s="6"/>
      <c r="I137" s="2"/>
      <c r="L137" s="2"/>
      <c r="AO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</row>
    <row r="138">
      <c r="A138" s="77" t="str">
        <f t="shared" si="10"/>
        <v/>
      </c>
      <c r="G138" s="2"/>
      <c r="I138" s="2"/>
      <c r="L138" s="2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L138" s="6"/>
      <c r="BM138" s="73"/>
      <c r="BN138" s="74" t="str">
        <f t="shared" ref="BN138:BN142" si="11">IF(BJ138="A","Dr. Abdulloh Faqih, S.Ag., M.Ag.",IF(BJ138="B","Dra. Hj. Khotimah Suryani",IF(BJ138="C","Hj. Shofijah",IF(BJ138="D","Hj. Zaenab",IF(BJ138="E","Dra. Hj. Siti Aisyah",IF(BJ138="F","Hj. Siti Djamilah","Lainnya"))))))</f>
        <v>Lainnya</v>
      </c>
      <c r="BO138" s="6"/>
      <c r="BP138" s="6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</row>
    <row r="139">
      <c r="A139" s="77" t="str">
        <f t="shared" si="10"/>
        <v/>
      </c>
      <c r="B139" s="2"/>
      <c r="C139" s="2"/>
      <c r="H139" s="2"/>
      <c r="I139" s="2"/>
      <c r="J139" s="2"/>
      <c r="K139" s="2"/>
      <c r="L139" s="2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L139" s="6"/>
      <c r="BM139" s="73"/>
      <c r="BN139" s="74" t="str">
        <f t="shared" si="11"/>
        <v>Lainnya</v>
      </c>
      <c r="BO139" s="6"/>
      <c r="BP139" s="6"/>
      <c r="BQ139" s="74"/>
      <c r="BR139" s="74"/>
      <c r="BS139" s="74"/>
      <c r="BT139" s="74"/>
      <c r="BU139" s="74"/>
      <c r="BV139" s="74"/>
      <c r="BW139" s="2" t="s">
        <v>3735</v>
      </c>
      <c r="BX139" s="78" t="s">
        <v>3736</v>
      </c>
      <c r="BY139" s="79" t="str">
        <f>HYPERLINK("https://drive.google.com/file/d/1BpkZDuitqA0QX4gl0khDKfPJQSiL8JOr/view?usp=drivesdk","MUHAMMAD FARDANI AUFAR - A")</f>
        <v>MUHAMMAD FARDANI AUFAR - A</v>
      </c>
      <c r="BZ139" s="2" t="s">
        <v>3737</v>
      </c>
    </row>
    <row r="140">
      <c r="A140" s="77" t="str">
        <f t="shared" si="10"/>
        <v/>
      </c>
      <c r="B140" s="2"/>
      <c r="C140" s="2"/>
      <c r="H140" s="2"/>
      <c r="I140" s="2"/>
      <c r="J140" s="2"/>
      <c r="K140" s="2"/>
      <c r="L140" s="2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L140" s="6"/>
      <c r="BM140" s="73"/>
      <c r="BN140" s="74" t="str">
        <f t="shared" si="11"/>
        <v>Lainnya</v>
      </c>
      <c r="BO140" s="2"/>
      <c r="BP140" s="2"/>
      <c r="BQ140" s="74"/>
      <c r="BR140" s="74"/>
      <c r="BS140" s="74"/>
      <c r="BT140" s="74"/>
      <c r="BU140" s="74"/>
      <c r="BV140" s="74"/>
      <c r="BW140" s="2" t="s">
        <v>3738</v>
      </c>
      <c r="BX140" s="78" t="s">
        <v>3739</v>
      </c>
      <c r="BY140" s="79" t="str">
        <f>HYPERLINK("https://drive.google.com/file/d/1WVTdIJc36XvrH8EuMq9aCZPQ4naaCaM4/view?usp=drivesdk","FARIHA HANIF AZ-ZAHRA - C")</f>
        <v>FARIHA HANIF AZ-ZAHRA - C</v>
      </c>
      <c r="BZ140" s="2" t="s">
        <v>3740</v>
      </c>
    </row>
    <row r="141">
      <c r="A141" s="77" t="str">
        <f t="shared" si="10"/>
        <v/>
      </c>
      <c r="G141" s="2"/>
      <c r="I141" s="2"/>
      <c r="L141" s="2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L141" s="6"/>
      <c r="BM141" s="73"/>
      <c r="BN141" s="74" t="str">
        <f t="shared" si="11"/>
        <v>Lainnya</v>
      </c>
      <c r="BO141" s="2"/>
      <c r="BP141" s="2"/>
      <c r="BQ141" s="74"/>
      <c r="BR141" s="74"/>
      <c r="BS141" s="74"/>
      <c r="BT141" s="74"/>
      <c r="BU141" s="74"/>
      <c r="BV141" s="74"/>
      <c r="BW141" s="2" t="s">
        <v>3741</v>
      </c>
      <c r="BX141" s="78" t="s">
        <v>3742</v>
      </c>
      <c r="BY141" s="79" t="str">
        <f>HYPERLINK("https://drive.google.com/file/d/1jdeIQ44ZqCI-cAqyr8foXk0XL1TCTUvg/view?usp=drivesdk","MUHAMMAD SIRRILLAH `AZIZI - A")</f>
        <v>MUHAMMAD SIRRILLAH `AZIZI - A</v>
      </c>
      <c r="BZ141" s="2" t="s">
        <v>3743</v>
      </c>
    </row>
    <row r="142">
      <c r="A142" s="77" t="str">
        <f t="shared" si="10"/>
        <v/>
      </c>
      <c r="B142" s="2"/>
      <c r="C142" s="2"/>
      <c r="H142" s="2"/>
      <c r="I142" s="2"/>
      <c r="J142" s="2"/>
      <c r="K142" s="2"/>
      <c r="L142" s="2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L142" s="6"/>
      <c r="BM142" s="73"/>
      <c r="BN142" s="74" t="str">
        <f t="shared" si="11"/>
        <v>Lainnya</v>
      </c>
      <c r="BO142" s="2"/>
      <c r="BP142" s="2"/>
      <c r="BQ142" s="74"/>
      <c r="BR142" s="74"/>
      <c r="BS142" s="74"/>
      <c r="BT142" s="74"/>
      <c r="BU142" s="74"/>
      <c r="BV142" s="74"/>
      <c r="BW142" s="2" t="s">
        <v>3744</v>
      </c>
      <c r="BX142" s="78" t="s">
        <v>3745</v>
      </c>
      <c r="BY142" s="79" t="str">
        <f>HYPERLINK("https://drive.google.com/file/d/1VrmBaVS6Odt5YNpzdPTtQTdJkT9WEIBU/view?usp=drivesdk","SYAFIQOH AS-SHOFI - B")</f>
        <v>SYAFIQOH AS-SHOFI - B</v>
      </c>
      <c r="BZ142" s="2" t="s">
        <v>3746</v>
      </c>
    </row>
    <row r="143">
      <c r="A143" s="77" t="str">
        <f t="shared" si="10"/>
        <v/>
      </c>
      <c r="G143" s="6"/>
      <c r="I143" s="2"/>
      <c r="K143" s="2"/>
      <c r="L143" s="5"/>
      <c r="M143" s="6"/>
      <c r="AB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</row>
    <row r="144">
      <c r="A144" s="77" t="str">
        <f t="shared" si="10"/>
        <v/>
      </c>
      <c r="B144" s="2"/>
      <c r="C144" s="2"/>
      <c r="H144" s="2"/>
      <c r="I144" s="2"/>
      <c r="J144" s="2"/>
      <c r="K144" s="2"/>
      <c r="L144" s="2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L144" s="6"/>
      <c r="BM144" s="73"/>
      <c r="BN144" s="74" t="str">
        <f t="shared" ref="BN144:BN145" si="12">IF(BJ144="A","Dr. Abdulloh Faqih, S.Ag., M.Ag.",IF(BJ144="B","Dra. Hj. Khotimah Suryani",IF(BJ144="C","Hj. Shofijah",IF(BJ144="D","Hj. Zaenab",IF(BJ144="E","Dra. Hj. Siti Aisyah",IF(BJ144="F","Hj. Siti Djamilah","Lainnya"))))))</f>
        <v>Lainnya</v>
      </c>
      <c r="BO144" s="2"/>
      <c r="BP144" s="74"/>
      <c r="BQ144" s="74"/>
      <c r="BR144" s="74"/>
      <c r="BS144" s="74"/>
      <c r="BT144" s="74"/>
      <c r="BU144" s="74"/>
      <c r="BV144" s="74"/>
      <c r="BW144" s="2" t="s">
        <v>3747</v>
      </c>
      <c r="BX144" s="78" t="s">
        <v>3748</v>
      </c>
      <c r="BY144" s="79" t="str">
        <f>HYPERLINK("https://drive.google.com/file/d/1NMZHDWeDSZhMyQSn2luU8ycAHpT4ggPf/view?usp=drivesdk","ANGGUN QOWINDA - F")</f>
        <v>ANGGUN QOWINDA - F</v>
      </c>
      <c r="BZ144" s="2" t="s">
        <v>3749</v>
      </c>
    </row>
    <row r="145">
      <c r="A145" s="77" t="str">
        <f t="shared" si="10"/>
        <v/>
      </c>
      <c r="G145" s="2"/>
      <c r="I145" s="2"/>
      <c r="L145" s="2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L145" s="6"/>
      <c r="BM145" s="73"/>
      <c r="BN145" s="74" t="str">
        <f t="shared" si="12"/>
        <v>Lainnya</v>
      </c>
      <c r="BO145" s="2"/>
      <c r="BP145" s="74"/>
      <c r="BQ145" s="74"/>
      <c r="BR145" s="74"/>
      <c r="BS145" s="74"/>
      <c r="BT145" s="74"/>
      <c r="BU145" s="74"/>
      <c r="BV145" s="74"/>
      <c r="BW145" s="74"/>
      <c r="BX145" s="74"/>
      <c r="BY145" s="74"/>
      <c r="BZ145" s="74"/>
    </row>
    <row r="146">
      <c r="A146" s="77" t="str">
        <f t="shared" si="10"/>
        <v/>
      </c>
      <c r="G146" s="6"/>
      <c r="I146" s="2"/>
      <c r="L146" s="2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</row>
    <row r="147">
      <c r="A147" s="77" t="str">
        <f t="shared" si="10"/>
        <v/>
      </c>
      <c r="B147" s="2"/>
      <c r="C147" s="2"/>
      <c r="H147" s="2"/>
      <c r="I147" s="2"/>
      <c r="J147" s="2"/>
      <c r="K147" s="2"/>
      <c r="L147" s="2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L147" s="6"/>
      <c r="BM147" s="73"/>
      <c r="BN147" s="74" t="str">
        <f t="shared" ref="BN147:BN154" si="13">IF(BJ147="A","Dr. Abdulloh Faqih, S.Ag., M.Ag.",IF(BJ147="B","Dra. Hj. Khotimah Suryani",IF(BJ147="C","Hj. Shofijah",IF(BJ147="D","Hj. Zaenab",IF(BJ147="E","Dra. Hj. Siti Aisyah",IF(BJ147="F","Hj. Siti Djamilah","Lainnya"))))))</f>
        <v>Lainnya</v>
      </c>
      <c r="BO147" s="74"/>
      <c r="BP147" s="74"/>
      <c r="BQ147" s="74"/>
      <c r="BR147" s="74"/>
      <c r="BS147" s="74"/>
      <c r="BT147" s="74"/>
      <c r="BU147" s="74"/>
      <c r="BV147" s="74"/>
      <c r="BW147" s="2" t="s">
        <v>3750</v>
      </c>
      <c r="BX147" s="78" t="s">
        <v>3751</v>
      </c>
      <c r="BY147" s="79" t="str">
        <f>HYPERLINK("https://drive.google.com/file/d/1quioWHG-PCzImJkxfglVCR5GsIfbpfFb/view?usp=drivesdk","MUHAMMAD RIADLIL HISAN - A")</f>
        <v>MUHAMMAD RIADLIL HISAN - A</v>
      </c>
      <c r="BZ147" s="2" t="s">
        <v>3752</v>
      </c>
    </row>
    <row r="148">
      <c r="A148" s="77" t="str">
        <f t="shared" si="10"/>
        <v/>
      </c>
      <c r="B148" s="2"/>
      <c r="C148" s="2"/>
      <c r="H148" s="2"/>
      <c r="I148" s="2"/>
      <c r="J148" s="2"/>
      <c r="K148" s="2"/>
      <c r="L148" s="2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L148" s="6"/>
      <c r="BM148" s="73"/>
      <c r="BN148" s="74" t="str">
        <f t="shared" si="13"/>
        <v>Lainnya</v>
      </c>
      <c r="BO148" s="74"/>
      <c r="BP148" s="74"/>
      <c r="BQ148" s="74"/>
      <c r="BR148" s="74"/>
      <c r="BS148" s="74"/>
      <c r="BT148" s="74"/>
      <c r="BU148" s="74"/>
      <c r="BV148" s="74"/>
      <c r="BW148" s="74"/>
      <c r="BX148" s="74"/>
      <c r="BY148" s="74"/>
      <c r="BZ148" s="74"/>
    </row>
    <row r="149">
      <c r="A149" s="77" t="str">
        <f t="shared" si="10"/>
        <v/>
      </c>
      <c r="B149" s="2"/>
      <c r="C149" s="2"/>
      <c r="H149" s="2"/>
      <c r="I149" s="2"/>
      <c r="J149" s="2"/>
      <c r="K149" s="2"/>
      <c r="L149" s="2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L149" s="6"/>
      <c r="BM149" s="73"/>
      <c r="BN149" s="74" t="str">
        <f t="shared" si="13"/>
        <v>Lainnya</v>
      </c>
      <c r="BO149" s="74"/>
      <c r="BP149" s="74"/>
      <c r="BQ149" s="74"/>
      <c r="BR149" s="74"/>
      <c r="BS149" s="74"/>
      <c r="BT149" s="74"/>
      <c r="BU149" s="74"/>
      <c r="BV149" s="74"/>
      <c r="BW149" s="74"/>
      <c r="BX149" s="74"/>
      <c r="BY149" s="74"/>
      <c r="BZ149" s="74"/>
    </row>
    <row r="150">
      <c r="A150" s="77" t="str">
        <f t="shared" si="10"/>
        <v/>
      </c>
      <c r="B150" s="2"/>
      <c r="C150" s="2"/>
      <c r="G150" s="2"/>
      <c r="H150" s="2"/>
      <c r="I150" s="2"/>
      <c r="J150" s="2"/>
      <c r="K150" s="2"/>
      <c r="L150" s="2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L150" s="6"/>
      <c r="BM150" s="73"/>
      <c r="BN150" s="74" t="str">
        <f t="shared" si="13"/>
        <v>Lainnya</v>
      </c>
      <c r="BO150" s="74"/>
      <c r="BP150" s="74"/>
      <c r="BQ150" s="74"/>
      <c r="BR150" s="74"/>
      <c r="BS150" s="74"/>
      <c r="BT150" s="74"/>
      <c r="BU150" s="74"/>
      <c r="BV150" s="74"/>
      <c r="BW150" s="2" t="s">
        <v>3753</v>
      </c>
      <c r="BX150" s="78" t="s">
        <v>3754</v>
      </c>
      <c r="BY150" s="79" t="str">
        <f>HYPERLINK("https://drive.google.com/file/d/17MSLEdp838C9f1S80ufFNR2t13uqqYns/view?usp=drivesdk","AMBARATUROH BILQIS ALBAHZAROH - B")</f>
        <v>AMBARATUROH BILQIS ALBAHZAROH - B</v>
      </c>
      <c r="BZ150" s="2" t="s">
        <v>3755</v>
      </c>
    </row>
    <row r="151">
      <c r="A151" s="77" t="str">
        <f t="shared" si="10"/>
        <v/>
      </c>
      <c r="G151" s="2"/>
      <c r="I151" s="2"/>
      <c r="L151" s="5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L151" s="6"/>
      <c r="BM151" s="73"/>
      <c r="BN151" s="74" t="str">
        <f t="shared" si="13"/>
        <v>Lainnya</v>
      </c>
      <c r="BO151" s="2"/>
      <c r="BP151" s="74"/>
      <c r="BQ151" s="74"/>
      <c r="BR151" s="74"/>
      <c r="BS151" s="74"/>
      <c r="BT151" s="74"/>
      <c r="BU151" s="74"/>
      <c r="BV151" s="74"/>
      <c r="BW151" s="74"/>
      <c r="BX151" s="74"/>
      <c r="BY151" s="74"/>
      <c r="BZ151" s="74"/>
    </row>
    <row r="152">
      <c r="A152" s="77" t="str">
        <f t="shared" si="10"/>
        <v/>
      </c>
      <c r="B152" s="2"/>
      <c r="C152" s="2"/>
      <c r="H152" s="2"/>
      <c r="I152" s="2"/>
      <c r="J152" s="2"/>
      <c r="K152" s="2"/>
      <c r="L152" s="5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L152" s="6"/>
      <c r="BM152" s="2"/>
      <c r="BN152" s="74" t="str">
        <f t="shared" si="13"/>
        <v>Lainnya</v>
      </c>
      <c r="BO152" s="74"/>
      <c r="BP152" s="74"/>
      <c r="BQ152" s="74"/>
      <c r="BR152" s="74"/>
      <c r="BS152" s="74"/>
      <c r="BT152" s="74"/>
      <c r="BU152" s="74"/>
      <c r="BV152" s="74"/>
      <c r="BW152" s="2" t="s">
        <v>3756</v>
      </c>
      <c r="BX152" s="78" t="s">
        <v>3757</v>
      </c>
      <c r="BY152" s="79" t="str">
        <f>HYPERLINK("https://drive.google.com/file/d/12iJkc66DrPgUNREcnSvwXh3TKjW96IYc/view?usp=drivesdk","ANGELIC DWI SABRINA - F")</f>
        <v>ANGELIC DWI SABRINA - F</v>
      </c>
      <c r="BZ152" s="2" t="s">
        <v>3758</v>
      </c>
    </row>
    <row r="153">
      <c r="A153" s="77" t="str">
        <f t="shared" si="10"/>
        <v/>
      </c>
      <c r="B153" s="2"/>
      <c r="C153" s="2"/>
      <c r="H153" s="2"/>
      <c r="I153" s="2"/>
      <c r="J153" s="2"/>
      <c r="K153" s="2"/>
      <c r="L153" s="5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L153" s="6"/>
      <c r="BM153" s="73"/>
      <c r="BN153" s="74" t="str">
        <f t="shared" si="13"/>
        <v>Lainnya</v>
      </c>
      <c r="BO153" s="74"/>
      <c r="BP153" s="74"/>
      <c r="BQ153" s="74"/>
      <c r="BR153" s="74"/>
      <c r="BS153" s="74"/>
      <c r="BT153" s="74"/>
      <c r="BU153" s="74"/>
      <c r="BV153" s="74"/>
      <c r="BW153" s="2" t="s">
        <v>3759</v>
      </c>
      <c r="BX153" s="78" t="s">
        <v>3760</v>
      </c>
      <c r="BY153" s="79" t="str">
        <f>HYPERLINK("https://drive.google.com/file/d/18Sloa8Dpc_j1CCaUeZEuHZH5DQoS1-aL/view?usp=drivesdk","PUTRI NUR KUMALA SARI - F")</f>
        <v>PUTRI NUR KUMALA SARI - F</v>
      </c>
      <c r="BZ153" s="2" t="s">
        <v>3761</v>
      </c>
    </row>
    <row r="154">
      <c r="A154" s="77" t="str">
        <f t="shared" si="10"/>
        <v/>
      </c>
      <c r="B154" s="2"/>
      <c r="C154" s="2"/>
      <c r="H154" s="2"/>
      <c r="I154" s="2"/>
      <c r="J154" s="2"/>
      <c r="K154" s="2"/>
      <c r="L154" s="5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L154" s="6"/>
      <c r="BM154" s="73"/>
      <c r="BN154" s="74" t="str">
        <f t="shared" si="13"/>
        <v>Lainnya</v>
      </c>
      <c r="BO154" s="74"/>
      <c r="BP154" s="74"/>
      <c r="BQ154" s="74"/>
      <c r="BR154" s="74"/>
      <c r="BS154" s="74"/>
      <c r="BT154" s="74"/>
      <c r="BU154" s="74"/>
      <c r="BV154" s="74"/>
      <c r="BW154" s="74"/>
      <c r="BX154" s="74"/>
      <c r="BY154" s="74"/>
      <c r="BZ154" s="74"/>
    </row>
    <row r="155">
      <c r="A155" s="77" t="str">
        <f t="shared" si="10"/>
        <v/>
      </c>
      <c r="G155" s="6"/>
      <c r="I155" s="2"/>
      <c r="K155" s="2"/>
      <c r="L155" s="5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L155" s="6"/>
      <c r="BM155" s="80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</row>
    <row r="156">
      <c r="A156" s="77" t="str">
        <f t="shared" si="10"/>
        <v/>
      </c>
      <c r="G156" s="2"/>
      <c r="I156" s="2"/>
      <c r="L156" s="5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L156" s="6"/>
      <c r="BM156" s="73"/>
      <c r="BN156" s="74" t="str">
        <f t="shared" ref="BN156:BN161" si="14">IF(BJ156="A","Dr. Abdulloh Faqih, S.Ag., M.Ag.",IF(BJ156="B","Dra. Hj. Khotimah Suryani",IF(BJ156="C","Hj. Shofijah",IF(BJ156="D","Hj. Zaenab",IF(BJ156="E","Dra. Hj. Siti Aisyah",IF(BJ156="F","Hj. Siti Djamilah","Lainnya"))))))</f>
        <v>Lainnya</v>
      </c>
      <c r="BO156" s="74"/>
      <c r="BP156" s="74"/>
      <c r="BQ156" s="74"/>
      <c r="BR156" s="74"/>
      <c r="BS156" s="74"/>
      <c r="BT156" s="74"/>
      <c r="BU156" s="74"/>
      <c r="BV156" s="74"/>
      <c r="BW156" s="74"/>
      <c r="BX156" s="74"/>
      <c r="BY156" s="74"/>
      <c r="BZ156" s="74"/>
    </row>
    <row r="157">
      <c r="A157" s="77" t="str">
        <f t="shared" si="10"/>
        <v/>
      </c>
      <c r="B157" s="2"/>
      <c r="C157" s="2"/>
      <c r="H157" s="2"/>
      <c r="I157" s="2"/>
      <c r="J157" s="2"/>
      <c r="K157" s="2"/>
      <c r="L157" s="5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L157" s="6"/>
      <c r="BM157" s="73"/>
      <c r="BN157" s="74" t="str">
        <f t="shared" si="14"/>
        <v>Lainnya</v>
      </c>
      <c r="BO157" s="74"/>
      <c r="BP157" s="74"/>
      <c r="BQ157" s="74"/>
      <c r="BR157" s="74"/>
      <c r="BS157" s="74"/>
      <c r="BT157" s="74"/>
      <c r="BU157" s="74"/>
      <c r="BV157" s="74"/>
      <c r="BW157" s="2" t="s">
        <v>3762</v>
      </c>
      <c r="BX157" s="78" t="s">
        <v>3763</v>
      </c>
      <c r="BY157" s="79" t="str">
        <f>HYPERLINK("https://drive.google.com/file/d/1T2xW2ol1HL_pL0-lRKHQTZK3bNRFDq7a/view?usp=drivesdk","MUHAMMAD NAZRIEL FARDANI - A")</f>
        <v>MUHAMMAD NAZRIEL FARDANI - A</v>
      </c>
      <c r="BZ157" s="2" t="s">
        <v>3764</v>
      </c>
    </row>
    <row r="158">
      <c r="A158" s="77" t="str">
        <f t="shared" si="10"/>
        <v/>
      </c>
      <c r="B158" s="2"/>
      <c r="C158" s="2"/>
      <c r="H158" s="2"/>
      <c r="I158" s="2"/>
      <c r="J158" s="2"/>
      <c r="K158" s="2"/>
      <c r="L158" s="5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L158" s="6"/>
      <c r="BM158" s="73"/>
      <c r="BN158" s="74" t="str">
        <f t="shared" si="14"/>
        <v>Lainnya</v>
      </c>
      <c r="BO158" s="74"/>
      <c r="BP158" s="74"/>
      <c r="BQ158" s="74"/>
      <c r="BR158" s="74"/>
      <c r="BS158" s="74"/>
      <c r="BT158" s="74"/>
      <c r="BU158" s="74"/>
      <c r="BV158" s="74"/>
      <c r="BW158" s="74"/>
      <c r="BX158" s="74"/>
      <c r="BY158" s="74"/>
      <c r="BZ158" s="74"/>
    </row>
    <row r="159">
      <c r="A159" s="77" t="str">
        <f t="shared" si="10"/>
        <v/>
      </c>
      <c r="B159" s="2"/>
      <c r="C159" s="2"/>
      <c r="H159" s="2"/>
      <c r="I159" s="2"/>
      <c r="J159" s="2"/>
      <c r="K159" s="2"/>
      <c r="L159" s="5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L159" s="6"/>
      <c r="BM159" s="73"/>
      <c r="BN159" s="74" t="str">
        <f t="shared" si="14"/>
        <v>Lainnya</v>
      </c>
      <c r="BO159" s="74"/>
      <c r="BP159" s="74"/>
      <c r="BQ159" s="74"/>
      <c r="BR159" s="74"/>
      <c r="BS159" s="74"/>
      <c r="BT159" s="74"/>
      <c r="BU159" s="74"/>
      <c r="BV159" s="74"/>
      <c r="BW159" s="74"/>
      <c r="BX159" s="74"/>
      <c r="BY159" s="74"/>
      <c r="BZ159" s="74"/>
    </row>
    <row r="160">
      <c r="A160" s="77" t="str">
        <f t="shared" si="10"/>
        <v/>
      </c>
      <c r="B160" s="2"/>
      <c r="C160" s="2"/>
      <c r="H160" s="2"/>
      <c r="I160" s="2"/>
      <c r="J160" s="2"/>
      <c r="K160" s="2"/>
      <c r="L160" s="5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L160" s="6"/>
      <c r="BM160" s="73"/>
      <c r="BN160" s="74" t="str">
        <f t="shared" si="14"/>
        <v>Lainnya</v>
      </c>
      <c r="BO160" s="74"/>
      <c r="BP160" s="74"/>
      <c r="BQ160" s="74"/>
      <c r="BR160" s="74"/>
      <c r="BS160" s="74"/>
      <c r="BT160" s="74"/>
      <c r="BU160" s="74"/>
      <c r="BV160" s="74"/>
      <c r="BW160" s="74"/>
      <c r="BX160" s="74"/>
      <c r="BY160" s="74"/>
      <c r="BZ160" s="74"/>
    </row>
    <row r="161">
      <c r="A161" s="77" t="str">
        <f t="shared" si="10"/>
        <v/>
      </c>
      <c r="B161" s="2"/>
      <c r="C161" s="2"/>
      <c r="H161" s="2"/>
      <c r="I161" s="2"/>
      <c r="J161" s="2"/>
      <c r="L161" s="5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L161" s="6"/>
      <c r="BM161" s="73"/>
      <c r="BN161" s="74" t="str">
        <f t="shared" si="14"/>
        <v>Lainnya</v>
      </c>
      <c r="BO161" s="74"/>
      <c r="BP161" s="74"/>
      <c r="BQ161" s="74"/>
      <c r="BR161" s="74"/>
      <c r="BS161" s="74"/>
      <c r="BT161" s="74"/>
      <c r="BU161" s="74"/>
      <c r="BV161" s="74"/>
      <c r="BW161" s="74"/>
      <c r="BX161" s="74"/>
      <c r="BY161" s="74"/>
      <c r="BZ161" s="74"/>
    </row>
    <row r="162">
      <c r="A162" s="77" t="str">
        <f t="shared" si="10"/>
        <v/>
      </c>
      <c r="B162" s="2"/>
      <c r="C162" s="2"/>
      <c r="H162" s="2"/>
      <c r="I162" s="2"/>
      <c r="J162" s="2"/>
      <c r="K162" s="2"/>
      <c r="L162" s="5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L162" s="6"/>
      <c r="BM162" s="73"/>
      <c r="BN162" s="74"/>
      <c r="BO162" s="74"/>
      <c r="BP162" s="74"/>
      <c r="BQ162" s="74"/>
      <c r="BR162" s="74"/>
      <c r="BS162" s="74"/>
      <c r="BT162" s="74"/>
      <c r="BU162" s="74"/>
      <c r="BV162" s="74"/>
      <c r="BW162" s="2" t="s">
        <v>3765</v>
      </c>
      <c r="BX162" s="78" t="s">
        <v>3766</v>
      </c>
      <c r="BY162" s="79" t="str">
        <f>HYPERLINK("https://drive.google.com/file/d/15CrYGlTxozvS8bhjXK07vxojKXxyewaW/view?usp=drivesdk","ANINTIAS LAILI FIRDANIA - C")</f>
        <v>ANINTIAS LAILI FIRDANIA - C</v>
      </c>
      <c r="BZ162" s="2" t="s">
        <v>3767</v>
      </c>
    </row>
    <row r="163">
      <c r="A163" s="77" t="str">
        <f t="shared" si="10"/>
        <v/>
      </c>
      <c r="B163" s="2"/>
      <c r="C163" s="2"/>
      <c r="H163" s="2"/>
      <c r="I163" s="2"/>
      <c r="J163" s="2"/>
      <c r="K163" s="2"/>
      <c r="L163" s="5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L163" s="6"/>
      <c r="BM163" s="2"/>
      <c r="BN163" s="74"/>
      <c r="BO163" s="74"/>
      <c r="BP163" s="74"/>
      <c r="BQ163" s="74"/>
      <c r="BR163" s="74"/>
      <c r="BS163" s="74"/>
      <c r="BT163" s="74"/>
      <c r="BU163" s="74"/>
      <c r="BV163" s="74"/>
      <c r="BW163" s="74"/>
      <c r="BX163" s="74"/>
      <c r="BY163" s="74"/>
      <c r="BZ163" s="74"/>
    </row>
    <row r="164">
      <c r="A164" s="77" t="str">
        <f t="shared" si="10"/>
        <v/>
      </c>
      <c r="G164" s="2"/>
      <c r="I164" s="2"/>
      <c r="L164" s="5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L164" s="6"/>
      <c r="BM164" s="73"/>
      <c r="BN164" s="74"/>
      <c r="BO164" s="74"/>
      <c r="BP164" s="74"/>
      <c r="BQ164" s="74"/>
      <c r="BR164" s="74"/>
      <c r="BS164" s="74"/>
      <c r="BT164" s="74"/>
      <c r="BU164" s="74"/>
      <c r="BV164" s="74"/>
      <c r="BW164" s="74"/>
      <c r="BX164" s="74"/>
      <c r="BY164" s="74"/>
      <c r="BZ164" s="74"/>
    </row>
    <row r="165">
      <c r="A165" s="77" t="str">
        <f t="shared" ref="A165:A377" si="15">IF(B164="","",ROW(A164)-0)</f>
        <v/>
      </c>
      <c r="I165" s="2"/>
      <c r="L165" s="2"/>
      <c r="AL165" s="6"/>
      <c r="AM165" s="6"/>
      <c r="AN165" s="6"/>
      <c r="AO165" s="6"/>
      <c r="AQ165" s="6"/>
      <c r="AR165" s="6"/>
      <c r="AS165" s="6"/>
      <c r="BC165" s="6"/>
      <c r="BD165" s="6"/>
      <c r="BE165" s="6"/>
      <c r="BF165" s="6"/>
      <c r="BL165" s="6"/>
      <c r="BM165" s="73"/>
      <c r="BN165" s="74"/>
      <c r="BO165" s="74"/>
      <c r="BP165" s="74"/>
      <c r="BQ165" s="74"/>
      <c r="BR165" s="74"/>
      <c r="BS165" s="74"/>
      <c r="BT165" s="74"/>
      <c r="BU165" s="74"/>
      <c r="BV165" s="74"/>
      <c r="BW165" s="74"/>
      <c r="BX165" s="74"/>
      <c r="BY165" s="74"/>
      <c r="BZ165" s="74"/>
    </row>
    <row r="166">
      <c r="A166" s="77" t="str">
        <f t="shared" si="15"/>
        <v/>
      </c>
      <c r="I166" s="2"/>
      <c r="L166" s="2"/>
      <c r="AO166" s="6"/>
      <c r="AQ166" s="6"/>
      <c r="AR166" s="6"/>
      <c r="AS166" s="6"/>
      <c r="BC166" s="6"/>
      <c r="BD166" s="6"/>
      <c r="BE166" s="6"/>
      <c r="BF166" s="6"/>
      <c r="BL166" s="6"/>
      <c r="BM166" s="73"/>
      <c r="BN166" s="74"/>
      <c r="BO166" s="74"/>
      <c r="BP166" s="74"/>
      <c r="BQ166" s="74"/>
      <c r="BR166" s="74"/>
      <c r="BS166" s="74"/>
      <c r="BT166" s="74"/>
      <c r="BU166" s="74"/>
      <c r="BV166" s="74"/>
      <c r="BW166" s="74"/>
      <c r="BX166" s="74"/>
      <c r="BY166" s="74"/>
      <c r="BZ166" s="74"/>
    </row>
    <row r="167">
      <c r="A167" s="77" t="str">
        <f t="shared" si="15"/>
        <v/>
      </c>
      <c r="I167" s="2"/>
      <c r="L167" s="2"/>
      <c r="M167" s="6"/>
      <c r="AA167" s="6"/>
      <c r="AB167" s="6"/>
      <c r="AO167" s="6"/>
      <c r="AP167" s="6"/>
      <c r="AQ167" s="6"/>
      <c r="AR167" s="6"/>
      <c r="AS167" s="6"/>
      <c r="BC167" s="6"/>
      <c r="BD167" s="6"/>
      <c r="BE167" s="6"/>
      <c r="BF167" s="6"/>
      <c r="BL167" s="6"/>
      <c r="BM167" s="73"/>
      <c r="BN167" s="74"/>
      <c r="BO167" s="74"/>
      <c r="BP167" s="74"/>
      <c r="BQ167" s="74"/>
      <c r="BR167" s="74"/>
      <c r="BS167" s="74"/>
      <c r="BT167" s="74"/>
      <c r="BU167" s="74"/>
      <c r="BV167" s="74"/>
      <c r="BW167" s="74"/>
      <c r="BX167" s="74"/>
      <c r="BY167" s="74"/>
      <c r="BZ167" s="74"/>
    </row>
    <row r="168">
      <c r="A168" s="77" t="str">
        <f t="shared" si="15"/>
        <v/>
      </c>
      <c r="I168" s="2"/>
      <c r="L168" s="2"/>
      <c r="AB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BC168" s="6"/>
      <c r="BD168" s="6"/>
      <c r="BE168" s="6"/>
      <c r="BF168" s="6"/>
      <c r="BL168" s="6"/>
      <c r="BM168" s="73"/>
      <c r="BN168" s="74"/>
      <c r="BO168" s="74"/>
      <c r="BP168" s="74"/>
      <c r="BQ168" s="74"/>
      <c r="BR168" s="74"/>
      <c r="BS168" s="74"/>
      <c r="BT168" s="74"/>
      <c r="BU168" s="74"/>
      <c r="BV168" s="74"/>
      <c r="BW168" s="74"/>
      <c r="BX168" s="74"/>
      <c r="BY168" s="74"/>
      <c r="BZ168" s="74"/>
    </row>
    <row r="169">
      <c r="A169" s="77" t="str">
        <f t="shared" si="15"/>
        <v/>
      </c>
      <c r="I169" s="2"/>
      <c r="L169" s="2"/>
      <c r="AN169" s="6"/>
      <c r="AO169" s="6"/>
      <c r="AP169" s="6"/>
      <c r="AQ169" s="6"/>
      <c r="AR169" s="6"/>
      <c r="AS169" s="6"/>
      <c r="BC169" s="6"/>
      <c r="BD169" s="6"/>
      <c r="BE169" s="6"/>
      <c r="BF169" s="6"/>
      <c r="BL169" s="6"/>
      <c r="BM169" s="73"/>
      <c r="BN169" s="74"/>
      <c r="BO169" s="74"/>
      <c r="BP169" s="74"/>
      <c r="BQ169" s="74"/>
      <c r="BR169" s="74"/>
      <c r="BS169" s="74"/>
      <c r="BT169" s="74"/>
      <c r="BU169" s="74"/>
      <c r="BV169" s="74"/>
      <c r="BW169" s="74"/>
      <c r="BX169" s="74"/>
      <c r="BY169" s="74"/>
      <c r="BZ169" s="74"/>
    </row>
    <row r="170">
      <c r="A170" s="77" t="str">
        <f t="shared" si="15"/>
        <v/>
      </c>
      <c r="I170" s="2"/>
      <c r="L170" s="2"/>
      <c r="AO170" s="6"/>
      <c r="AQ170" s="6"/>
      <c r="AR170" s="6"/>
      <c r="AS170" s="6"/>
      <c r="BC170" s="6"/>
      <c r="BD170" s="6"/>
      <c r="BE170" s="6"/>
      <c r="BF170" s="6"/>
      <c r="BL170" s="6"/>
      <c r="BM170" s="73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</row>
    <row r="171">
      <c r="A171" s="77" t="str">
        <f t="shared" si="15"/>
        <v/>
      </c>
      <c r="I171" s="2"/>
      <c r="L171" s="2"/>
      <c r="AO171" s="6"/>
      <c r="AQ171" s="6"/>
      <c r="AR171" s="6"/>
      <c r="AS171" s="6"/>
      <c r="BC171" s="6"/>
      <c r="BD171" s="6"/>
      <c r="BE171" s="6"/>
      <c r="BF171" s="6"/>
      <c r="BL171" s="6"/>
      <c r="BM171" s="73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</row>
    <row r="172">
      <c r="A172" s="77" t="str">
        <f t="shared" si="15"/>
        <v/>
      </c>
      <c r="I172" s="2"/>
      <c r="L172" s="2"/>
      <c r="AN172" s="6"/>
      <c r="AO172" s="6"/>
      <c r="AQ172" s="6"/>
      <c r="AR172" s="6"/>
      <c r="AS172" s="6"/>
      <c r="BC172" s="6"/>
      <c r="BD172" s="6"/>
      <c r="BE172" s="6"/>
      <c r="BF172" s="6"/>
      <c r="BL172" s="6"/>
      <c r="BM172" s="73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</row>
    <row r="173">
      <c r="A173" s="77" t="str">
        <f t="shared" si="15"/>
        <v/>
      </c>
      <c r="I173" s="2"/>
      <c r="L173" s="2"/>
      <c r="AM173" s="6"/>
      <c r="AN173" s="6"/>
      <c r="AO173" s="6"/>
      <c r="AQ173" s="6"/>
      <c r="AR173" s="6"/>
      <c r="AS173" s="6"/>
      <c r="BC173" s="6"/>
      <c r="BD173" s="6"/>
      <c r="BE173" s="6"/>
      <c r="BF173" s="6"/>
      <c r="BL173" s="6"/>
      <c r="BM173" s="73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</row>
    <row r="174">
      <c r="A174" s="77" t="str">
        <f t="shared" si="15"/>
        <v/>
      </c>
      <c r="I174" s="2"/>
      <c r="L174" s="2"/>
      <c r="AO174" s="6"/>
      <c r="AQ174" s="6"/>
      <c r="AR174" s="6"/>
      <c r="AS174" s="6"/>
      <c r="BC174" s="6"/>
      <c r="BD174" s="6"/>
      <c r="BE174" s="6"/>
      <c r="BF174" s="6"/>
      <c r="BL174" s="6"/>
      <c r="BM174" s="73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</row>
    <row r="175">
      <c r="A175" s="77" t="str">
        <f t="shared" si="15"/>
        <v/>
      </c>
      <c r="I175" s="2"/>
      <c r="L175" s="2"/>
      <c r="AB175" s="6"/>
      <c r="AN175" s="6"/>
      <c r="AO175" s="6"/>
      <c r="AP175" s="6"/>
      <c r="AQ175" s="6"/>
      <c r="AR175" s="6"/>
      <c r="AS175" s="6"/>
      <c r="BC175" s="6"/>
      <c r="BD175" s="6"/>
      <c r="BE175" s="6"/>
      <c r="BF175" s="6"/>
      <c r="BL175" s="6"/>
      <c r="BM175" s="73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</row>
    <row r="176">
      <c r="A176" s="77" t="str">
        <f t="shared" si="15"/>
        <v/>
      </c>
      <c r="I176" s="2"/>
      <c r="L176" s="2"/>
      <c r="AN176" s="6"/>
      <c r="AO176" s="6"/>
      <c r="AQ176" s="6"/>
      <c r="AR176" s="6"/>
      <c r="AS176" s="6"/>
      <c r="BC176" s="6"/>
      <c r="BD176" s="6"/>
      <c r="BE176" s="6"/>
      <c r="BF176" s="6"/>
      <c r="BL176" s="6"/>
      <c r="BM176" s="73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</row>
    <row r="177">
      <c r="A177" s="77" t="str">
        <f t="shared" si="15"/>
        <v/>
      </c>
      <c r="I177" s="2"/>
      <c r="L177" s="2"/>
      <c r="AN177" s="6"/>
      <c r="AO177" s="6"/>
      <c r="AP177" s="6"/>
      <c r="AQ177" s="6"/>
      <c r="AR177" s="6"/>
      <c r="AS177" s="6"/>
      <c r="BC177" s="6"/>
      <c r="BD177" s="6"/>
      <c r="BE177" s="6"/>
      <c r="BF177" s="6"/>
      <c r="BL177" s="6"/>
      <c r="BM177" s="73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</row>
    <row r="178">
      <c r="A178" s="77" t="str">
        <f t="shared" si="15"/>
        <v/>
      </c>
      <c r="I178" s="2"/>
      <c r="L178" s="2"/>
      <c r="M178" s="6"/>
      <c r="AB178" s="6"/>
      <c r="AO178" s="6"/>
      <c r="AP178" s="6"/>
      <c r="AQ178" s="6"/>
      <c r="AR178" s="6"/>
      <c r="AS178" s="6"/>
      <c r="BC178" s="6"/>
      <c r="BD178" s="6"/>
      <c r="BE178" s="6"/>
      <c r="BF178" s="6"/>
      <c r="BL178" s="6"/>
      <c r="BM178" s="73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</row>
    <row r="179">
      <c r="A179" s="77" t="str">
        <f t="shared" si="15"/>
        <v/>
      </c>
      <c r="I179" s="2"/>
      <c r="L179" s="2"/>
      <c r="AO179" s="6"/>
      <c r="AQ179" s="6"/>
      <c r="AR179" s="6"/>
      <c r="AS179" s="6"/>
      <c r="BC179" s="6"/>
      <c r="BD179" s="6"/>
      <c r="BE179" s="6"/>
      <c r="BF179" s="6"/>
      <c r="BL179" s="6"/>
      <c r="BM179" s="73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</row>
    <row r="180">
      <c r="A180" s="77" t="str">
        <f t="shared" si="15"/>
        <v/>
      </c>
      <c r="I180" s="2"/>
      <c r="L180" s="2"/>
      <c r="AO180" s="6"/>
      <c r="AQ180" s="6"/>
      <c r="AR180" s="6"/>
      <c r="AS180" s="6"/>
      <c r="BC180" s="6"/>
      <c r="BD180" s="6"/>
      <c r="BE180" s="6"/>
      <c r="BF180" s="6"/>
      <c r="BL180" s="6"/>
      <c r="BM180" s="73"/>
      <c r="BN180" s="74"/>
      <c r="BO180" s="74"/>
      <c r="BP180" s="74"/>
      <c r="BQ180" s="74"/>
      <c r="BR180" s="74"/>
      <c r="BS180" s="74"/>
      <c r="BT180" s="74"/>
      <c r="BU180" s="74"/>
      <c r="BV180" s="74"/>
      <c r="BW180" s="74"/>
      <c r="BX180" s="74"/>
      <c r="BY180" s="74"/>
      <c r="BZ180" s="74"/>
    </row>
    <row r="181">
      <c r="A181" s="77" t="str">
        <f t="shared" si="15"/>
        <v/>
      </c>
      <c r="I181" s="2"/>
      <c r="L181" s="2"/>
      <c r="AB181" s="6"/>
      <c r="AO181" s="6"/>
      <c r="AP181" s="6"/>
      <c r="AQ181" s="6"/>
      <c r="AR181" s="6"/>
      <c r="AS181" s="6"/>
      <c r="BC181" s="6"/>
      <c r="BD181" s="6"/>
      <c r="BE181" s="6"/>
      <c r="BF181" s="6"/>
      <c r="BL181" s="6"/>
      <c r="BM181" s="73"/>
      <c r="BN181" s="74"/>
      <c r="BO181" s="74"/>
      <c r="BP181" s="74"/>
      <c r="BQ181" s="74"/>
      <c r="BR181" s="74"/>
      <c r="BS181" s="74"/>
      <c r="BT181" s="74"/>
      <c r="BU181" s="74"/>
      <c r="BV181" s="74"/>
      <c r="BW181" s="74"/>
      <c r="BX181" s="74"/>
      <c r="BY181" s="74"/>
      <c r="BZ181" s="74"/>
    </row>
    <row r="182">
      <c r="A182" s="77" t="str">
        <f t="shared" si="15"/>
        <v/>
      </c>
      <c r="I182" s="2"/>
      <c r="L182" s="2"/>
      <c r="AM182" s="6"/>
      <c r="AN182" s="6"/>
      <c r="AO182" s="6"/>
      <c r="AP182" s="6"/>
      <c r="AQ182" s="6"/>
      <c r="AR182" s="6"/>
      <c r="AS182" s="6"/>
      <c r="BC182" s="6"/>
      <c r="BD182" s="6"/>
      <c r="BE182" s="6"/>
      <c r="BF182" s="6"/>
      <c r="BL182" s="6"/>
      <c r="BM182" s="73"/>
      <c r="BN182" s="74"/>
      <c r="BO182" s="74"/>
      <c r="BP182" s="74"/>
      <c r="BQ182" s="74"/>
      <c r="BR182" s="74"/>
      <c r="BS182" s="74"/>
      <c r="BT182" s="74"/>
      <c r="BU182" s="74"/>
      <c r="BV182" s="74"/>
      <c r="BW182" s="74"/>
      <c r="BX182" s="74"/>
      <c r="BY182" s="74"/>
      <c r="BZ182" s="74"/>
    </row>
    <row r="183">
      <c r="A183" s="77" t="str">
        <f t="shared" si="15"/>
        <v/>
      </c>
      <c r="I183" s="2"/>
      <c r="L183" s="2"/>
      <c r="AO183" s="6"/>
      <c r="AQ183" s="6"/>
      <c r="AR183" s="6"/>
      <c r="AS183" s="6"/>
      <c r="BC183" s="6"/>
      <c r="BD183" s="6"/>
      <c r="BE183" s="6"/>
      <c r="BF183" s="6"/>
      <c r="BL183" s="6"/>
      <c r="BM183" s="73"/>
      <c r="BN183" s="74"/>
      <c r="BO183" s="74"/>
      <c r="BP183" s="74"/>
      <c r="BQ183" s="74"/>
      <c r="BR183" s="74"/>
      <c r="BS183" s="74"/>
      <c r="BT183" s="74"/>
      <c r="BU183" s="74"/>
      <c r="BV183" s="74"/>
      <c r="BW183" s="74"/>
      <c r="BX183" s="74"/>
      <c r="BY183" s="74"/>
      <c r="BZ183" s="74"/>
    </row>
    <row r="184">
      <c r="A184" s="77" t="str">
        <f t="shared" si="15"/>
        <v/>
      </c>
      <c r="I184" s="2"/>
      <c r="L184" s="2"/>
      <c r="AN184" s="6"/>
      <c r="AO184" s="6"/>
      <c r="AP184" s="6"/>
      <c r="AQ184" s="6"/>
      <c r="AR184" s="6"/>
      <c r="AS184" s="6"/>
      <c r="BC184" s="6"/>
      <c r="BD184" s="6"/>
      <c r="BE184" s="6"/>
      <c r="BF184" s="6"/>
      <c r="BL184" s="6"/>
      <c r="BM184" s="73"/>
      <c r="BN184" s="74"/>
      <c r="BO184" s="74"/>
      <c r="BP184" s="74"/>
      <c r="BQ184" s="74"/>
      <c r="BR184" s="74"/>
      <c r="BS184" s="74"/>
      <c r="BT184" s="74"/>
      <c r="BU184" s="74"/>
      <c r="BV184" s="74"/>
      <c r="BW184" s="74"/>
      <c r="BX184" s="74"/>
      <c r="BY184" s="74"/>
      <c r="BZ184" s="74"/>
    </row>
    <row r="185">
      <c r="A185" s="77" t="str">
        <f t="shared" si="15"/>
        <v/>
      </c>
      <c r="I185" s="2"/>
      <c r="L185" s="2"/>
      <c r="AN185" s="6"/>
      <c r="AO185" s="6"/>
      <c r="AQ185" s="6"/>
      <c r="AR185" s="6"/>
      <c r="AS185" s="6"/>
      <c r="BC185" s="6"/>
      <c r="BD185" s="6"/>
      <c r="BE185" s="6"/>
      <c r="BF185" s="6"/>
      <c r="BL185" s="6"/>
      <c r="BM185" s="73"/>
      <c r="BN185" s="74"/>
      <c r="BO185" s="74"/>
      <c r="BP185" s="74"/>
      <c r="BQ185" s="74"/>
      <c r="BR185" s="74"/>
      <c r="BS185" s="74"/>
      <c r="BT185" s="74"/>
      <c r="BU185" s="74"/>
      <c r="BV185" s="74"/>
      <c r="BW185" s="74"/>
      <c r="BX185" s="74"/>
      <c r="BY185" s="74"/>
      <c r="BZ185" s="74"/>
    </row>
    <row r="186">
      <c r="A186" s="77" t="str">
        <f t="shared" si="15"/>
        <v/>
      </c>
      <c r="I186" s="2"/>
      <c r="L186" s="2"/>
      <c r="M186" s="6"/>
      <c r="AB186" s="6"/>
      <c r="AN186" s="6"/>
      <c r="AO186" s="6"/>
      <c r="AP186" s="6"/>
      <c r="AQ186" s="6"/>
      <c r="AR186" s="6"/>
      <c r="AS186" s="6"/>
      <c r="BC186" s="6"/>
      <c r="BD186" s="6"/>
      <c r="BE186" s="6"/>
      <c r="BF186" s="6"/>
      <c r="BL186" s="6"/>
      <c r="BM186" s="73"/>
      <c r="BN186" s="74"/>
      <c r="BO186" s="74"/>
      <c r="BP186" s="74"/>
      <c r="BQ186" s="74"/>
      <c r="BR186" s="74"/>
      <c r="BS186" s="74"/>
      <c r="BT186" s="74"/>
      <c r="BU186" s="74"/>
      <c r="BV186" s="74"/>
      <c r="BW186" s="74"/>
      <c r="BX186" s="74"/>
      <c r="BY186" s="74"/>
      <c r="BZ186" s="74"/>
    </row>
    <row r="187">
      <c r="A187" s="77" t="str">
        <f t="shared" si="15"/>
        <v/>
      </c>
      <c r="I187" s="2"/>
      <c r="L187" s="2"/>
      <c r="AO187" s="6"/>
      <c r="AQ187" s="6"/>
      <c r="AR187" s="6"/>
      <c r="AS187" s="6"/>
      <c r="BC187" s="6"/>
      <c r="BD187" s="6"/>
      <c r="BE187" s="6"/>
      <c r="BF187" s="6"/>
      <c r="BL187" s="6"/>
      <c r="BM187" s="73"/>
      <c r="BN187" s="74"/>
      <c r="BO187" s="74"/>
      <c r="BP187" s="74"/>
      <c r="BQ187" s="74"/>
      <c r="BR187" s="74"/>
      <c r="BS187" s="74"/>
      <c r="BT187" s="74"/>
      <c r="BU187" s="74"/>
      <c r="BV187" s="74"/>
      <c r="BW187" s="74"/>
      <c r="BX187" s="74"/>
      <c r="BY187" s="74"/>
      <c r="BZ187" s="74"/>
    </row>
    <row r="188">
      <c r="A188" s="77" t="str">
        <f t="shared" si="15"/>
        <v/>
      </c>
      <c r="I188" s="2"/>
      <c r="L188" s="2"/>
      <c r="M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BC188" s="6"/>
      <c r="BD188" s="6"/>
      <c r="BE188" s="6"/>
      <c r="BF188" s="6"/>
      <c r="BL188" s="6"/>
      <c r="BM188" s="73"/>
      <c r="BN188" s="74"/>
      <c r="BO188" s="74"/>
      <c r="BP188" s="74"/>
      <c r="BQ188" s="74"/>
      <c r="BR188" s="74"/>
      <c r="BS188" s="74"/>
      <c r="BT188" s="74"/>
      <c r="BU188" s="74"/>
      <c r="BV188" s="74"/>
      <c r="BW188" s="74"/>
      <c r="BX188" s="74"/>
      <c r="BY188" s="74"/>
      <c r="BZ188" s="74"/>
    </row>
    <row r="189">
      <c r="A189" s="77" t="str">
        <f t="shared" si="15"/>
        <v/>
      </c>
      <c r="I189" s="2"/>
      <c r="L189" s="2"/>
      <c r="M189" s="6"/>
      <c r="AB189" s="6"/>
      <c r="AO189" s="6"/>
      <c r="AP189" s="6"/>
      <c r="AQ189" s="6"/>
      <c r="AR189" s="6"/>
      <c r="AS189" s="6"/>
      <c r="BC189" s="6"/>
      <c r="BD189" s="6"/>
      <c r="BE189" s="6"/>
      <c r="BF189" s="6"/>
      <c r="BL189" s="6"/>
      <c r="BM189" s="73"/>
      <c r="BN189" s="74"/>
      <c r="BO189" s="74"/>
      <c r="BP189" s="74"/>
      <c r="BQ189" s="74"/>
      <c r="BR189" s="74"/>
      <c r="BS189" s="74"/>
      <c r="BT189" s="74"/>
      <c r="BU189" s="74"/>
      <c r="BV189" s="74"/>
      <c r="BW189" s="74"/>
      <c r="BX189" s="74"/>
      <c r="BY189" s="74"/>
      <c r="BZ189" s="74"/>
    </row>
    <row r="190">
      <c r="A190" s="77" t="str">
        <f t="shared" si="15"/>
        <v/>
      </c>
      <c r="I190" s="2"/>
      <c r="L190" s="2"/>
      <c r="AO190" s="6"/>
      <c r="AP190" s="6"/>
      <c r="AQ190" s="6"/>
      <c r="AR190" s="6"/>
      <c r="AS190" s="6"/>
      <c r="BC190" s="6"/>
      <c r="BD190" s="6"/>
      <c r="BE190" s="6"/>
      <c r="BF190" s="6"/>
      <c r="BL190" s="6"/>
      <c r="BM190" s="73"/>
      <c r="BN190" s="74"/>
      <c r="BO190" s="74"/>
      <c r="BP190" s="74"/>
      <c r="BQ190" s="74"/>
      <c r="BR190" s="74"/>
      <c r="BS190" s="74"/>
      <c r="BT190" s="74"/>
      <c r="BU190" s="74"/>
      <c r="BV190" s="74"/>
      <c r="BW190" s="74"/>
      <c r="BX190" s="74"/>
      <c r="BY190" s="74"/>
      <c r="BZ190" s="74"/>
    </row>
    <row r="191">
      <c r="A191" s="77" t="str">
        <f t="shared" si="15"/>
        <v/>
      </c>
      <c r="I191" s="2"/>
      <c r="L191" s="2"/>
      <c r="M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BC191" s="6"/>
      <c r="BD191" s="6"/>
      <c r="BE191" s="6"/>
      <c r="BF191" s="6"/>
      <c r="BL191" s="6"/>
      <c r="BM191" s="73"/>
      <c r="BN191" s="74"/>
      <c r="BO191" s="74"/>
      <c r="BP191" s="74"/>
      <c r="BQ191" s="74"/>
      <c r="BR191" s="74"/>
      <c r="BS191" s="74"/>
      <c r="BT191" s="74"/>
      <c r="BU191" s="74"/>
      <c r="BV191" s="74"/>
      <c r="BW191" s="74"/>
      <c r="BX191" s="74"/>
      <c r="BY191" s="74"/>
      <c r="BZ191" s="74"/>
    </row>
    <row r="192">
      <c r="A192" s="77" t="str">
        <f t="shared" si="15"/>
        <v/>
      </c>
      <c r="I192" s="2"/>
      <c r="L192" s="2"/>
      <c r="AO192" s="6"/>
      <c r="AQ192" s="6"/>
      <c r="AR192" s="6"/>
      <c r="AS192" s="6"/>
      <c r="BC192" s="6"/>
      <c r="BD192" s="6"/>
      <c r="BE192" s="6"/>
      <c r="BF192" s="6"/>
      <c r="BL192" s="6"/>
      <c r="BM192" s="73"/>
      <c r="BN192" s="74"/>
      <c r="BO192" s="74"/>
      <c r="BP192" s="74"/>
      <c r="BQ192" s="74"/>
      <c r="BR192" s="74"/>
      <c r="BS192" s="74"/>
      <c r="BT192" s="74"/>
      <c r="BU192" s="74"/>
      <c r="BV192" s="74"/>
      <c r="BW192" s="74"/>
      <c r="BX192" s="74"/>
      <c r="BY192" s="74"/>
      <c r="BZ192" s="74"/>
    </row>
    <row r="193">
      <c r="A193" s="77" t="str">
        <f t="shared" si="15"/>
        <v/>
      </c>
      <c r="I193" s="2"/>
      <c r="L193" s="2"/>
      <c r="AO193" s="6"/>
      <c r="AQ193" s="6"/>
      <c r="AR193" s="6"/>
      <c r="AS193" s="6"/>
      <c r="BC193" s="6"/>
      <c r="BD193" s="6"/>
      <c r="BE193" s="6"/>
      <c r="BF193" s="6"/>
      <c r="BL193" s="6"/>
      <c r="BM193" s="73"/>
      <c r="BN193" s="74"/>
      <c r="BO193" s="74"/>
      <c r="BP193" s="74"/>
      <c r="BQ193" s="74"/>
      <c r="BR193" s="74"/>
      <c r="BS193" s="74"/>
      <c r="BT193" s="74"/>
      <c r="BU193" s="74"/>
      <c r="BV193" s="74"/>
      <c r="BW193" s="74"/>
      <c r="BX193" s="74"/>
      <c r="BY193" s="74"/>
      <c r="BZ193" s="74"/>
    </row>
    <row r="194">
      <c r="A194" s="77" t="str">
        <f t="shared" si="15"/>
        <v/>
      </c>
      <c r="I194" s="2"/>
      <c r="L194" s="2"/>
      <c r="AO194" s="6"/>
      <c r="AQ194" s="6"/>
      <c r="AR194" s="6"/>
      <c r="AS194" s="6"/>
      <c r="BC194" s="6"/>
      <c r="BD194" s="6"/>
      <c r="BE194" s="6"/>
      <c r="BF194" s="6"/>
      <c r="BL194" s="6"/>
      <c r="BM194" s="73"/>
      <c r="BN194" s="74"/>
      <c r="BO194" s="74"/>
      <c r="BP194" s="74"/>
      <c r="BQ194" s="74"/>
      <c r="BR194" s="74"/>
      <c r="BS194" s="74"/>
      <c r="BT194" s="74"/>
      <c r="BU194" s="74"/>
      <c r="BV194" s="74"/>
      <c r="BW194" s="74"/>
      <c r="BX194" s="74"/>
      <c r="BY194" s="74"/>
      <c r="BZ194" s="74"/>
    </row>
    <row r="195">
      <c r="A195" s="77" t="str">
        <f t="shared" si="15"/>
        <v/>
      </c>
      <c r="I195" s="2"/>
      <c r="L195" s="5"/>
      <c r="AO195" s="6"/>
      <c r="AQ195" s="6"/>
      <c r="AR195" s="6"/>
      <c r="AS195" s="6"/>
      <c r="BC195" s="6"/>
      <c r="BD195" s="6"/>
      <c r="BE195" s="6"/>
      <c r="BF195" s="6"/>
      <c r="BL195" s="6"/>
      <c r="BM195" s="73"/>
      <c r="BN195" s="74"/>
      <c r="BO195" s="74"/>
      <c r="BP195" s="74"/>
      <c r="BQ195" s="74"/>
      <c r="BR195" s="74"/>
      <c r="BS195" s="74"/>
      <c r="BT195" s="74"/>
      <c r="BU195" s="74"/>
      <c r="BV195" s="74"/>
      <c r="BW195" s="74"/>
      <c r="BX195" s="74"/>
      <c r="BY195" s="74"/>
      <c r="BZ195" s="74"/>
    </row>
    <row r="196">
      <c r="A196" s="77" t="str">
        <f t="shared" si="15"/>
        <v/>
      </c>
      <c r="I196" s="2"/>
      <c r="L196" s="2"/>
      <c r="AO196" s="6"/>
      <c r="AQ196" s="6"/>
      <c r="AR196" s="6"/>
      <c r="AS196" s="6"/>
      <c r="BC196" s="6"/>
      <c r="BD196" s="6"/>
      <c r="BE196" s="6"/>
      <c r="BF196" s="6"/>
      <c r="BL196" s="6"/>
      <c r="BM196" s="73"/>
      <c r="BN196" s="74"/>
      <c r="BO196" s="74"/>
      <c r="BP196" s="74"/>
      <c r="BQ196" s="74"/>
      <c r="BR196" s="74"/>
      <c r="BS196" s="74"/>
      <c r="BT196" s="74"/>
      <c r="BU196" s="74"/>
      <c r="BV196" s="74"/>
      <c r="BW196" s="74"/>
      <c r="BX196" s="74"/>
      <c r="BY196" s="74"/>
      <c r="BZ196" s="74"/>
    </row>
    <row r="197">
      <c r="A197" s="77" t="str">
        <f t="shared" si="15"/>
        <v/>
      </c>
      <c r="I197" s="2"/>
      <c r="L197" s="2"/>
      <c r="AO197" s="6"/>
      <c r="AQ197" s="6"/>
      <c r="AR197" s="6"/>
      <c r="AS197" s="6"/>
      <c r="BC197" s="6"/>
      <c r="BD197" s="6"/>
      <c r="BE197" s="6"/>
      <c r="BF197" s="6"/>
      <c r="BL197" s="6"/>
      <c r="BM197" s="73"/>
      <c r="BN197" s="74"/>
      <c r="BO197" s="74"/>
      <c r="BP197" s="74"/>
      <c r="BQ197" s="74"/>
      <c r="BR197" s="74"/>
      <c r="BS197" s="74"/>
      <c r="BT197" s="74"/>
      <c r="BU197" s="74"/>
      <c r="BV197" s="74"/>
      <c r="BW197" s="74"/>
      <c r="BX197" s="74"/>
      <c r="BY197" s="74"/>
      <c r="BZ197" s="74"/>
    </row>
    <row r="198">
      <c r="A198" s="77" t="str">
        <f t="shared" si="15"/>
        <v/>
      </c>
      <c r="I198" s="2"/>
      <c r="L198" s="2"/>
      <c r="AO198" s="6"/>
      <c r="AQ198" s="6"/>
      <c r="AR198" s="6"/>
      <c r="AS198" s="6"/>
      <c r="BC198" s="6"/>
      <c r="BD198" s="6"/>
      <c r="BE198" s="6"/>
      <c r="BF198" s="6"/>
      <c r="BL198" s="6"/>
      <c r="BM198" s="73"/>
      <c r="BN198" s="74"/>
      <c r="BO198" s="74"/>
      <c r="BP198" s="74"/>
      <c r="BQ198" s="74"/>
      <c r="BR198" s="74"/>
      <c r="BS198" s="74"/>
      <c r="BT198" s="74"/>
      <c r="BU198" s="74"/>
      <c r="BV198" s="74"/>
      <c r="BW198" s="74"/>
      <c r="BX198" s="74"/>
      <c r="BY198" s="74"/>
      <c r="BZ198" s="74"/>
    </row>
    <row r="199">
      <c r="A199" s="77" t="str">
        <f t="shared" si="15"/>
        <v/>
      </c>
      <c r="I199" s="2"/>
      <c r="L199" s="2"/>
      <c r="AA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Q199" s="6"/>
      <c r="AR199" s="6"/>
      <c r="AS199" s="6"/>
      <c r="BC199" s="6"/>
      <c r="BD199" s="6"/>
      <c r="BE199" s="6"/>
      <c r="BF199" s="6"/>
      <c r="BL199" s="6"/>
      <c r="BM199" s="73"/>
      <c r="BN199" s="74"/>
      <c r="BO199" s="74"/>
      <c r="BP199" s="74"/>
      <c r="BQ199" s="74"/>
      <c r="BR199" s="74"/>
      <c r="BS199" s="74"/>
      <c r="BT199" s="74"/>
      <c r="BU199" s="74"/>
      <c r="BV199" s="74"/>
      <c r="BW199" s="74"/>
      <c r="BX199" s="74"/>
      <c r="BY199" s="74"/>
      <c r="BZ199" s="74"/>
    </row>
    <row r="200">
      <c r="A200" s="77" t="str">
        <f t="shared" si="15"/>
        <v/>
      </c>
      <c r="I200" s="2"/>
      <c r="L200" s="2"/>
      <c r="AO200" s="6"/>
      <c r="AQ200" s="6"/>
      <c r="AR200" s="6"/>
      <c r="AS200" s="6"/>
      <c r="BC200" s="6"/>
      <c r="BD200" s="6"/>
      <c r="BE200" s="6"/>
      <c r="BF200" s="6"/>
      <c r="BL200" s="6"/>
      <c r="BM200" s="73"/>
      <c r="BN200" s="74"/>
      <c r="BO200" s="74"/>
      <c r="BP200" s="74"/>
      <c r="BQ200" s="74"/>
      <c r="BR200" s="74"/>
      <c r="BS200" s="74"/>
      <c r="BT200" s="74"/>
      <c r="BU200" s="74"/>
      <c r="BV200" s="74"/>
      <c r="BW200" s="74"/>
      <c r="BX200" s="74"/>
      <c r="BY200" s="74"/>
      <c r="BZ200" s="74"/>
    </row>
    <row r="201">
      <c r="A201" s="77" t="str">
        <f t="shared" si="15"/>
        <v/>
      </c>
      <c r="I201" s="2"/>
      <c r="L201" s="2"/>
      <c r="AO201" s="6"/>
      <c r="AQ201" s="6"/>
      <c r="AR201" s="6"/>
      <c r="AS201" s="6"/>
      <c r="BC201" s="6"/>
      <c r="BD201" s="6"/>
      <c r="BE201" s="6"/>
      <c r="BF201" s="6"/>
      <c r="BL201" s="6"/>
      <c r="BM201" s="73"/>
      <c r="BN201" s="74"/>
      <c r="BO201" s="74"/>
      <c r="BP201" s="74"/>
      <c r="BQ201" s="74"/>
      <c r="BR201" s="74"/>
      <c r="BS201" s="74"/>
      <c r="BT201" s="74"/>
      <c r="BU201" s="74"/>
      <c r="BV201" s="74"/>
      <c r="BW201" s="74"/>
      <c r="BX201" s="74"/>
      <c r="BY201" s="74"/>
      <c r="BZ201" s="74"/>
    </row>
    <row r="202">
      <c r="A202" s="77" t="str">
        <f t="shared" si="15"/>
        <v/>
      </c>
      <c r="I202" s="2"/>
      <c r="L202" s="2"/>
      <c r="AO202" s="6"/>
      <c r="AQ202" s="6"/>
      <c r="AR202" s="6"/>
      <c r="AS202" s="6"/>
      <c r="BC202" s="6"/>
      <c r="BD202" s="6"/>
      <c r="BE202" s="6"/>
      <c r="BF202" s="6"/>
      <c r="BL202" s="6"/>
      <c r="BM202" s="73"/>
      <c r="BN202" s="74"/>
      <c r="BO202" s="74"/>
      <c r="BP202" s="74"/>
      <c r="BQ202" s="74"/>
      <c r="BR202" s="74"/>
      <c r="BS202" s="74"/>
      <c r="BT202" s="74"/>
      <c r="BU202" s="74"/>
      <c r="BV202" s="74"/>
      <c r="BW202" s="74"/>
      <c r="BX202" s="74"/>
      <c r="BY202" s="74"/>
      <c r="BZ202" s="74"/>
    </row>
    <row r="203">
      <c r="A203" s="77" t="str">
        <f t="shared" si="15"/>
        <v/>
      </c>
      <c r="I203" s="2"/>
      <c r="L203" s="2"/>
      <c r="AA203" s="6"/>
      <c r="AK203" s="6"/>
      <c r="AL203" s="6"/>
      <c r="AM203" s="6"/>
      <c r="AN203" s="6"/>
      <c r="AO203" s="6"/>
      <c r="AQ203" s="6"/>
      <c r="AR203" s="6"/>
      <c r="AS203" s="6"/>
      <c r="BC203" s="6"/>
      <c r="BD203" s="6"/>
      <c r="BE203" s="6"/>
      <c r="BF203" s="6"/>
      <c r="BL203" s="6"/>
      <c r="BM203" s="73"/>
      <c r="BN203" s="74"/>
      <c r="BO203" s="74"/>
      <c r="BP203" s="74"/>
      <c r="BQ203" s="74"/>
      <c r="BR203" s="74"/>
      <c r="BS203" s="74"/>
      <c r="BT203" s="74"/>
      <c r="BU203" s="74"/>
      <c r="BV203" s="74"/>
      <c r="BW203" s="74"/>
      <c r="BX203" s="74"/>
      <c r="BY203" s="74"/>
      <c r="BZ203" s="74"/>
    </row>
    <row r="204">
      <c r="A204" s="77" t="str">
        <f t="shared" si="15"/>
        <v/>
      </c>
      <c r="I204" s="2"/>
      <c r="L204" s="2"/>
      <c r="AO204" s="6"/>
      <c r="AQ204" s="6"/>
      <c r="AR204" s="6"/>
      <c r="AS204" s="6"/>
      <c r="BC204" s="6"/>
      <c r="BD204" s="6"/>
      <c r="BE204" s="6"/>
      <c r="BF204" s="6"/>
      <c r="BL204" s="6"/>
      <c r="BM204" s="73"/>
      <c r="BN204" s="74"/>
      <c r="BO204" s="74"/>
      <c r="BP204" s="74"/>
      <c r="BQ204" s="74"/>
      <c r="BR204" s="74"/>
      <c r="BS204" s="74"/>
      <c r="BT204" s="74"/>
      <c r="BU204" s="74"/>
      <c r="BV204" s="74"/>
      <c r="BW204" s="74"/>
      <c r="BX204" s="74"/>
      <c r="BY204" s="74"/>
      <c r="BZ204" s="74"/>
    </row>
    <row r="205">
      <c r="A205" s="77" t="str">
        <f t="shared" si="15"/>
        <v/>
      </c>
      <c r="I205" s="2"/>
      <c r="L205" s="2"/>
      <c r="AN205" s="6"/>
      <c r="AO205" s="6"/>
      <c r="AP205" s="6"/>
      <c r="AQ205" s="6"/>
      <c r="AR205" s="6"/>
      <c r="AS205" s="6"/>
      <c r="BC205" s="6"/>
      <c r="BD205" s="6"/>
      <c r="BE205" s="6"/>
      <c r="BF205" s="6"/>
      <c r="BL205" s="6"/>
      <c r="BM205" s="73"/>
      <c r="BN205" s="74"/>
      <c r="BO205" s="74"/>
      <c r="BP205" s="74"/>
      <c r="BQ205" s="74"/>
      <c r="BR205" s="74"/>
      <c r="BS205" s="74"/>
      <c r="BT205" s="74"/>
      <c r="BU205" s="74"/>
      <c r="BV205" s="74"/>
      <c r="BW205" s="74"/>
      <c r="BX205" s="74"/>
      <c r="BY205" s="74"/>
      <c r="BZ205" s="74"/>
    </row>
    <row r="206">
      <c r="A206" s="77" t="str">
        <f t="shared" si="15"/>
        <v/>
      </c>
      <c r="I206" s="2"/>
      <c r="L206" s="2"/>
      <c r="AO206" s="6"/>
      <c r="AQ206" s="6"/>
      <c r="AR206" s="6"/>
      <c r="AS206" s="6"/>
      <c r="BC206" s="6"/>
      <c r="BD206" s="6"/>
      <c r="BE206" s="6"/>
      <c r="BF206" s="6"/>
      <c r="BL206" s="6"/>
      <c r="BM206" s="73"/>
      <c r="BN206" s="74"/>
      <c r="BO206" s="74"/>
      <c r="BP206" s="74"/>
      <c r="BQ206" s="74"/>
      <c r="BR206" s="74"/>
      <c r="BS206" s="74"/>
      <c r="BT206" s="74"/>
      <c r="BU206" s="74"/>
      <c r="BV206" s="74"/>
      <c r="BW206" s="74"/>
      <c r="BX206" s="74"/>
      <c r="BY206" s="74"/>
      <c r="BZ206" s="74"/>
    </row>
    <row r="207">
      <c r="A207" s="77" t="str">
        <f t="shared" si="15"/>
        <v/>
      </c>
      <c r="I207" s="2"/>
      <c r="L207" s="2"/>
      <c r="AB207" s="6"/>
      <c r="AN207" s="6"/>
      <c r="AO207" s="6"/>
      <c r="AP207" s="6"/>
      <c r="AQ207" s="6"/>
      <c r="AR207" s="6"/>
      <c r="AS207" s="6"/>
      <c r="BC207" s="6"/>
      <c r="BD207" s="6"/>
      <c r="BE207" s="6"/>
      <c r="BF207" s="6"/>
      <c r="BL207" s="6"/>
      <c r="BM207" s="73"/>
      <c r="BN207" s="74"/>
      <c r="BO207" s="74"/>
      <c r="BP207" s="74"/>
      <c r="BQ207" s="74"/>
      <c r="BR207" s="74"/>
      <c r="BS207" s="74"/>
      <c r="BT207" s="74"/>
      <c r="BU207" s="74"/>
      <c r="BV207" s="74"/>
      <c r="BW207" s="74"/>
      <c r="BX207" s="74"/>
      <c r="BY207" s="74"/>
      <c r="BZ207" s="74"/>
    </row>
    <row r="208">
      <c r="A208" s="77" t="str">
        <f t="shared" si="15"/>
        <v/>
      </c>
      <c r="I208" s="2"/>
      <c r="L208" s="2"/>
      <c r="M208" s="6"/>
      <c r="AB208" s="6"/>
      <c r="AO208" s="6"/>
      <c r="AP208" s="6"/>
      <c r="AQ208" s="6"/>
      <c r="AR208" s="6"/>
      <c r="AS208" s="6"/>
      <c r="BC208" s="6"/>
      <c r="BD208" s="6"/>
      <c r="BE208" s="6"/>
      <c r="BF208" s="6"/>
      <c r="BL208" s="6"/>
      <c r="BM208" s="73"/>
      <c r="BN208" s="74"/>
      <c r="BO208" s="74"/>
      <c r="BP208" s="74"/>
      <c r="BQ208" s="74"/>
      <c r="BR208" s="74"/>
      <c r="BS208" s="74"/>
      <c r="BT208" s="74"/>
      <c r="BU208" s="74"/>
      <c r="BV208" s="74"/>
      <c r="BW208" s="74"/>
      <c r="BX208" s="74"/>
      <c r="BY208" s="74"/>
      <c r="BZ208" s="74"/>
    </row>
    <row r="209">
      <c r="A209" s="77" t="str">
        <f t="shared" si="15"/>
        <v/>
      </c>
      <c r="I209" s="2"/>
      <c r="L209" s="2"/>
      <c r="AB209" s="6"/>
      <c r="AO209" s="6"/>
      <c r="AP209" s="6"/>
      <c r="AQ209" s="6"/>
      <c r="AR209" s="6"/>
      <c r="AS209" s="6"/>
      <c r="BC209" s="6"/>
      <c r="BD209" s="6"/>
      <c r="BE209" s="6"/>
      <c r="BF209" s="6"/>
      <c r="BL209" s="6"/>
      <c r="BM209" s="73"/>
      <c r="BN209" s="74"/>
      <c r="BO209" s="74"/>
      <c r="BP209" s="74"/>
      <c r="BQ209" s="74"/>
      <c r="BR209" s="74"/>
      <c r="BS209" s="74"/>
      <c r="BT209" s="74"/>
      <c r="BU209" s="74"/>
      <c r="BV209" s="74"/>
      <c r="BW209" s="74"/>
      <c r="BX209" s="74"/>
      <c r="BY209" s="74"/>
      <c r="BZ209" s="74"/>
    </row>
    <row r="210">
      <c r="A210" s="77" t="str">
        <f t="shared" si="15"/>
        <v/>
      </c>
      <c r="L210" s="2"/>
      <c r="AM210" s="6"/>
      <c r="AN210" s="6"/>
      <c r="AO210" s="6"/>
      <c r="AQ210" s="6"/>
      <c r="AR210" s="6"/>
      <c r="AS210" s="6"/>
      <c r="BC210" s="6"/>
      <c r="BD210" s="6"/>
      <c r="BE210" s="6"/>
      <c r="BF210" s="6"/>
      <c r="BL210" s="6"/>
      <c r="BM210" s="73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</row>
    <row r="211">
      <c r="A211" s="77" t="str">
        <f t="shared" si="15"/>
        <v/>
      </c>
      <c r="I211" s="2"/>
      <c r="L211" s="2"/>
      <c r="AO211" s="6"/>
      <c r="AQ211" s="6"/>
      <c r="AR211" s="6"/>
      <c r="AS211" s="6"/>
      <c r="BC211" s="6"/>
      <c r="BD211" s="6"/>
      <c r="BE211" s="6"/>
      <c r="BF211" s="6"/>
      <c r="BL211" s="6"/>
      <c r="BM211" s="73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</row>
    <row r="212">
      <c r="A212" s="77" t="str">
        <f t="shared" si="15"/>
        <v/>
      </c>
      <c r="I212" s="2"/>
      <c r="L212" s="2"/>
      <c r="AO212" s="6"/>
      <c r="AQ212" s="6"/>
      <c r="AR212" s="6"/>
      <c r="AS212" s="6"/>
      <c r="BC212" s="6"/>
      <c r="BD212" s="6"/>
      <c r="BE212" s="6"/>
      <c r="BF212" s="6"/>
      <c r="BL212" s="6"/>
      <c r="BM212" s="73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</row>
    <row r="213">
      <c r="A213" s="77" t="str">
        <f t="shared" si="15"/>
        <v/>
      </c>
      <c r="I213" s="2"/>
      <c r="L213" s="2"/>
      <c r="AB213" s="6"/>
      <c r="AM213" s="6"/>
      <c r="AN213" s="6"/>
      <c r="AO213" s="6"/>
      <c r="AP213" s="6"/>
      <c r="AQ213" s="6"/>
      <c r="AR213" s="6"/>
      <c r="AS213" s="6"/>
      <c r="BC213" s="6"/>
      <c r="BD213" s="6"/>
      <c r="BE213" s="6"/>
      <c r="BF213" s="6"/>
      <c r="BL213" s="6"/>
      <c r="BM213" s="73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</row>
    <row r="214">
      <c r="A214" s="77" t="str">
        <f t="shared" si="15"/>
        <v/>
      </c>
      <c r="I214" s="2"/>
      <c r="L214" s="2"/>
      <c r="M214" s="6"/>
      <c r="AA214" s="6"/>
      <c r="AB214" s="6"/>
      <c r="AM214" s="6"/>
      <c r="AN214" s="6"/>
      <c r="AO214" s="6"/>
      <c r="AP214" s="6"/>
      <c r="AQ214" s="6"/>
      <c r="AR214" s="6"/>
      <c r="AS214" s="6"/>
      <c r="BC214" s="6"/>
      <c r="BD214" s="6"/>
      <c r="BE214" s="6"/>
      <c r="BF214" s="6"/>
      <c r="BL214" s="6"/>
      <c r="BM214" s="73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</row>
    <row r="215">
      <c r="A215" s="77" t="str">
        <f t="shared" si="15"/>
        <v/>
      </c>
      <c r="I215" s="2"/>
      <c r="L215" s="2"/>
      <c r="AB215" s="6"/>
      <c r="AO215" s="6"/>
      <c r="AP215" s="6"/>
      <c r="AQ215" s="6"/>
      <c r="AR215" s="6"/>
      <c r="AS215" s="6"/>
      <c r="BC215" s="6"/>
      <c r="BD215" s="6"/>
      <c r="BE215" s="6"/>
      <c r="BF215" s="6"/>
      <c r="BL215" s="6"/>
      <c r="BM215" s="73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</row>
    <row r="216">
      <c r="A216" s="77" t="str">
        <f t="shared" si="15"/>
        <v/>
      </c>
      <c r="I216" s="2"/>
      <c r="L216" s="2"/>
      <c r="AO216" s="6"/>
      <c r="AQ216" s="6"/>
      <c r="AR216" s="6"/>
      <c r="AS216" s="6"/>
      <c r="BC216" s="6"/>
      <c r="BD216" s="6"/>
      <c r="BE216" s="6"/>
      <c r="BF216" s="6"/>
      <c r="BL216" s="6"/>
      <c r="BM216" s="73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</row>
    <row r="217">
      <c r="A217" s="77" t="str">
        <f t="shared" si="15"/>
        <v/>
      </c>
      <c r="I217" s="2"/>
      <c r="L217" s="2"/>
      <c r="AB217" s="6"/>
      <c r="AO217" s="6"/>
      <c r="AP217" s="6"/>
      <c r="AQ217" s="6"/>
      <c r="AR217" s="6"/>
      <c r="AS217" s="6"/>
      <c r="BC217" s="6"/>
      <c r="BD217" s="6"/>
      <c r="BE217" s="6"/>
      <c r="BF217" s="6"/>
      <c r="BL217" s="6"/>
      <c r="BM217" s="73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</row>
    <row r="218">
      <c r="A218" s="77" t="str">
        <f t="shared" si="15"/>
        <v/>
      </c>
      <c r="I218" s="2"/>
      <c r="L218" s="2"/>
      <c r="AO218" s="6"/>
      <c r="AP218" s="6"/>
      <c r="AQ218" s="6"/>
      <c r="AR218" s="6"/>
      <c r="AS218" s="6"/>
      <c r="BC218" s="6"/>
      <c r="BD218" s="6"/>
      <c r="BE218" s="6"/>
      <c r="BF218" s="6"/>
      <c r="BL218" s="6"/>
      <c r="BM218" s="73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</row>
    <row r="219">
      <c r="A219" s="77" t="str">
        <f t="shared" si="15"/>
        <v/>
      </c>
      <c r="I219" s="2"/>
      <c r="L219" s="2"/>
      <c r="AO219" s="6"/>
      <c r="AQ219" s="6"/>
      <c r="AR219" s="6"/>
      <c r="AS219" s="6"/>
      <c r="BC219" s="6"/>
      <c r="BD219" s="6"/>
      <c r="BE219" s="6"/>
      <c r="BF219" s="6"/>
      <c r="BL219" s="6"/>
      <c r="BM219" s="73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</row>
    <row r="220">
      <c r="A220" s="77" t="str">
        <f t="shared" si="15"/>
        <v/>
      </c>
      <c r="I220" s="2"/>
      <c r="L220" s="2"/>
      <c r="AQ220" s="6"/>
      <c r="AR220" s="6"/>
      <c r="AS220" s="6"/>
      <c r="BC220" s="6"/>
      <c r="BD220" s="6"/>
      <c r="BE220" s="6"/>
      <c r="BF220" s="6"/>
      <c r="BL220" s="6"/>
      <c r="BM220" s="73"/>
      <c r="BN220" s="74"/>
      <c r="BO220" s="74"/>
      <c r="BP220" s="74"/>
      <c r="BQ220" s="74"/>
      <c r="BR220" s="74"/>
      <c r="BS220" s="74"/>
      <c r="BT220" s="74"/>
      <c r="BU220" s="74"/>
      <c r="BV220" s="74"/>
      <c r="BW220" s="74"/>
      <c r="BX220" s="74"/>
      <c r="BY220" s="74"/>
      <c r="BZ220" s="74"/>
    </row>
    <row r="221">
      <c r="A221" s="77" t="str">
        <f t="shared" si="15"/>
        <v/>
      </c>
      <c r="I221" s="2"/>
      <c r="L221" s="2"/>
      <c r="AN221" s="6"/>
      <c r="AO221" s="6"/>
      <c r="AQ221" s="6"/>
      <c r="AR221" s="6"/>
      <c r="AS221" s="6"/>
      <c r="BC221" s="6"/>
      <c r="BD221" s="6"/>
      <c r="BE221" s="6"/>
      <c r="BF221" s="6"/>
      <c r="BL221" s="6"/>
      <c r="BM221" s="73"/>
      <c r="BN221" s="74"/>
      <c r="BO221" s="74"/>
      <c r="BP221" s="74"/>
      <c r="BQ221" s="74"/>
      <c r="BR221" s="74"/>
      <c r="BS221" s="74"/>
      <c r="BT221" s="74"/>
      <c r="BU221" s="74"/>
      <c r="BV221" s="74"/>
      <c r="BW221" s="74"/>
      <c r="BX221" s="74"/>
      <c r="BY221" s="74"/>
      <c r="BZ221" s="74"/>
    </row>
    <row r="222">
      <c r="A222" s="77" t="str">
        <f t="shared" si="15"/>
        <v/>
      </c>
      <c r="I222" s="2"/>
      <c r="L222" s="2"/>
      <c r="AO222" s="6"/>
      <c r="AQ222" s="6"/>
      <c r="AR222" s="6"/>
      <c r="AS222" s="6"/>
      <c r="BC222" s="6"/>
      <c r="BD222" s="6"/>
      <c r="BE222" s="6"/>
      <c r="BF222" s="6"/>
      <c r="BL222" s="6"/>
      <c r="BM222" s="73"/>
      <c r="BN222" s="74"/>
      <c r="BO222" s="74"/>
      <c r="BP222" s="74"/>
      <c r="BQ222" s="74"/>
      <c r="BR222" s="74"/>
      <c r="BS222" s="74"/>
      <c r="BT222" s="74"/>
      <c r="BU222" s="74"/>
      <c r="BV222" s="74"/>
      <c r="BW222" s="74"/>
      <c r="BX222" s="74"/>
      <c r="BY222" s="74"/>
      <c r="BZ222" s="74"/>
    </row>
    <row r="223">
      <c r="A223" s="77" t="str">
        <f t="shared" si="15"/>
        <v/>
      </c>
      <c r="I223" s="2"/>
      <c r="L223" s="2"/>
      <c r="AO223" s="6"/>
      <c r="AQ223" s="6"/>
      <c r="AR223" s="6"/>
      <c r="AS223" s="6"/>
      <c r="BC223" s="6"/>
      <c r="BD223" s="6"/>
      <c r="BE223" s="6"/>
      <c r="BF223" s="6"/>
      <c r="BL223" s="6"/>
      <c r="BM223" s="73"/>
      <c r="BN223" s="74"/>
      <c r="BO223" s="74"/>
      <c r="BP223" s="74"/>
      <c r="BQ223" s="74"/>
      <c r="BR223" s="74"/>
      <c r="BS223" s="74"/>
      <c r="BT223" s="74"/>
      <c r="BU223" s="74"/>
      <c r="BV223" s="74"/>
      <c r="BW223" s="74"/>
      <c r="BX223" s="74"/>
      <c r="BY223" s="74"/>
      <c r="BZ223" s="74"/>
    </row>
    <row r="224">
      <c r="A224" s="77" t="str">
        <f t="shared" si="15"/>
        <v/>
      </c>
      <c r="I224" s="2"/>
      <c r="L224" s="2"/>
      <c r="AO224" s="6"/>
      <c r="AQ224" s="6"/>
      <c r="AR224" s="6"/>
      <c r="AS224" s="6"/>
      <c r="BC224" s="6"/>
      <c r="BD224" s="6"/>
      <c r="BE224" s="6"/>
      <c r="BF224" s="6"/>
      <c r="BL224" s="6"/>
      <c r="BM224" s="73"/>
      <c r="BN224" s="74"/>
      <c r="BO224" s="74"/>
      <c r="BP224" s="74"/>
      <c r="BQ224" s="74"/>
      <c r="BR224" s="74"/>
      <c r="BS224" s="74"/>
      <c r="BT224" s="74"/>
      <c r="BU224" s="74"/>
      <c r="BV224" s="74"/>
      <c r="BW224" s="74"/>
      <c r="BX224" s="74"/>
      <c r="BY224" s="74"/>
      <c r="BZ224" s="74"/>
    </row>
    <row r="225">
      <c r="A225" s="77" t="str">
        <f t="shared" si="15"/>
        <v/>
      </c>
      <c r="I225" s="2"/>
      <c r="L225" s="2"/>
      <c r="AN225" s="6"/>
      <c r="AO225" s="6"/>
      <c r="AQ225" s="6"/>
      <c r="AR225" s="6"/>
      <c r="AS225" s="6"/>
      <c r="BC225" s="6"/>
      <c r="BD225" s="6"/>
      <c r="BE225" s="6"/>
      <c r="BF225" s="6"/>
      <c r="BL225" s="6"/>
      <c r="BM225" s="73"/>
      <c r="BN225" s="74"/>
      <c r="BO225" s="74"/>
      <c r="BP225" s="74"/>
      <c r="BQ225" s="74"/>
      <c r="BR225" s="74"/>
      <c r="BS225" s="74"/>
      <c r="BT225" s="74"/>
      <c r="BU225" s="74"/>
      <c r="BV225" s="74"/>
      <c r="BW225" s="74"/>
      <c r="BX225" s="74"/>
      <c r="BY225" s="74"/>
      <c r="BZ225" s="74"/>
    </row>
    <row r="226">
      <c r="A226" s="77" t="str">
        <f t="shared" si="15"/>
        <v/>
      </c>
      <c r="I226" s="2"/>
      <c r="L226" s="2"/>
      <c r="AM226" s="6"/>
      <c r="AN226" s="6"/>
      <c r="AO226" s="6"/>
      <c r="AP226" s="6"/>
      <c r="AQ226" s="6"/>
      <c r="AR226" s="6"/>
      <c r="AS226" s="6"/>
      <c r="BC226" s="6"/>
      <c r="BD226" s="6"/>
      <c r="BE226" s="6"/>
      <c r="BF226" s="6"/>
      <c r="BL226" s="6"/>
      <c r="BM226" s="73"/>
      <c r="BN226" s="74"/>
      <c r="BO226" s="74"/>
      <c r="BP226" s="74"/>
      <c r="BQ226" s="74"/>
      <c r="BR226" s="74"/>
      <c r="BS226" s="74"/>
      <c r="BT226" s="74"/>
      <c r="BU226" s="74"/>
      <c r="BV226" s="74"/>
      <c r="BW226" s="74"/>
      <c r="BX226" s="74"/>
      <c r="BY226" s="74"/>
      <c r="BZ226" s="74"/>
    </row>
    <row r="227">
      <c r="A227" s="77" t="str">
        <f t="shared" si="15"/>
        <v/>
      </c>
      <c r="I227" s="2"/>
      <c r="L227" s="2"/>
      <c r="AO227" s="6"/>
      <c r="AQ227" s="6"/>
      <c r="AR227" s="6"/>
      <c r="AS227" s="6"/>
      <c r="BC227" s="6"/>
      <c r="BD227" s="6"/>
      <c r="BE227" s="6"/>
      <c r="BF227" s="6"/>
      <c r="BL227" s="6"/>
      <c r="BM227" s="73"/>
      <c r="BN227" s="74"/>
      <c r="BO227" s="74"/>
      <c r="BP227" s="74"/>
      <c r="BQ227" s="74"/>
      <c r="BR227" s="74"/>
      <c r="BS227" s="74"/>
      <c r="BT227" s="74"/>
      <c r="BU227" s="74"/>
      <c r="BV227" s="74"/>
      <c r="BW227" s="74"/>
      <c r="BX227" s="74"/>
      <c r="BY227" s="74"/>
      <c r="BZ227" s="74"/>
    </row>
    <row r="228">
      <c r="A228" s="77" t="str">
        <f t="shared" si="15"/>
        <v/>
      </c>
      <c r="L228" s="2"/>
      <c r="AN228" s="6"/>
      <c r="AO228" s="6"/>
      <c r="AP228" s="6"/>
      <c r="AQ228" s="6"/>
      <c r="AR228" s="6"/>
      <c r="AS228" s="6"/>
      <c r="BC228" s="6"/>
      <c r="BD228" s="6"/>
      <c r="BE228" s="6"/>
      <c r="BF228" s="6"/>
      <c r="BL228" s="6"/>
      <c r="BM228" s="73"/>
      <c r="BN228" s="74"/>
      <c r="BO228" s="74"/>
      <c r="BP228" s="74"/>
      <c r="BQ228" s="74"/>
      <c r="BR228" s="74"/>
      <c r="BS228" s="74"/>
      <c r="BT228" s="74"/>
      <c r="BU228" s="74"/>
      <c r="BV228" s="74"/>
      <c r="BW228" s="74"/>
      <c r="BX228" s="74"/>
      <c r="BY228" s="74"/>
      <c r="BZ228" s="74"/>
    </row>
    <row r="229">
      <c r="A229" s="77" t="str">
        <f t="shared" si="15"/>
        <v/>
      </c>
      <c r="I229" s="2"/>
      <c r="L229" s="2"/>
      <c r="M229" s="6"/>
      <c r="AB229" s="6"/>
      <c r="AK229" s="6"/>
      <c r="AL229" s="6"/>
      <c r="AM229" s="6"/>
      <c r="AN229" s="6"/>
      <c r="AO229" s="6"/>
      <c r="AP229" s="6"/>
      <c r="AQ229" s="6"/>
      <c r="AR229" s="6"/>
      <c r="AS229" s="6"/>
      <c r="BC229" s="6"/>
      <c r="BD229" s="6"/>
      <c r="BE229" s="6"/>
      <c r="BF229" s="6"/>
      <c r="BL229" s="6"/>
      <c r="BM229" s="73"/>
      <c r="BN229" s="74"/>
      <c r="BO229" s="74"/>
      <c r="BP229" s="74"/>
      <c r="BQ229" s="74"/>
      <c r="BR229" s="74"/>
      <c r="BS229" s="74"/>
      <c r="BT229" s="74"/>
      <c r="BU229" s="74"/>
      <c r="BV229" s="74"/>
      <c r="BW229" s="74"/>
      <c r="BX229" s="74"/>
      <c r="BY229" s="74"/>
      <c r="BZ229" s="74"/>
    </row>
    <row r="230">
      <c r="A230" s="77" t="str">
        <f t="shared" si="15"/>
        <v/>
      </c>
      <c r="I230" s="2"/>
      <c r="L230" s="2"/>
      <c r="AL230" s="6"/>
      <c r="AN230" s="6"/>
      <c r="AO230" s="6"/>
      <c r="AQ230" s="6"/>
      <c r="AR230" s="6"/>
      <c r="AS230" s="6"/>
      <c r="BC230" s="6"/>
      <c r="BD230" s="6"/>
      <c r="BE230" s="6"/>
      <c r="BF230" s="6"/>
      <c r="BL230" s="6"/>
      <c r="BM230" s="73"/>
      <c r="BN230" s="74"/>
      <c r="BO230" s="74"/>
      <c r="BP230" s="74"/>
      <c r="BQ230" s="74"/>
      <c r="BR230" s="74"/>
      <c r="BS230" s="74"/>
      <c r="BT230" s="74"/>
      <c r="BU230" s="74"/>
      <c r="BV230" s="74"/>
      <c r="BW230" s="74"/>
      <c r="BX230" s="74"/>
      <c r="BY230" s="74"/>
      <c r="BZ230" s="74"/>
    </row>
    <row r="231">
      <c r="A231" s="77" t="str">
        <f t="shared" si="15"/>
        <v/>
      </c>
      <c r="I231" s="2"/>
      <c r="L231" s="2"/>
      <c r="AO231" s="6"/>
      <c r="AR231" s="6"/>
      <c r="AS231" s="6"/>
      <c r="BC231" s="6"/>
      <c r="BD231" s="6"/>
      <c r="BE231" s="6"/>
      <c r="BF231" s="6"/>
      <c r="BL231" s="6"/>
      <c r="BM231" s="73"/>
      <c r="BN231" s="74"/>
      <c r="BO231" s="74"/>
      <c r="BP231" s="74"/>
      <c r="BQ231" s="74"/>
      <c r="BR231" s="74"/>
      <c r="BS231" s="74"/>
      <c r="BT231" s="74"/>
      <c r="BU231" s="74"/>
      <c r="BV231" s="74"/>
      <c r="BW231" s="74"/>
      <c r="BX231" s="74"/>
      <c r="BY231" s="74"/>
      <c r="BZ231" s="74"/>
    </row>
    <row r="232">
      <c r="A232" s="77" t="str">
        <f t="shared" si="15"/>
        <v/>
      </c>
      <c r="I232" s="2"/>
      <c r="L232" s="2"/>
      <c r="AO232" s="6"/>
      <c r="AQ232" s="6"/>
      <c r="AR232" s="6"/>
      <c r="AS232" s="6"/>
      <c r="BC232" s="6"/>
      <c r="BD232" s="6"/>
      <c r="BE232" s="6"/>
      <c r="BF232" s="6"/>
      <c r="BL232" s="6"/>
      <c r="BM232" s="73"/>
      <c r="BN232" s="74"/>
      <c r="BO232" s="74"/>
      <c r="BP232" s="74"/>
      <c r="BQ232" s="74"/>
      <c r="BR232" s="74"/>
      <c r="BS232" s="74"/>
      <c r="BT232" s="74"/>
      <c r="BU232" s="74"/>
      <c r="BV232" s="74"/>
      <c r="BW232" s="74"/>
      <c r="BX232" s="74"/>
      <c r="BY232" s="74"/>
      <c r="BZ232" s="74"/>
    </row>
    <row r="233">
      <c r="A233" s="77" t="str">
        <f t="shared" si="15"/>
        <v/>
      </c>
      <c r="I233" s="2"/>
      <c r="L233" s="2"/>
      <c r="AM233" s="6"/>
      <c r="AN233" s="6"/>
      <c r="AO233" s="6"/>
      <c r="AQ233" s="6"/>
      <c r="AR233" s="6"/>
      <c r="AS233" s="6"/>
      <c r="BC233" s="6"/>
      <c r="BD233" s="6"/>
      <c r="BE233" s="6"/>
      <c r="BF233" s="6"/>
      <c r="BL233" s="6"/>
      <c r="BM233" s="73"/>
      <c r="BN233" s="74"/>
      <c r="BO233" s="74"/>
      <c r="BP233" s="74"/>
      <c r="BQ233" s="74"/>
      <c r="BR233" s="74"/>
      <c r="BS233" s="74"/>
      <c r="BT233" s="74"/>
      <c r="BU233" s="74"/>
      <c r="BV233" s="74"/>
      <c r="BW233" s="74"/>
      <c r="BX233" s="74"/>
      <c r="BY233" s="74"/>
      <c r="BZ233" s="74"/>
    </row>
    <row r="234">
      <c r="A234" s="77" t="str">
        <f t="shared" si="15"/>
        <v/>
      </c>
      <c r="I234" s="2"/>
      <c r="L234" s="2"/>
      <c r="M234" s="6"/>
      <c r="AB234" s="6"/>
      <c r="AO234" s="6"/>
      <c r="AP234" s="6"/>
      <c r="AQ234" s="6"/>
      <c r="AR234" s="6"/>
      <c r="AS234" s="6"/>
      <c r="BC234" s="6"/>
      <c r="BD234" s="6"/>
      <c r="BE234" s="6"/>
      <c r="BF234" s="6"/>
      <c r="BL234" s="6"/>
      <c r="BM234" s="73"/>
      <c r="BN234" s="74"/>
      <c r="BO234" s="74"/>
      <c r="BP234" s="74"/>
      <c r="BQ234" s="74"/>
      <c r="BR234" s="74"/>
      <c r="BS234" s="74"/>
      <c r="BT234" s="74"/>
      <c r="BU234" s="74"/>
      <c r="BV234" s="74"/>
      <c r="BW234" s="74"/>
      <c r="BX234" s="74"/>
      <c r="BY234" s="74"/>
      <c r="BZ234" s="74"/>
    </row>
    <row r="235">
      <c r="A235" s="77" t="str">
        <f t="shared" si="15"/>
        <v/>
      </c>
      <c r="I235" s="2"/>
      <c r="L235" s="2"/>
      <c r="AO235" s="6"/>
      <c r="AQ235" s="6"/>
      <c r="AR235" s="6"/>
      <c r="AS235" s="6"/>
      <c r="BC235" s="6"/>
      <c r="BD235" s="6"/>
      <c r="BE235" s="6"/>
      <c r="BF235" s="6"/>
      <c r="BL235" s="6"/>
      <c r="BM235" s="73"/>
      <c r="BN235" s="74"/>
      <c r="BO235" s="74"/>
      <c r="BP235" s="74"/>
      <c r="BQ235" s="74"/>
      <c r="BR235" s="74"/>
      <c r="BS235" s="74"/>
      <c r="BT235" s="74"/>
      <c r="BU235" s="74"/>
      <c r="BV235" s="74"/>
      <c r="BW235" s="74"/>
      <c r="BX235" s="74"/>
      <c r="BY235" s="74"/>
      <c r="BZ235" s="74"/>
    </row>
    <row r="236">
      <c r="A236" s="77" t="str">
        <f t="shared" si="15"/>
        <v/>
      </c>
      <c r="I236" s="2"/>
      <c r="L236" s="2"/>
      <c r="M236" s="6"/>
      <c r="AB236" s="6"/>
      <c r="AO236" s="6"/>
      <c r="AP236" s="6"/>
      <c r="AQ236" s="6"/>
      <c r="AR236" s="6"/>
      <c r="AS236" s="6"/>
      <c r="BC236" s="6"/>
      <c r="BD236" s="6"/>
      <c r="BE236" s="6"/>
      <c r="BF236" s="6"/>
      <c r="BL236" s="6"/>
      <c r="BM236" s="73"/>
      <c r="BN236" s="74"/>
      <c r="BO236" s="74"/>
      <c r="BP236" s="74"/>
      <c r="BQ236" s="74"/>
      <c r="BR236" s="74"/>
      <c r="BS236" s="74"/>
      <c r="BT236" s="74"/>
      <c r="BU236" s="74"/>
      <c r="BV236" s="74"/>
      <c r="BW236" s="74"/>
      <c r="BX236" s="74"/>
      <c r="BY236" s="74"/>
      <c r="BZ236" s="74"/>
    </row>
    <row r="237">
      <c r="A237" s="77" t="str">
        <f t="shared" si="15"/>
        <v/>
      </c>
      <c r="I237" s="2"/>
      <c r="L237" s="2"/>
      <c r="M237" s="6"/>
      <c r="AA237" s="6"/>
      <c r="AB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BC237" s="6"/>
      <c r="BD237" s="6"/>
      <c r="BE237" s="6"/>
      <c r="BF237" s="6"/>
      <c r="BL237" s="6"/>
      <c r="BM237" s="73"/>
      <c r="BN237" s="74"/>
      <c r="BO237" s="74"/>
      <c r="BP237" s="74"/>
      <c r="BQ237" s="74"/>
      <c r="BR237" s="74"/>
      <c r="BS237" s="74"/>
      <c r="BT237" s="74"/>
      <c r="BU237" s="74"/>
      <c r="BV237" s="74"/>
      <c r="BW237" s="74"/>
      <c r="BX237" s="74"/>
      <c r="BY237" s="74"/>
      <c r="BZ237" s="74"/>
    </row>
    <row r="238">
      <c r="A238" s="77" t="str">
        <f t="shared" si="15"/>
        <v/>
      </c>
      <c r="I238" s="2"/>
      <c r="L238" s="2"/>
      <c r="AO238" s="6"/>
      <c r="AQ238" s="6"/>
      <c r="AR238" s="6"/>
      <c r="AS238" s="6"/>
      <c r="BC238" s="6"/>
      <c r="BD238" s="6"/>
      <c r="BE238" s="6"/>
      <c r="BF238" s="6"/>
      <c r="BL238" s="6"/>
      <c r="BM238" s="73"/>
      <c r="BN238" s="74"/>
      <c r="BO238" s="74"/>
      <c r="BP238" s="74"/>
      <c r="BQ238" s="74"/>
      <c r="BR238" s="74"/>
      <c r="BS238" s="74"/>
      <c r="BT238" s="74"/>
      <c r="BU238" s="74"/>
      <c r="BV238" s="74"/>
      <c r="BW238" s="74"/>
      <c r="BX238" s="74"/>
      <c r="BY238" s="74"/>
      <c r="BZ238" s="74"/>
    </row>
    <row r="239">
      <c r="A239" s="77" t="str">
        <f t="shared" si="15"/>
        <v/>
      </c>
      <c r="I239" s="2"/>
      <c r="L239" s="2"/>
      <c r="M239" s="6"/>
      <c r="AB239" s="6"/>
      <c r="AO239" s="6"/>
      <c r="AP239" s="6"/>
      <c r="AQ239" s="6"/>
      <c r="AR239" s="6"/>
      <c r="AS239" s="6"/>
      <c r="BC239" s="6"/>
      <c r="BD239" s="6"/>
      <c r="BE239" s="6"/>
      <c r="BF239" s="6"/>
      <c r="BL239" s="6"/>
      <c r="BM239" s="73"/>
      <c r="BN239" s="74"/>
      <c r="BO239" s="74"/>
      <c r="BP239" s="74"/>
      <c r="BQ239" s="74"/>
      <c r="BR239" s="74"/>
      <c r="BS239" s="74"/>
      <c r="BT239" s="74"/>
      <c r="BU239" s="74"/>
      <c r="BV239" s="74"/>
      <c r="BW239" s="74"/>
      <c r="BX239" s="74"/>
      <c r="BY239" s="74"/>
      <c r="BZ239" s="74"/>
    </row>
    <row r="240">
      <c r="A240" s="77" t="str">
        <f t="shared" si="15"/>
        <v/>
      </c>
      <c r="I240" s="2"/>
      <c r="L240" s="2"/>
      <c r="M240" s="6"/>
      <c r="AB240" s="6"/>
      <c r="AO240" s="6"/>
      <c r="AQ240" s="6"/>
      <c r="AR240" s="6"/>
      <c r="AS240" s="6"/>
      <c r="BC240" s="6"/>
      <c r="BD240" s="6"/>
      <c r="BE240" s="6"/>
      <c r="BF240" s="6"/>
      <c r="BL240" s="6"/>
      <c r="BM240" s="73"/>
      <c r="BN240" s="74"/>
      <c r="BO240" s="74"/>
      <c r="BP240" s="74"/>
      <c r="BQ240" s="74"/>
      <c r="BR240" s="74"/>
      <c r="BS240" s="74"/>
      <c r="BT240" s="74"/>
      <c r="BU240" s="74"/>
      <c r="BV240" s="74"/>
      <c r="BW240" s="74"/>
      <c r="BX240" s="74"/>
      <c r="BY240" s="74"/>
      <c r="BZ240" s="74"/>
    </row>
    <row r="241">
      <c r="A241" s="77" t="str">
        <f t="shared" si="15"/>
        <v/>
      </c>
      <c r="I241" s="2"/>
      <c r="L241" s="2"/>
      <c r="M241" s="6"/>
      <c r="AA241" s="6"/>
      <c r="AB241" s="6"/>
      <c r="AK241" s="6"/>
      <c r="AL241" s="6"/>
      <c r="AM241" s="6"/>
      <c r="AN241" s="6"/>
      <c r="AO241" s="6"/>
      <c r="AP241" s="6"/>
      <c r="AQ241" s="6"/>
      <c r="AR241" s="6"/>
      <c r="AS241" s="6"/>
      <c r="BC241" s="6"/>
      <c r="BD241" s="6"/>
      <c r="BE241" s="6"/>
      <c r="BF241" s="6"/>
      <c r="BL241" s="6"/>
      <c r="BM241" s="73"/>
      <c r="BN241" s="74"/>
      <c r="BO241" s="74"/>
      <c r="BP241" s="74"/>
      <c r="BQ241" s="74"/>
      <c r="BR241" s="74"/>
      <c r="BS241" s="74"/>
      <c r="BT241" s="74"/>
      <c r="BU241" s="74"/>
      <c r="BV241" s="74"/>
      <c r="BW241" s="74"/>
      <c r="BX241" s="74"/>
      <c r="BY241" s="74"/>
      <c r="BZ241" s="74"/>
    </row>
    <row r="242">
      <c r="A242" s="77" t="str">
        <f t="shared" si="15"/>
        <v/>
      </c>
      <c r="I242" s="2"/>
      <c r="L242" s="2"/>
      <c r="AO242" s="6"/>
      <c r="AQ242" s="6"/>
      <c r="AR242" s="6"/>
      <c r="AS242" s="6"/>
      <c r="BC242" s="6"/>
      <c r="BD242" s="6"/>
      <c r="BE242" s="6"/>
      <c r="BF242" s="6"/>
      <c r="BL242" s="6"/>
      <c r="BM242" s="73"/>
      <c r="BN242" s="74"/>
      <c r="BO242" s="74"/>
      <c r="BP242" s="74"/>
      <c r="BQ242" s="74"/>
      <c r="BR242" s="74"/>
      <c r="BS242" s="74"/>
      <c r="BT242" s="74"/>
      <c r="BU242" s="74"/>
      <c r="BV242" s="74"/>
      <c r="BW242" s="74"/>
      <c r="BX242" s="74"/>
      <c r="BY242" s="74"/>
      <c r="BZ242" s="74"/>
    </row>
    <row r="243">
      <c r="A243" s="77" t="str">
        <f t="shared" si="15"/>
        <v/>
      </c>
      <c r="I243" s="2"/>
      <c r="L243" s="2"/>
      <c r="AO243" s="6"/>
      <c r="AQ243" s="6"/>
      <c r="AR243" s="6"/>
      <c r="AS243" s="6"/>
      <c r="BC243" s="6"/>
      <c r="BD243" s="6"/>
      <c r="BE243" s="6"/>
      <c r="BF243" s="6"/>
      <c r="BL243" s="6"/>
      <c r="BM243" s="73"/>
      <c r="BN243" s="74"/>
      <c r="BO243" s="74"/>
      <c r="BP243" s="74"/>
      <c r="BQ243" s="74"/>
      <c r="BR243" s="74"/>
      <c r="BS243" s="74"/>
      <c r="BT243" s="74"/>
      <c r="BU243" s="74"/>
      <c r="BV243" s="74"/>
      <c r="BW243" s="74"/>
      <c r="BX243" s="74"/>
      <c r="BY243" s="74"/>
      <c r="BZ243" s="74"/>
    </row>
    <row r="244">
      <c r="A244" s="77" t="str">
        <f t="shared" si="15"/>
        <v/>
      </c>
      <c r="I244" s="2"/>
      <c r="L244" s="2"/>
      <c r="M244" s="6"/>
      <c r="AB244" s="6"/>
      <c r="AO244" s="6"/>
      <c r="AP244" s="6"/>
      <c r="AQ244" s="6"/>
      <c r="AR244" s="6"/>
      <c r="AS244" s="6"/>
      <c r="BC244" s="6"/>
      <c r="BD244" s="6"/>
      <c r="BE244" s="6"/>
      <c r="BF244" s="6"/>
      <c r="BL244" s="6"/>
      <c r="BM244" s="73"/>
      <c r="BN244" s="74"/>
      <c r="BO244" s="74"/>
      <c r="BP244" s="74"/>
      <c r="BQ244" s="74"/>
      <c r="BR244" s="74"/>
      <c r="BS244" s="74"/>
      <c r="BT244" s="74"/>
      <c r="BU244" s="74"/>
      <c r="BV244" s="74"/>
      <c r="BW244" s="74"/>
      <c r="BX244" s="74"/>
      <c r="BY244" s="74"/>
      <c r="BZ244" s="74"/>
    </row>
    <row r="245">
      <c r="A245" s="77" t="str">
        <f t="shared" si="15"/>
        <v/>
      </c>
      <c r="I245" s="2"/>
      <c r="L245" s="2"/>
      <c r="AM245" s="6"/>
      <c r="AN245" s="6"/>
      <c r="AO245" s="6"/>
      <c r="AQ245" s="6"/>
      <c r="AR245" s="6"/>
      <c r="AS245" s="6"/>
      <c r="BC245" s="6"/>
      <c r="BD245" s="6"/>
      <c r="BE245" s="6"/>
      <c r="BF245" s="6"/>
      <c r="BL245" s="6"/>
      <c r="BM245" s="73"/>
      <c r="BN245" s="74"/>
      <c r="BO245" s="74"/>
      <c r="BP245" s="74"/>
      <c r="BQ245" s="74"/>
      <c r="BR245" s="74"/>
      <c r="BS245" s="74"/>
      <c r="BT245" s="74"/>
      <c r="BU245" s="74"/>
      <c r="BV245" s="74"/>
      <c r="BW245" s="74"/>
      <c r="BX245" s="74"/>
      <c r="BY245" s="74"/>
      <c r="BZ245" s="74"/>
    </row>
    <row r="246">
      <c r="A246" s="77" t="str">
        <f t="shared" si="15"/>
        <v/>
      </c>
      <c r="I246" s="2"/>
      <c r="L246" s="2"/>
      <c r="AO246" s="6"/>
      <c r="AQ246" s="6"/>
      <c r="AR246" s="6"/>
      <c r="AS246" s="6"/>
      <c r="BC246" s="6"/>
      <c r="BD246" s="6"/>
      <c r="BE246" s="6"/>
      <c r="BF246" s="6"/>
      <c r="BL246" s="6"/>
      <c r="BM246" s="73"/>
      <c r="BN246" s="74"/>
      <c r="BO246" s="74"/>
      <c r="BP246" s="74"/>
      <c r="BQ246" s="74"/>
      <c r="BR246" s="74"/>
      <c r="BS246" s="74"/>
      <c r="BT246" s="74"/>
      <c r="BU246" s="74"/>
      <c r="BV246" s="74"/>
      <c r="BW246" s="74"/>
      <c r="BX246" s="74"/>
      <c r="BY246" s="74"/>
      <c r="BZ246" s="74"/>
    </row>
    <row r="247">
      <c r="A247" s="77" t="str">
        <f t="shared" si="15"/>
        <v/>
      </c>
      <c r="I247" s="2"/>
      <c r="L247" s="2"/>
      <c r="M247" s="6"/>
      <c r="AB247" s="6"/>
      <c r="AO247" s="6"/>
      <c r="AP247" s="6"/>
      <c r="AQ247" s="6"/>
      <c r="AR247" s="6"/>
      <c r="AS247" s="6"/>
      <c r="BC247" s="6"/>
      <c r="BD247" s="6"/>
      <c r="BE247" s="6"/>
      <c r="BF247" s="6"/>
      <c r="BL247" s="6"/>
      <c r="BM247" s="73"/>
      <c r="BN247" s="74"/>
      <c r="BO247" s="74"/>
      <c r="BP247" s="74"/>
      <c r="BQ247" s="74"/>
      <c r="BR247" s="74"/>
      <c r="BS247" s="74"/>
      <c r="BT247" s="74"/>
      <c r="BU247" s="74"/>
      <c r="BV247" s="74"/>
      <c r="BW247" s="74"/>
      <c r="BX247" s="74"/>
      <c r="BY247" s="74"/>
      <c r="BZ247" s="74"/>
    </row>
    <row r="248">
      <c r="A248" s="77" t="str">
        <f t="shared" si="15"/>
        <v/>
      </c>
      <c r="I248" s="2"/>
      <c r="L248" s="2"/>
      <c r="AO248" s="6"/>
      <c r="AQ248" s="6"/>
      <c r="AR248" s="6"/>
      <c r="AS248" s="6"/>
      <c r="BC248" s="6"/>
      <c r="BD248" s="6"/>
      <c r="BE248" s="6"/>
      <c r="BF248" s="6"/>
      <c r="BL248" s="6"/>
      <c r="BM248" s="73"/>
      <c r="BN248" s="74"/>
      <c r="BO248" s="74"/>
      <c r="BP248" s="74"/>
      <c r="BQ248" s="74"/>
      <c r="BR248" s="74"/>
      <c r="BS248" s="74"/>
      <c r="BT248" s="74"/>
      <c r="BU248" s="74"/>
      <c r="BV248" s="74"/>
      <c r="BW248" s="74"/>
      <c r="BX248" s="74"/>
      <c r="BY248" s="74"/>
      <c r="BZ248" s="74"/>
    </row>
    <row r="249">
      <c r="A249" s="77" t="str">
        <f t="shared" si="15"/>
        <v/>
      </c>
      <c r="I249" s="2"/>
      <c r="L249" s="5"/>
      <c r="AO249" s="6"/>
      <c r="AP249" s="6"/>
      <c r="AQ249" s="6"/>
      <c r="AR249" s="6"/>
      <c r="AS249" s="6"/>
      <c r="BC249" s="6"/>
      <c r="BD249" s="6"/>
      <c r="BE249" s="6"/>
      <c r="BF249" s="6"/>
      <c r="BL249" s="6"/>
      <c r="BM249" s="73"/>
      <c r="BN249" s="74"/>
      <c r="BO249" s="74"/>
      <c r="BP249" s="74"/>
      <c r="BQ249" s="74"/>
      <c r="BR249" s="74"/>
      <c r="BS249" s="74"/>
      <c r="BT249" s="74"/>
      <c r="BU249" s="74"/>
      <c r="BV249" s="74"/>
      <c r="BW249" s="74"/>
      <c r="BX249" s="74"/>
      <c r="BY249" s="74"/>
      <c r="BZ249" s="74"/>
    </row>
    <row r="250">
      <c r="A250" s="77" t="str">
        <f t="shared" si="15"/>
        <v/>
      </c>
      <c r="I250" s="2"/>
      <c r="L250" s="5"/>
      <c r="M250" s="6"/>
      <c r="AB250" s="6"/>
      <c r="AM250" s="6"/>
      <c r="AN250" s="6"/>
      <c r="AO250" s="6"/>
      <c r="AP250" s="6"/>
      <c r="AQ250" s="6"/>
      <c r="AR250" s="6"/>
      <c r="AS250" s="6"/>
      <c r="BC250" s="6"/>
      <c r="BD250" s="6"/>
      <c r="BE250" s="6"/>
      <c r="BF250" s="6"/>
      <c r="BL250" s="6"/>
      <c r="BM250" s="73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</row>
    <row r="251">
      <c r="A251" s="77" t="str">
        <f t="shared" si="15"/>
        <v/>
      </c>
      <c r="I251" s="2"/>
      <c r="L251" s="2"/>
      <c r="AO251" s="6"/>
      <c r="AP251" s="6"/>
      <c r="AQ251" s="6"/>
      <c r="AR251" s="6"/>
      <c r="AS251" s="6"/>
      <c r="BC251" s="6"/>
      <c r="BD251" s="6"/>
      <c r="BE251" s="6"/>
      <c r="BF251" s="6"/>
      <c r="BL251" s="6"/>
      <c r="BM251" s="73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</row>
    <row r="252">
      <c r="A252" s="77" t="str">
        <f t="shared" si="15"/>
        <v/>
      </c>
      <c r="I252" s="2"/>
      <c r="L252" s="5"/>
      <c r="AQ252" s="6"/>
      <c r="AR252" s="6"/>
      <c r="AS252" s="6"/>
      <c r="BC252" s="6"/>
      <c r="BD252" s="6"/>
      <c r="BE252" s="6"/>
      <c r="BF252" s="6"/>
      <c r="BL252" s="6"/>
      <c r="BM252" s="73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</row>
    <row r="253">
      <c r="A253" s="77" t="str">
        <f t="shared" si="15"/>
        <v/>
      </c>
      <c r="I253" s="2"/>
      <c r="L253" s="2"/>
      <c r="M253" s="6"/>
      <c r="AB253" s="6"/>
      <c r="AM253" s="6"/>
      <c r="AN253" s="6"/>
      <c r="AO253" s="6"/>
      <c r="AP253" s="6"/>
      <c r="AQ253" s="6"/>
      <c r="AR253" s="6"/>
      <c r="AS253" s="6"/>
      <c r="BC253" s="6"/>
      <c r="BD253" s="6"/>
      <c r="BE253" s="6"/>
      <c r="BF253" s="6"/>
      <c r="BL253" s="6"/>
      <c r="BM253" s="73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</row>
    <row r="254">
      <c r="A254" s="77" t="str">
        <f t="shared" si="15"/>
        <v/>
      </c>
      <c r="I254" s="2"/>
      <c r="L254" s="2"/>
      <c r="M254" s="6"/>
      <c r="AB254" s="6"/>
      <c r="AM254" s="6"/>
      <c r="AN254" s="6"/>
      <c r="AO254" s="6"/>
      <c r="AP254" s="6"/>
      <c r="AQ254" s="6"/>
      <c r="AR254" s="6"/>
      <c r="AS254" s="6"/>
      <c r="BC254" s="6"/>
      <c r="BD254" s="6"/>
      <c r="BE254" s="6"/>
      <c r="BF254" s="6"/>
      <c r="BL254" s="6"/>
      <c r="BM254" s="73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</row>
    <row r="255">
      <c r="A255" s="77" t="str">
        <f t="shared" si="15"/>
        <v/>
      </c>
      <c r="I255" s="2"/>
      <c r="L255" s="2"/>
      <c r="AO255" s="6"/>
      <c r="AQ255" s="6"/>
      <c r="AR255" s="6"/>
      <c r="AS255" s="6"/>
      <c r="BC255" s="6"/>
      <c r="BD255" s="6"/>
      <c r="BE255" s="6"/>
      <c r="BF255" s="6"/>
      <c r="BL255" s="6"/>
      <c r="BM255" s="73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</row>
    <row r="256">
      <c r="A256" s="77" t="str">
        <f t="shared" si="15"/>
        <v/>
      </c>
      <c r="I256" s="2"/>
      <c r="L256" s="2"/>
      <c r="AO256" s="6"/>
      <c r="AQ256" s="6"/>
      <c r="AR256" s="6"/>
      <c r="AS256" s="6"/>
      <c r="BC256" s="6"/>
      <c r="BD256" s="6"/>
      <c r="BE256" s="6"/>
      <c r="BF256" s="6"/>
      <c r="BL256" s="6"/>
      <c r="BM256" s="73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</row>
    <row r="257">
      <c r="A257" s="77" t="str">
        <f t="shared" si="15"/>
        <v/>
      </c>
      <c r="I257" s="2"/>
      <c r="L257" s="2"/>
      <c r="M257" s="6"/>
      <c r="AB257" s="6"/>
      <c r="AO257" s="6"/>
      <c r="AP257" s="6"/>
      <c r="AQ257" s="6"/>
      <c r="AR257" s="6"/>
      <c r="AS257" s="6"/>
      <c r="BC257" s="6"/>
      <c r="BD257" s="6"/>
      <c r="BE257" s="6"/>
      <c r="BF257" s="6"/>
      <c r="BL257" s="6"/>
      <c r="BM257" s="73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</row>
    <row r="258">
      <c r="A258" s="77" t="str">
        <f t="shared" si="15"/>
        <v/>
      </c>
      <c r="I258" s="2"/>
      <c r="L258" s="2"/>
      <c r="AI258" s="6"/>
      <c r="AJ258" s="6"/>
      <c r="AK258" s="6"/>
      <c r="AL258" s="6"/>
      <c r="AM258" s="6"/>
      <c r="AN258" s="6"/>
      <c r="AO258" s="6"/>
      <c r="AQ258" s="6"/>
      <c r="AR258" s="6"/>
      <c r="AS258" s="6"/>
      <c r="BC258" s="6"/>
      <c r="BD258" s="6"/>
      <c r="BE258" s="6"/>
      <c r="BF258" s="6"/>
      <c r="BL258" s="6"/>
      <c r="BM258" s="73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</row>
    <row r="259">
      <c r="A259" s="77" t="str">
        <f t="shared" si="15"/>
        <v/>
      </c>
      <c r="I259" s="2"/>
      <c r="L259" s="2"/>
      <c r="AM259" s="6"/>
      <c r="AN259" s="6"/>
      <c r="AO259" s="6"/>
      <c r="AQ259" s="6"/>
      <c r="AR259" s="6"/>
      <c r="AS259" s="6"/>
      <c r="BC259" s="6"/>
      <c r="BD259" s="6"/>
      <c r="BE259" s="6"/>
      <c r="BF259" s="6"/>
      <c r="BL259" s="6"/>
      <c r="BM259" s="73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</row>
    <row r="260">
      <c r="A260" s="77" t="str">
        <f t="shared" si="15"/>
        <v/>
      </c>
      <c r="I260" s="2"/>
      <c r="L260" s="2"/>
      <c r="M260" s="6"/>
      <c r="AB260" s="6"/>
      <c r="AO260" s="6"/>
      <c r="AP260" s="6"/>
      <c r="AQ260" s="6"/>
      <c r="AR260" s="6"/>
      <c r="AS260" s="6"/>
      <c r="BC260" s="6"/>
      <c r="BD260" s="6"/>
      <c r="BE260" s="6"/>
      <c r="BF260" s="6"/>
      <c r="BL260" s="6"/>
      <c r="BM260" s="73"/>
      <c r="BN260" s="74"/>
      <c r="BO260" s="74"/>
      <c r="BP260" s="74"/>
      <c r="BQ260" s="74"/>
      <c r="BR260" s="74"/>
      <c r="BS260" s="74"/>
      <c r="BT260" s="74"/>
      <c r="BU260" s="74"/>
      <c r="BV260" s="74"/>
      <c r="BW260" s="74"/>
      <c r="BX260" s="74"/>
      <c r="BY260" s="74"/>
      <c r="BZ260" s="74"/>
    </row>
    <row r="261">
      <c r="A261" s="77" t="str">
        <f t="shared" si="15"/>
        <v/>
      </c>
      <c r="I261" s="2"/>
      <c r="L261" s="2"/>
      <c r="AO261" s="6"/>
      <c r="AQ261" s="6"/>
      <c r="AR261" s="6"/>
      <c r="AS261" s="6"/>
      <c r="BC261" s="6"/>
      <c r="BD261" s="6"/>
      <c r="BE261" s="6"/>
      <c r="BF261" s="6"/>
      <c r="BL261" s="6"/>
      <c r="BM261" s="73"/>
      <c r="BN261" s="74"/>
      <c r="BO261" s="74"/>
      <c r="BP261" s="74"/>
      <c r="BQ261" s="74"/>
      <c r="BR261" s="74"/>
      <c r="BS261" s="74"/>
      <c r="BT261" s="74"/>
      <c r="BU261" s="74"/>
      <c r="BV261" s="74"/>
      <c r="BW261" s="74"/>
      <c r="BX261" s="74"/>
      <c r="BY261" s="74"/>
      <c r="BZ261" s="74"/>
    </row>
    <row r="262">
      <c r="A262" s="77" t="str">
        <f t="shared" si="15"/>
        <v/>
      </c>
      <c r="I262" s="2"/>
      <c r="L262" s="2"/>
      <c r="M262" s="6"/>
      <c r="U262" s="6"/>
      <c r="V262" s="6"/>
      <c r="W262" s="6"/>
      <c r="X262" s="6"/>
      <c r="Y262" s="6"/>
      <c r="Z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BC262" s="6"/>
      <c r="BD262" s="6"/>
      <c r="BE262" s="6"/>
      <c r="BF262" s="6"/>
      <c r="BL262" s="6"/>
      <c r="BM262" s="73"/>
      <c r="BN262" s="74"/>
      <c r="BO262" s="74"/>
      <c r="BP262" s="74"/>
      <c r="BQ262" s="74"/>
      <c r="BR262" s="74"/>
      <c r="BS262" s="74"/>
      <c r="BT262" s="74"/>
      <c r="BU262" s="74"/>
      <c r="BV262" s="74"/>
      <c r="BW262" s="74"/>
      <c r="BX262" s="74"/>
      <c r="BY262" s="74"/>
      <c r="BZ262" s="74"/>
    </row>
    <row r="263">
      <c r="A263" s="77" t="str">
        <f t="shared" si="15"/>
        <v/>
      </c>
      <c r="I263" s="2"/>
      <c r="L263" s="2"/>
      <c r="AJ263" s="6"/>
      <c r="AK263" s="6"/>
      <c r="AL263" s="6"/>
      <c r="AM263" s="6"/>
      <c r="AN263" s="6"/>
      <c r="AO263" s="6"/>
      <c r="AQ263" s="6"/>
      <c r="AR263" s="6"/>
      <c r="AS263" s="6"/>
      <c r="BC263" s="6"/>
      <c r="BD263" s="6"/>
      <c r="BE263" s="6"/>
      <c r="BF263" s="6"/>
      <c r="BL263" s="6"/>
      <c r="BM263" s="73"/>
      <c r="BN263" s="74"/>
      <c r="BO263" s="74"/>
      <c r="BP263" s="74"/>
      <c r="BQ263" s="74"/>
      <c r="BR263" s="74"/>
      <c r="BS263" s="74"/>
      <c r="BT263" s="74"/>
      <c r="BU263" s="74"/>
      <c r="BV263" s="74"/>
      <c r="BW263" s="74"/>
      <c r="BX263" s="74"/>
      <c r="BY263" s="74"/>
      <c r="BZ263" s="74"/>
    </row>
    <row r="264">
      <c r="A264" s="77" t="str">
        <f t="shared" si="15"/>
        <v/>
      </c>
      <c r="I264" s="2"/>
      <c r="L264" s="2"/>
      <c r="M264" s="6"/>
      <c r="AB264" s="6"/>
      <c r="AO264" s="6"/>
      <c r="AP264" s="6"/>
      <c r="AQ264" s="6"/>
      <c r="AR264" s="6"/>
      <c r="AS264" s="6"/>
      <c r="BC264" s="6"/>
      <c r="BD264" s="6"/>
      <c r="BE264" s="6"/>
      <c r="BF264" s="6"/>
      <c r="BL264" s="6"/>
      <c r="BM264" s="73"/>
      <c r="BN264" s="74"/>
      <c r="BO264" s="74"/>
      <c r="BP264" s="74"/>
      <c r="BQ264" s="74"/>
      <c r="BR264" s="74"/>
      <c r="BS264" s="74"/>
      <c r="BT264" s="74"/>
      <c r="BU264" s="74"/>
      <c r="BV264" s="74"/>
      <c r="BW264" s="74"/>
      <c r="BX264" s="74"/>
      <c r="BY264" s="74"/>
      <c r="BZ264" s="74"/>
    </row>
    <row r="265">
      <c r="A265" s="77" t="str">
        <f t="shared" si="15"/>
        <v/>
      </c>
      <c r="I265" s="2"/>
      <c r="L265" s="2"/>
      <c r="M265" s="6"/>
      <c r="AB265" s="6"/>
      <c r="AK265" s="6"/>
      <c r="AL265" s="6"/>
      <c r="AM265" s="6"/>
      <c r="AN265" s="6"/>
      <c r="AO265" s="6"/>
      <c r="AP265" s="6"/>
      <c r="AQ265" s="6"/>
      <c r="AR265" s="6"/>
      <c r="AS265" s="6"/>
      <c r="BC265" s="6"/>
      <c r="BD265" s="6"/>
      <c r="BE265" s="6"/>
      <c r="BF265" s="6"/>
      <c r="BL265" s="6"/>
      <c r="BM265" s="73"/>
      <c r="BN265" s="74"/>
      <c r="BO265" s="74"/>
      <c r="BP265" s="74"/>
      <c r="BQ265" s="74"/>
      <c r="BR265" s="74"/>
      <c r="BS265" s="74"/>
      <c r="BT265" s="74"/>
      <c r="BU265" s="74"/>
      <c r="BV265" s="74"/>
      <c r="BW265" s="74"/>
      <c r="BX265" s="74"/>
      <c r="BY265" s="74"/>
      <c r="BZ265" s="74"/>
    </row>
    <row r="266">
      <c r="A266" s="77" t="str">
        <f t="shared" si="15"/>
        <v/>
      </c>
      <c r="I266" s="2"/>
      <c r="L266" s="2"/>
      <c r="M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BC266" s="6"/>
      <c r="BD266" s="6"/>
      <c r="BE266" s="6"/>
      <c r="BF266" s="6"/>
      <c r="BL266" s="6"/>
      <c r="BM266" s="73"/>
      <c r="BN266" s="74"/>
      <c r="BO266" s="74"/>
      <c r="BP266" s="74"/>
      <c r="BQ266" s="74"/>
      <c r="BR266" s="74"/>
      <c r="BS266" s="74"/>
      <c r="BT266" s="74"/>
      <c r="BU266" s="74"/>
      <c r="BV266" s="74"/>
      <c r="BW266" s="74"/>
      <c r="BX266" s="74"/>
      <c r="BY266" s="74"/>
      <c r="BZ266" s="74"/>
    </row>
    <row r="267">
      <c r="A267" s="77" t="str">
        <f t="shared" si="15"/>
        <v/>
      </c>
      <c r="I267" s="2"/>
      <c r="L267" s="2"/>
      <c r="M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BC267" s="6"/>
      <c r="BD267" s="6"/>
      <c r="BE267" s="6"/>
      <c r="BF267" s="6"/>
      <c r="BL267" s="6"/>
      <c r="BM267" s="73"/>
      <c r="BN267" s="74"/>
      <c r="BO267" s="74"/>
      <c r="BP267" s="74"/>
      <c r="BQ267" s="74"/>
      <c r="BR267" s="74"/>
      <c r="BS267" s="74"/>
      <c r="BT267" s="74"/>
      <c r="BU267" s="74"/>
      <c r="BV267" s="74"/>
      <c r="BW267" s="74"/>
      <c r="BX267" s="74"/>
      <c r="BY267" s="74"/>
      <c r="BZ267" s="74"/>
    </row>
    <row r="268">
      <c r="A268" s="77" t="str">
        <f t="shared" si="15"/>
        <v/>
      </c>
      <c r="I268" s="2"/>
      <c r="L268" s="2"/>
      <c r="AO268" s="6"/>
      <c r="AQ268" s="6"/>
      <c r="AR268" s="6"/>
      <c r="AS268" s="6"/>
      <c r="BC268" s="6"/>
      <c r="BD268" s="6"/>
      <c r="BE268" s="6"/>
      <c r="BF268" s="6"/>
      <c r="BL268" s="6"/>
      <c r="BM268" s="73"/>
      <c r="BN268" s="74"/>
      <c r="BO268" s="74"/>
      <c r="BP268" s="74"/>
      <c r="BQ268" s="74"/>
      <c r="BR268" s="74"/>
      <c r="BS268" s="74"/>
      <c r="BT268" s="74"/>
      <c r="BU268" s="74"/>
      <c r="BV268" s="74"/>
      <c r="BW268" s="74"/>
      <c r="BX268" s="74"/>
      <c r="BY268" s="74"/>
      <c r="BZ268" s="74"/>
    </row>
    <row r="269">
      <c r="A269" s="77" t="str">
        <f t="shared" si="15"/>
        <v/>
      </c>
      <c r="I269" s="2"/>
      <c r="L269" s="2"/>
      <c r="M269" s="6"/>
      <c r="AB269" s="6"/>
      <c r="AO269" s="6"/>
      <c r="AP269" s="6"/>
      <c r="AQ269" s="6"/>
      <c r="AR269" s="6"/>
      <c r="AS269" s="6"/>
      <c r="BC269" s="6"/>
      <c r="BD269" s="6"/>
      <c r="BE269" s="6"/>
      <c r="BF269" s="6"/>
      <c r="BL269" s="6"/>
      <c r="BM269" s="73"/>
      <c r="BN269" s="74"/>
      <c r="BO269" s="74"/>
      <c r="BP269" s="74"/>
      <c r="BQ269" s="74"/>
      <c r="BR269" s="74"/>
      <c r="BS269" s="74"/>
      <c r="BT269" s="74"/>
      <c r="BU269" s="74"/>
      <c r="BV269" s="74"/>
      <c r="BW269" s="74"/>
      <c r="BX269" s="74"/>
      <c r="BY269" s="74"/>
      <c r="BZ269" s="74"/>
    </row>
    <row r="270">
      <c r="A270" s="77" t="str">
        <f t="shared" si="15"/>
        <v/>
      </c>
      <c r="I270" s="2"/>
      <c r="L270" s="2"/>
      <c r="AK270" s="6"/>
      <c r="AL270" s="6"/>
      <c r="AM270" s="6"/>
      <c r="AN270" s="6"/>
      <c r="AO270" s="6"/>
      <c r="AQ270" s="6"/>
      <c r="AR270" s="6"/>
      <c r="AS270" s="6"/>
      <c r="BC270" s="6"/>
      <c r="BD270" s="6"/>
      <c r="BE270" s="6"/>
      <c r="BF270" s="6"/>
      <c r="BL270" s="6"/>
      <c r="BM270" s="73"/>
      <c r="BN270" s="74"/>
      <c r="BO270" s="74"/>
      <c r="BP270" s="74"/>
      <c r="BQ270" s="74"/>
      <c r="BR270" s="74"/>
      <c r="BS270" s="74"/>
      <c r="BT270" s="74"/>
      <c r="BU270" s="74"/>
      <c r="BV270" s="74"/>
      <c r="BW270" s="74"/>
      <c r="BX270" s="74"/>
      <c r="BY270" s="74"/>
      <c r="BZ270" s="74"/>
    </row>
    <row r="271">
      <c r="A271" s="77" t="str">
        <f t="shared" si="15"/>
        <v/>
      </c>
      <c r="I271" s="2"/>
      <c r="L271" s="2"/>
      <c r="AO271" s="6"/>
      <c r="AQ271" s="6"/>
      <c r="AR271" s="6"/>
      <c r="AS271" s="6"/>
      <c r="BC271" s="6"/>
      <c r="BD271" s="6"/>
      <c r="BE271" s="6"/>
      <c r="BF271" s="6"/>
      <c r="BL271" s="6"/>
      <c r="BM271" s="73"/>
      <c r="BN271" s="74"/>
      <c r="BO271" s="74"/>
      <c r="BP271" s="74"/>
      <c r="BQ271" s="74"/>
      <c r="BR271" s="74"/>
      <c r="BS271" s="74"/>
      <c r="BT271" s="74"/>
      <c r="BU271" s="74"/>
      <c r="BV271" s="74"/>
      <c r="BW271" s="74"/>
      <c r="BX271" s="74"/>
      <c r="BY271" s="74"/>
      <c r="BZ271" s="74"/>
    </row>
    <row r="272">
      <c r="A272" s="77" t="str">
        <f t="shared" si="15"/>
        <v/>
      </c>
      <c r="I272" s="2"/>
      <c r="L272" s="2"/>
      <c r="AO272" s="6"/>
      <c r="AQ272" s="6"/>
      <c r="AR272" s="6"/>
      <c r="AS272" s="6"/>
      <c r="BC272" s="6"/>
      <c r="BD272" s="6"/>
      <c r="BE272" s="6"/>
      <c r="BF272" s="6"/>
      <c r="BL272" s="6"/>
      <c r="BM272" s="73"/>
      <c r="BN272" s="74"/>
      <c r="BO272" s="74"/>
      <c r="BP272" s="74"/>
      <c r="BQ272" s="74"/>
      <c r="BR272" s="74"/>
      <c r="BS272" s="74"/>
      <c r="BT272" s="74"/>
      <c r="BU272" s="74"/>
      <c r="BV272" s="74"/>
      <c r="BW272" s="74"/>
      <c r="BX272" s="74"/>
      <c r="BY272" s="74"/>
      <c r="BZ272" s="74"/>
    </row>
    <row r="273">
      <c r="A273" s="77" t="str">
        <f t="shared" si="15"/>
        <v/>
      </c>
      <c r="I273" s="2"/>
      <c r="L273" s="2"/>
      <c r="AO273" s="6"/>
      <c r="AQ273" s="6"/>
      <c r="AR273" s="6"/>
      <c r="AS273" s="6"/>
      <c r="BC273" s="6"/>
      <c r="BD273" s="6"/>
      <c r="BE273" s="6"/>
      <c r="BF273" s="6"/>
      <c r="BL273" s="6"/>
      <c r="BM273" s="73"/>
      <c r="BN273" s="74"/>
      <c r="BO273" s="74"/>
      <c r="BP273" s="74"/>
      <c r="BQ273" s="74"/>
      <c r="BR273" s="74"/>
      <c r="BS273" s="74"/>
      <c r="BT273" s="74"/>
      <c r="BU273" s="74"/>
      <c r="BV273" s="74"/>
      <c r="BW273" s="74"/>
      <c r="BX273" s="74"/>
      <c r="BY273" s="74"/>
      <c r="BZ273" s="74"/>
    </row>
    <row r="274">
      <c r="A274" s="77" t="str">
        <f t="shared" si="15"/>
        <v/>
      </c>
      <c r="I274" s="2"/>
      <c r="L274" s="2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BC274" s="6"/>
      <c r="BD274" s="6"/>
      <c r="BE274" s="6"/>
      <c r="BF274" s="6"/>
      <c r="BL274" s="6"/>
      <c r="BM274" s="73"/>
      <c r="BN274" s="74"/>
      <c r="BO274" s="74"/>
      <c r="BP274" s="74"/>
      <c r="BQ274" s="74"/>
      <c r="BR274" s="74"/>
      <c r="BS274" s="74"/>
      <c r="BT274" s="74"/>
      <c r="BU274" s="74"/>
      <c r="BV274" s="74"/>
      <c r="BW274" s="74"/>
      <c r="BX274" s="74"/>
      <c r="BY274" s="74"/>
      <c r="BZ274" s="74"/>
    </row>
    <row r="275">
      <c r="A275" s="77" t="str">
        <f t="shared" si="15"/>
        <v/>
      </c>
      <c r="I275" s="2"/>
      <c r="L275" s="2"/>
      <c r="M275" s="6"/>
      <c r="AB275" s="6"/>
      <c r="AN275" s="6"/>
      <c r="AO275" s="6"/>
      <c r="AP275" s="6"/>
      <c r="AQ275" s="6"/>
      <c r="AR275" s="6"/>
      <c r="AS275" s="6"/>
      <c r="BC275" s="6"/>
      <c r="BD275" s="6"/>
      <c r="BE275" s="6"/>
      <c r="BF275" s="6"/>
      <c r="BL275" s="6"/>
      <c r="BM275" s="73"/>
      <c r="BN275" s="74"/>
      <c r="BO275" s="74"/>
      <c r="BP275" s="74"/>
      <c r="BQ275" s="74"/>
      <c r="BR275" s="74"/>
      <c r="BS275" s="74"/>
      <c r="BT275" s="74"/>
      <c r="BU275" s="74"/>
      <c r="BV275" s="74"/>
      <c r="BW275" s="74"/>
      <c r="BX275" s="74"/>
      <c r="BY275" s="74"/>
      <c r="BZ275" s="74"/>
    </row>
    <row r="276">
      <c r="A276" s="77" t="str">
        <f t="shared" si="15"/>
        <v/>
      </c>
      <c r="I276" s="2"/>
      <c r="L276" s="2"/>
      <c r="AB276" s="6"/>
      <c r="AO276" s="6"/>
      <c r="AP276" s="6"/>
      <c r="AQ276" s="6"/>
      <c r="AR276" s="6"/>
      <c r="AS276" s="6"/>
      <c r="BC276" s="6"/>
      <c r="BD276" s="6"/>
      <c r="BE276" s="6"/>
      <c r="BF276" s="6"/>
      <c r="BL276" s="6"/>
      <c r="BM276" s="73"/>
      <c r="BN276" s="74"/>
      <c r="BO276" s="74"/>
      <c r="BP276" s="74"/>
      <c r="BQ276" s="74"/>
      <c r="BR276" s="74"/>
      <c r="BS276" s="74"/>
      <c r="BT276" s="74"/>
      <c r="BU276" s="74"/>
      <c r="BV276" s="74"/>
      <c r="BW276" s="74"/>
      <c r="BX276" s="74"/>
      <c r="BY276" s="74"/>
      <c r="BZ276" s="74"/>
    </row>
    <row r="277">
      <c r="A277" s="77" t="str">
        <f t="shared" si="15"/>
        <v/>
      </c>
      <c r="I277" s="2"/>
      <c r="L277" s="2"/>
      <c r="M277" s="6"/>
      <c r="AB277" s="6"/>
      <c r="AN277" s="6"/>
      <c r="AO277" s="6"/>
      <c r="AP277" s="6"/>
      <c r="AQ277" s="6"/>
      <c r="AR277" s="6"/>
      <c r="AS277" s="6"/>
      <c r="BC277" s="6"/>
      <c r="BD277" s="6"/>
      <c r="BE277" s="6"/>
      <c r="BF277" s="6"/>
      <c r="BL277" s="6"/>
      <c r="BM277" s="73"/>
      <c r="BN277" s="74"/>
      <c r="BO277" s="74"/>
      <c r="BP277" s="74"/>
      <c r="BQ277" s="74"/>
      <c r="BR277" s="74"/>
      <c r="BS277" s="74"/>
      <c r="BT277" s="74"/>
      <c r="BU277" s="74"/>
      <c r="BV277" s="74"/>
      <c r="BW277" s="74"/>
      <c r="BX277" s="74"/>
      <c r="BY277" s="74"/>
      <c r="BZ277" s="74"/>
    </row>
    <row r="278">
      <c r="A278" s="77" t="str">
        <f t="shared" si="15"/>
        <v/>
      </c>
      <c r="I278" s="2"/>
      <c r="L278" s="2"/>
      <c r="M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BC278" s="6"/>
      <c r="BD278" s="6"/>
      <c r="BE278" s="6"/>
      <c r="BF278" s="6"/>
      <c r="BL278" s="6"/>
      <c r="BM278" s="73"/>
      <c r="BN278" s="74"/>
      <c r="BO278" s="74"/>
      <c r="BP278" s="74"/>
      <c r="BQ278" s="74"/>
      <c r="BR278" s="74"/>
      <c r="BS278" s="74"/>
      <c r="BT278" s="74"/>
      <c r="BU278" s="74"/>
      <c r="BV278" s="74"/>
      <c r="BW278" s="74"/>
      <c r="BX278" s="74"/>
      <c r="BY278" s="74"/>
      <c r="BZ278" s="74"/>
    </row>
    <row r="279">
      <c r="A279" s="77" t="str">
        <f t="shared" si="15"/>
        <v/>
      </c>
      <c r="I279" s="2"/>
      <c r="L279" s="2"/>
      <c r="AO279" s="6"/>
      <c r="AQ279" s="6"/>
      <c r="AR279" s="6"/>
      <c r="AS279" s="6"/>
      <c r="BC279" s="6"/>
      <c r="BD279" s="6"/>
      <c r="BE279" s="6"/>
      <c r="BF279" s="6"/>
      <c r="BL279" s="6"/>
      <c r="BM279" s="73"/>
      <c r="BN279" s="74"/>
      <c r="BO279" s="74"/>
      <c r="BP279" s="74"/>
      <c r="BQ279" s="74"/>
      <c r="BR279" s="74"/>
      <c r="BS279" s="74"/>
      <c r="BT279" s="74"/>
      <c r="BU279" s="74"/>
      <c r="BV279" s="74"/>
      <c r="BW279" s="74"/>
      <c r="BX279" s="74"/>
      <c r="BY279" s="74"/>
      <c r="BZ279" s="74"/>
    </row>
    <row r="280">
      <c r="A280" s="77" t="str">
        <f t="shared" si="15"/>
        <v/>
      </c>
      <c r="I280" s="2"/>
      <c r="L280" s="2"/>
      <c r="AO280" s="6"/>
      <c r="AQ280" s="6"/>
      <c r="AR280" s="6"/>
      <c r="AS280" s="6"/>
      <c r="BC280" s="6"/>
      <c r="BD280" s="6"/>
      <c r="BE280" s="6"/>
      <c r="BF280" s="6"/>
      <c r="BL280" s="6"/>
      <c r="BM280" s="73"/>
      <c r="BN280" s="74"/>
      <c r="BO280" s="74"/>
      <c r="BP280" s="74"/>
      <c r="BQ280" s="74"/>
      <c r="BR280" s="74"/>
      <c r="BS280" s="74"/>
      <c r="BT280" s="74"/>
      <c r="BU280" s="74"/>
      <c r="BV280" s="74"/>
      <c r="BW280" s="74"/>
      <c r="BX280" s="74"/>
      <c r="BY280" s="74"/>
      <c r="BZ280" s="74"/>
    </row>
    <row r="281">
      <c r="A281" s="77" t="str">
        <f t="shared" si="15"/>
        <v/>
      </c>
      <c r="I281" s="2"/>
      <c r="L281" s="2"/>
      <c r="AO281" s="6"/>
      <c r="AQ281" s="6"/>
      <c r="AR281" s="6"/>
      <c r="AS281" s="6"/>
      <c r="BC281" s="6"/>
      <c r="BD281" s="6"/>
      <c r="BE281" s="6"/>
      <c r="BF281" s="6"/>
      <c r="BL281" s="6"/>
      <c r="BM281" s="73"/>
      <c r="BN281" s="74"/>
      <c r="BO281" s="74"/>
      <c r="BP281" s="74"/>
      <c r="BQ281" s="74"/>
      <c r="BR281" s="74"/>
      <c r="BS281" s="74"/>
      <c r="BT281" s="74"/>
      <c r="BU281" s="74"/>
      <c r="BV281" s="74"/>
      <c r="BW281" s="74"/>
      <c r="BX281" s="74"/>
      <c r="BY281" s="74"/>
      <c r="BZ281" s="74"/>
    </row>
    <row r="282">
      <c r="A282" s="77" t="str">
        <f t="shared" si="15"/>
        <v/>
      </c>
      <c r="I282" s="2"/>
      <c r="L282" s="2"/>
      <c r="AO282" s="6"/>
      <c r="AQ282" s="6"/>
      <c r="AR282" s="6"/>
      <c r="AS282" s="6"/>
      <c r="BC282" s="6"/>
      <c r="BD282" s="6"/>
      <c r="BE282" s="6"/>
      <c r="BF282" s="6"/>
      <c r="BL282" s="6"/>
      <c r="BM282" s="73"/>
      <c r="BN282" s="74"/>
      <c r="BO282" s="74"/>
      <c r="BP282" s="74"/>
      <c r="BQ282" s="74"/>
      <c r="BR282" s="74"/>
      <c r="BS282" s="74"/>
      <c r="BT282" s="74"/>
      <c r="BU282" s="74"/>
      <c r="BV282" s="74"/>
      <c r="BW282" s="74"/>
      <c r="BX282" s="74"/>
      <c r="BY282" s="74"/>
      <c r="BZ282" s="74"/>
    </row>
    <row r="283">
      <c r="A283" s="77" t="str">
        <f t="shared" si="15"/>
        <v/>
      </c>
      <c r="I283" s="2"/>
      <c r="L283" s="2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BC283" s="6"/>
      <c r="BD283" s="6"/>
      <c r="BE283" s="6"/>
      <c r="BF283" s="6"/>
      <c r="BL283" s="6"/>
      <c r="BM283" s="73"/>
      <c r="BN283" s="74"/>
      <c r="BO283" s="74"/>
      <c r="BP283" s="74"/>
      <c r="BQ283" s="74"/>
      <c r="BR283" s="74"/>
      <c r="BS283" s="74"/>
      <c r="BT283" s="74"/>
      <c r="BU283" s="74"/>
      <c r="BV283" s="74"/>
      <c r="BW283" s="74"/>
      <c r="BX283" s="74"/>
      <c r="BY283" s="74"/>
      <c r="BZ283" s="74"/>
    </row>
    <row r="284">
      <c r="A284" s="77" t="str">
        <f t="shared" si="15"/>
        <v/>
      </c>
      <c r="I284" s="2"/>
      <c r="L284" s="2"/>
      <c r="M284" s="6"/>
      <c r="AA284" s="6"/>
      <c r="AB284" s="6"/>
      <c r="AN284" s="6"/>
      <c r="AO284" s="6"/>
      <c r="AP284" s="6"/>
      <c r="AQ284" s="6"/>
      <c r="AR284" s="6"/>
      <c r="AS284" s="6"/>
      <c r="BC284" s="6"/>
      <c r="BD284" s="6"/>
      <c r="BE284" s="6"/>
      <c r="BF284" s="6"/>
      <c r="BL284" s="6"/>
      <c r="BM284" s="73"/>
      <c r="BN284" s="74"/>
      <c r="BO284" s="74"/>
      <c r="BP284" s="74"/>
      <c r="BQ284" s="74"/>
      <c r="BR284" s="74"/>
      <c r="BS284" s="74"/>
      <c r="BT284" s="74"/>
      <c r="BU284" s="74"/>
      <c r="BV284" s="74"/>
      <c r="BW284" s="74"/>
      <c r="BX284" s="74"/>
      <c r="BY284" s="74"/>
      <c r="BZ284" s="74"/>
    </row>
    <row r="285">
      <c r="A285" s="77" t="str">
        <f t="shared" si="15"/>
        <v/>
      </c>
      <c r="I285" s="2"/>
      <c r="L285" s="2"/>
      <c r="M285" s="6"/>
      <c r="AB285" s="6"/>
      <c r="AO285" s="6"/>
      <c r="AP285" s="6"/>
      <c r="AQ285" s="6"/>
      <c r="AR285" s="6"/>
      <c r="AS285" s="6"/>
      <c r="BC285" s="6"/>
      <c r="BD285" s="6"/>
      <c r="BE285" s="6"/>
      <c r="BF285" s="6"/>
      <c r="BL285" s="6"/>
      <c r="BM285" s="73"/>
      <c r="BN285" s="74"/>
      <c r="BO285" s="74"/>
      <c r="BP285" s="74"/>
      <c r="BQ285" s="74"/>
      <c r="BR285" s="74"/>
      <c r="BS285" s="74"/>
      <c r="BT285" s="74"/>
      <c r="BU285" s="74"/>
      <c r="BV285" s="74"/>
      <c r="BW285" s="74"/>
      <c r="BX285" s="74"/>
      <c r="BY285" s="74"/>
      <c r="BZ285" s="74"/>
    </row>
    <row r="286">
      <c r="A286" s="77" t="str">
        <f t="shared" si="15"/>
        <v/>
      </c>
      <c r="I286" s="2"/>
      <c r="L286" s="2"/>
      <c r="AO286" s="6"/>
      <c r="AQ286" s="6"/>
      <c r="AR286" s="6"/>
      <c r="AS286" s="6"/>
      <c r="BC286" s="6"/>
      <c r="BD286" s="6"/>
      <c r="BE286" s="6"/>
      <c r="BF286" s="6"/>
      <c r="BL286" s="6"/>
      <c r="BM286" s="73"/>
      <c r="BN286" s="74"/>
      <c r="BO286" s="74"/>
      <c r="BP286" s="74"/>
      <c r="BQ286" s="74"/>
      <c r="BR286" s="74"/>
      <c r="BS286" s="74"/>
      <c r="BT286" s="74"/>
      <c r="BU286" s="74"/>
      <c r="BV286" s="74"/>
      <c r="BW286" s="74"/>
      <c r="BX286" s="74"/>
      <c r="BY286" s="74"/>
      <c r="BZ286" s="74"/>
    </row>
    <row r="287">
      <c r="A287" s="77" t="str">
        <f t="shared" si="15"/>
        <v/>
      </c>
      <c r="I287" s="2"/>
      <c r="L287" s="2"/>
      <c r="AN287" s="6"/>
      <c r="AO287" s="6"/>
      <c r="AP287" s="6"/>
      <c r="AQ287" s="6"/>
      <c r="AR287" s="6"/>
      <c r="AS287" s="6"/>
      <c r="BC287" s="6"/>
      <c r="BD287" s="6"/>
      <c r="BE287" s="6"/>
      <c r="BF287" s="6"/>
      <c r="BL287" s="6"/>
      <c r="BM287" s="73"/>
      <c r="BN287" s="74"/>
      <c r="BO287" s="74"/>
      <c r="BP287" s="74"/>
      <c r="BQ287" s="74"/>
      <c r="BR287" s="74"/>
      <c r="BS287" s="74"/>
      <c r="BT287" s="74"/>
      <c r="BU287" s="74"/>
      <c r="BV287" s="74"/>
      <c r="BW287" s="74"/>
      <c r="BX287" s="74"/>
      <c r="BY287" s="74"/>
      <c r="BZ287" s="74"/>
    </row>
    <row r="288">
      <c r="A288" s="77" t="str">
        <f t="shared" si="15"/>
        <v/>
      </c>
      <c r="I288" s="2"/>
      <c r="L288" s="2"/>
      <c r="AO288" s="6"/>
      <c r="AQ288" s="6"/>
      <c r="AR288" s="6"/>
      <c r="AS288" s="6"/>
      <c r="BC288" s="6"/>
      <c r="BD288" s="6"/>
      <c r="BE288" s="6"/>
      <c r="BF288" s="6"/>
      <c r="BL288" s="6"/>
      <c r="BM288" s="73"/>
      <c r="BN288" s="74"/>
      <c r="BO288" s="74"/>
      <c r="BP288" s="74"/>
      <c r="BQ288" s="74"/>
      <c r="BR288" s="74"/>
      <c r="BS288" s="74"/>
      <c r="BT288" s="74"/>
      <c r="BU288" s="74"/>
      <c r="BV288" s="74"/>
      <c r="BW288" s="74"/>
      <c r="BX288" s="74"/>
      <c r="BY288" s="74"/>
      <c r="BZ288" s="74"/>
    </row>
    <row r="289">
      <c r="A289" s="77" t="str">
        <f t="shared" si="15"/>
        <v/>
      </c>
      <c r="I289" s="2"/>
      <c r="L289" s="2"/>
      <c r="M289" s="6"/>
      <c r="AA289" s="6"/>
      <c r="AB289" s="6"/>
      <c r="AL289" s="6"/>
      <c r="AM289" s="6"/>
      <c r="AN289" s="6"/>
      <c r="AO289" s="6"/>
      <c r="AP289" s="6"/>
      <c r="AQ289" s="6"/>
      <c r="AR289" s="6"/>
      <c r="AS289" s="6"/>
      <c r="BC289" s="6"/>
      <c r="BD289" s="6"/>
      <c r="BE289" s="6"/>
      <c r="BF289" s="6"/>
      <c r="BL289" s="6"/>
      <c r="BM289" s="73"/>
      <c r="BN289" s="74"/>
      <c r="BO289" s="74"/>
      <c r="BP289" s="74"/>
      <c r="BQ289" s="74"/>
      <c r="BR289" s="74"/>
      <c r="BS289" s="74"/>
      <c r="BT289" s="74"/>
      <c r="BU289" s="74"/>
      <c r="BV289" s="74"/>
      <c r="BW289" s="74"/>
      <c r="BX289" s="74"/>
      <c r="BY289" s="74"/>
      <c r="BZ289" s="74"/>
    </row>
    <row r="290">
      <c r="A290" s="77" t="str">
        <f t="shared" si="15"/>
        <v/>
      </c>
      <c r="I290" s="2"/>
      <c r="L290" s="2"/>
      <c r="AO290" s="6"/>
      <c r="AQ290" s="6"/>
      <c r="AR290" s="6"/>
      <c r="AS290" s="6"/>
      <c r="BC290" s="6"/>
      <c r="BD290" s="6"/>
      <c r="BE290" s="6"/>
      <c r="BF290" s="6"/>
      <c r="BL290" s="6"/>
      <c r="BM290" s="73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</row>
    <row r="291">
      <c r="A291" s="77" t="str">
        <f t="shared" si="15"/>
        <v/>
      </c>
      <c r="I291" s="2"/>
      <c r="L291" s="2"/>
      <c r="M291" s="6"/>
      <c r="AB291" s="6"/>
      <c r="AO291" s="6"/>
      <c r="AP291" s="6"/>
      <c r="AQ291" s="6"/>
      <c r="AR291" s="6"/>
      <c r="AS291" s="6"/>
      <c r="BC291" s="6"/>
      <c r="BD291" s="6"/>
      <c r="BE291" s="6"/>
      <c r="BF291" s="6"/>
      <c r="BL291" s="6"/>
      <c r="BM291" s="73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</row>
    <row r="292">
      <c r="A292" s="77" t="str">
        <f t="shared" si="15"/>
        <v/>
      </c>
      <c r="I292" s="2"/>
      <c r="L292" s="2"/>
      <c r="AO292" s="6"/>
      <c r="AQ292" s="6"/>
      <c r="AR292" s="6"/>
      <c r="AS292" s="6"/>
      <c r="BC292" s="6"/>
      <c r="BD292" s="6"/>
      <c r="BE292" s="6"/>
      <c r="BF292" s="6"/>
      <c r="BL292" s="6"/>
      <c r="BM292" s="73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</row>
    <row r="293">
      <c r="A293" s="77" t="str">
        <f t="shared" si="15"/>
        <v/>
      </c>
      <c r="I293" s="2"/>
      <c r="L293" s="2"/>
      <c r="M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BC293" s="6"/>
      <c r="BD293" s="6"/>
      <c r="BE293" s="6"/>
      <c r="BF293" s="6"/>
      <c r="BL293" s="6"/>
      <c r="BM293" s="73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</row>
    <row r="294">
      <c r="A294" s="77" t="str">
        <f t="shared" si="15"/>
        <v/>
      </c>
      <c r="I294" s="2"/>
      <c r="L294" s="2"/>
      <c r="M294" s="6"/>
      <c r="AB294" s="6"/>
      <c r="AO294" s="6"/>
      <c r="AP294" s="6"/>
      <c r="AQ294" s="6"/>
      <c r="AR294" s="6"/>
      <c r="AS294" s="6"/>
      <c r="BC294" s="6"/>
      <c r="BD294" s="6"/>
      <c r="BE294" s="6"/>
      <c r="BF294" s="6"/>
      <c r="BL294" s="6"/>
      <c r="BM294" s="73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</row>
    <row r="295">
      <c r="A295" s="77" t="str">
        <f t="shared" si="15"/>
        <v/>
      </c>
      <c r="I295" s="2"/>
      <c r="L295" s="2"/>
      <c r="AK295" s="6"/>
      <c r="AL295" s="6"/>
      <c r="AM295" s="6"/>
      <c r="AN295" s="6"/>
      <c r="AO295" s="6"/>
      <c r="AP295" s="6"/>
      <c r="AQ295" s="6"/>
      <c r="AR295" s="6"/>
      <c r="AS295" s="6"/>
      <c r="BC295" s="6"/>
      <c r="BD295" s="6"/>
      <c r="BE295" s="6"/>
      <c r="BF295" s="6"/>
      <c r="BL295" s="6"/>
      <c r="BM295" s="73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</row>
    <row r="296">
      <c r="A296" s="77" t="str">
        <f t="shared" si="15"/>
        <v/>
      </c>
      <c r="I296" s="2"/>
      <c r="L296" s="2"/>
      <c r="M296" s="6"/>
      <c r="AB296" s="6"/>
      <c r="AO296" s="6"/>
      <c r="AP296" s="6"/>
      <c r="AQ296" s="6"/>
      <c r="AR296" s="6"/>
      <c r="AS296" s="6"/>
      <c r="BC296" s="6"/>
      <c r="BD296" s="6"/>
      <c r="BE296" s="6"/>
      <c r="BF296" s="6"/>
      <c r="BL296" s="6"/>
      <c r="BM296" s="73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</row>
    <row r="297">
      <c r="A297" s="77" t="str">
        <f t="shared" si="15"/>
        <v/>
      </c>
      <c r="I297" s="2"/>
      <c r="L297" s="2"/>
      <c r="AN297" s="6"/>
      <c r="AO297" s="6"/>
      <c r="AQ297" s="6"/>
      <c r="AR297" s="6"/>
      <c r="AS297" s="6"/>
      <c r="BC297" s="6"/>
      <c r="BD297" s="6"/>
      <c r="BE297" s="6"/>
      <c r="BF297" s="6"/>
      <c r="BL297" s="6"/>
      <c r="BM297" s="73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</row>
    <row r="298">
      <c r="A298" s="77" t="str">
        <f t="shared" si="15"/>
        <v/>
      </c>
      <c r="I298" s="2"/>
      <c r="L298" s="2"/>
      <c r="M298" s="6"/>
      <c r="AB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BC298" s="6"/>
      <c r="BD298" s="6"/>
      <c r="BE298" s="6"/>
      <c r="BF298" s="6"/>
      <c r="BL298" s="6"/>
      <c r="BM298" s="73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</row>
    <row r="299">
      <c r="A299" s="77" t="str">
        <f t="shared" si="15"/>
        <v/>
      </c>
      <c r="I299" s="2"/>
      <c r="L299" s="2"/>
      <c r="AM299" s="6"/>
      <c r="AN299" s="6"/>
      <c r="AO299" s="6"/>
      <c r="AP299" s="6"/>
      <c r="AQ299" s="6"/>
      <c r="AR299" s="6"/>
      <c r="AS299" s="6"/>
      <c r="BC299" s="6"/>
      <c r="BD299" s="6"/>
      <c r="BE299" s="6"/>
      <c r="BF299" s="6"/>
      <c r="BL299" s="6"/>
      <c r="BM299" s="73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</row>
    <row r="300">
      <c r="A300" s="77" t="str">
        <f t="shared" si="15"/>
        <v/>
      </c>
      <c r="I300" s="2"/>
      <c r="L300" s="2"/>
      <c r="AO300" s="6"/>
      <c r="AQ300" s="6"/>
      <c r="AR300" s="6"/>
      <c r="AS300" s="6"/>
      <c r="BC300" s="6"/>
      <c r="BD300" s="6"/>
      <c r="BE300" s="6"/>
      <c r="BF300" s="6"/>
      <c r="BL300" s="6"/>
      <c r="BM300" s="73"/>
      <c r="BN300" s="74"/>
      <c r="BO300" s="74"/>
      <c r="BP300" s="74"/>
      <c r="BQ300" s="74"/>
      <c r="BR300" s="74"/>
      <c r="BS300" s="74"/>
      <c r="BT300" s="74"/>
      <c r="BU300" s="74"/>
      <c r="BV300" s="74"/>
      <c r="BW300" s="74"/>
      <c r="BX300" s="74"/>
      <c r="BY300" s="74"/>
      <c r="BZ300" s="74"/>
    </row>
    <row r="301">
      <c r="A301" s="77" t="str">
        <f t="shared" si="15"/>
        <v/>
      </c>
      <c r="I301" s="2"/>
      <c r="L301" s="2"/>
      <c r="M301" s="6"/>
      <c r="AB301" s="6"/>
      <c r="AO301" s="6"/>
      <c r="AP301" s="6"/>
      <c r="AQ301" s="6"/>
      <c r="AR301" s="6"/>
      <c r="AS301" s="6"/>
      <c r="BC301" s="6"/>
      <c r="BD301" s="6"/>
      <c r="BE301" s="6"/>
      <c r="BF301" s="6"/>
      <c r="BL301" s="6"/>
      <c r="BM301" s="73"/>
      <c r="BN301" s="74"/>
      <c r="BO301" s="74"/>
      <c r="BP301" s="74"/>
      <c r="BQ301" s="74"/>
      <c r="BR301" s="74"/>
      <c r="BS301" s="74"/>
      <c r="BT301" s="74"/>
      <c r="BU301" s="74"/>
      <c r="BV301" s="74"/>
      <c r="BW301" s="74"/>
      <c r="BX301" s="74"/>
      <c r="BY301" s="74"/>
      <c r="BZ301" s="74"/>
    </row>
    <row r="302">
      <c r="A302" s="77" t="str">
        <f t="shared" si="15"/>
        <v/>
      </c>
      <c r="I302" s="2"/>
      <c r="L302" s="2"/>
      <c r="AO302" s="6"/>
      <c r="AQ302" s="6"/>
      <c r="AR302" s="6"/>
      <c r="AS302" s="6"/>
      <c r="BC302" s="6"/>
      <c r="BD302" s="6"/>
      <c r="BE302" s="6"/>
      <c r="BF302" s="6"/>
      <c r="BL302" s="6"/>
      <c r="BM302" s="73"/>
      <c r="BN302" s="74"/>
      <c r="BO302" s="74"/>
      <c r="BP302" s="74"/>
      <c r="BQ302" s="74"/>
      <c r="BR302" s="74"/>
      <c r="BS302" s="74"/>
      <c r="BT302" s="74"/>
      <c r="BU302" s="74"/>
      <c r="BV302" s="74"/>
      <c r="BW302" s="74"/>
      <c r="BX302" s="74"/>
      <c r="BY302" s="74"/>
      <c r="BZ302" s="74"/>
    </row>
    <row r="303">
      <c r="A303" s="77" t="str">
        <f t="shared" si="15"/>
        <v/>
      </c>
      <c r="I303" s="2"/>
      <c r="L303" s="2"/>
      <c r="M303" s="6"/>
      <c r="AB303" s="6"/>
      <c r="AO303" s="6"/>
      <c r="AP303" s="6"/>
      <c r="AQ303" s="6"/>
      <c r="AR303" s="6"/>
      <c r="AS303" s="6"/>
      <c r="BC303" s="6"/>
      <c r="BD303" s="6"/>
      <c r="BE303" s="6"/>
      <c r="BF303" s="6"/>
      <c r="BL303" s="6"/>
      <c r="BM303" s="73"/>
      <c r="BN303" s="74"/>
      <c r="BO303" s="74"/>
      <c r="BP303" s="74"/>
      <c r="BQ303" s="74"/>
      <c r="BR303" s="74"/>
      <c r="BS303" s="74"/>
      <c r="BT303" s="74"/>
      <c r="BU303" s="74"/>
      <c r="BV303" s="74"/>
      <c r="BW303" s="74"/>
      <c r="BX303" s="74"/>
      <c r="BY303" s="74"/>
      <c r="BZ303" s="74"/>
    </row>
    <row r="304">
      <c r="A304" s="77" t="str">
        <f t="shared" si="15"/>
        <v/>
      </c>
      <c r="I304" s="2"/>
      <c r="L304" s="2"/>
      <c r="AO304" s="6"/>
      <c r="AP304" s="6"/>
      <c r="AQ304" s="6"/>
      <c r="AR304" s="6"/>
      <c r="AS304" s="6"/>
      <c r="BC304" s="6"/>
      <c r="BD304" s="6"/>
      <c r="BE304" s="6"/>
      <c r="BF304" s="6"/>
      <c r="BL304" s="6"/>
      <c r="BM304" s="73"/>
      <c r="BN304" s="74"/>
      <c r="BO304" s="74"/>
      <c r="BP304" s="74"/>
      <c r="BQ304" s="74"/>
      <c r="BR304" s="74"/>
      <c r="BS304" s="74"/>
      <c r="BT304" s="74"/>
      <c r="BU304" s="74"/>
      <c r="BV304" s="74"/>
      <c r="BW304" s="74"/>
      <c r="BX304" s="74"/>
      <c r="BY304" s="74"/>
      <c r="BZ304" s="74"/>
    </row>
    <row r="305">
      <c r="A305" s="77" t="str">
        <f t="shared" si="15"/>
        <v/>
      </c>
      <c r="I305" s="2"/>
      <c r="L305" s="2"/>
      <c r="M305" s="6"/>
      <c r="AB305" s="6"/>
      <c r="AO305" s="6"/>
      <c r="AP305" s="6"/>
      <c r="AQ305" s="6"/>
      <c r="AR305" s="6"/>
      <c r="AS305" s="6"/>
      <c r="BC305" s="6"/>
      <c r="BD305" s="6"/>
      <c r="BE305" s="6"/>
      <c r="BF305" s="6"/>
      <c r="BL305" s="6"/>
      <c r="BM305" s="73"/>
      <c r="BN305" s="74"/>
      <c r="BO305" s="74"/>
      <c r="BP305" s="74"/>
      <c r="BQ305" s="74"/>
      <c r="BR305" s="74"/>
      <c r="BS305" s="74"/>
      <c r="BT305" s="74"/>
      <c r="BU305" s="74"/>
      <c r="BV305" s="74"/>
      <c r="BW305" s="74"/>
      <c r="BX305" s="74"/>
      <c r="BY305" s="74"/>
      <c r="BZ305" s="74"/>
    </row>
    <row r="306">
      <c r="A306" s="77" t="str">
        <f t="shared" si="15"/>
        <v/>
      </c>
      <c r="I306" s="2"/>
      <c r="L306" s="2"/>
      <c r="AO306" s="6"/>
      <c r="AQ306" s="6"/>
      <c r="AR306" s="6"/>
      <c r="AS306" s="6"/>
      <c r="BC306" s="6"/>
      <c r="BD306" s="6"/>
      <c r="BE306" s="6"/>
      <c r="BF306" s="6"/>
      <c r="BL306" s="6"/>
      <c r="BM306" s="73"/>
      <c r="BN306" s="74"/>
      <c r="BO306" s="74"/>
      <c r="BP306" s="74"/>
      <c r="BQ306" s="74"/>
      <c r="BR306" s="74"/>
      <c r="BS306" s="74"/>
      <c r="BT306" s="74"/>
      <c r="BU306" s="74"/>
      <c r="BV306" s="74"/>
      <c r="BW306" s="74"/>
      <c r="BX306" s="74"/>
      <c r="BY306" s="74"/>
      <c r="BZ306" s="74"/>
    </row>
    <row r="307">
      <c r="A307" s="77" t="str">
        <f t="shared" si="15"/>
        <v/>
      </c>
      <c r="I307" s="2"/>
      <c r="L307" s="2"/>
      <c r="AO307" s="6"/>
      <c r="AQ307" s="6"/>
      <c r="AR307" s="6"/>
      <c r="AS307" s="6"/>
      <c r="BC307" s="6"/>
      <c r="BD307" s="6"/>
      <c r="BE307" s="6"/>
      <c r="BF307" s="6"/>
      <c r="BL307" s="6"/>
      <c r="BM307" s="73"/>
      <c r="BN307" s="74"/>
      <c r="BO307" s="74"/>
      <c r="BP307" s="74"/>
      <c r="BQ307" s="74"/>
      <c r="BR307" s="74"/>
      <c r="BS307" s="74"/>
      <c r="BT307" s="74"/>
      <c r="BU307" s="74"/>
      <c r="BV307" s="74"/>
      <c r="BW307" s="74"/>
      <c r="BX307" s="74"/>
      <c r="BY307" s="74"/>
      <c r="BZ307" s="74"/>
    </row>
    <row r="308">
      <c r="A308" s="77" t="str">
        <f t="shared" si="15"/>
        <v/>
      </c>
      <c r="I308" s="2"/>
      <c r="L308" s="2"/>
      <c r="AO308" s="6"/>
      <c r="AQ308" s="6"/>
      <c r="AR308" s="6"/>
      <c r="AS308" s="6"/>
      <c r="BC308" s="6"/>
      <c r="BD308" s="6"/>
      <c r="BE308" s="6"/>
      <c r="BF308" s="6"/>
      <c r="BL308" s="6"/>
      <c r="BM308" s="73"/>
      <c r="BN308" s="74"/>
      <c r="BO308" s="74"/>
      <c r="BP308" s="74"/>
      <c r="BQ308" s="74"/>
      <c r="BR308" s="74"/>
      <c r="BS308" s="74"/>
      <c r="BT308" s="74"/>
      <c r="BU308" s="74"/>
      <c r="BV308" s="74"/>
      <c r="BW308" s="74"/>
      <c r="BX308" s="74"/>
      <c r="BY308" s="74"/>
      <c r="BZ308" s="74"/>
    </row>
    <row r="309">
      <c r="A309" s="77" t="str">
        <f t="shared" si="15"/>
        <v/>
      </c>
      <c r="I309" s="2"/>
      <c r="L309" s="2"/>
      <c r="AO309" s="6"/>
      <c r="AQ309" s="6"/>
      <c r="AR309" s="6"/>
      <c r="AS309" s="6"/>
      <c r="BC309" s="6"/>
      <c r="BD309" s="6"/>
      <c r="BE309" s="6"/>
      <c r="BF309" s="6"/>
      <c r="BL309" s="6"/>
      <c r="BM309" s="73"/>
      <c r="BN309" s="74"/>
      <c r="BO309" s="74"/>
      <c r="BP309" s="74"/>
      <c r="BQ309" s="74"/>
      <c r="BR309" s="74"/>
      <c r="BS309" s="74"/>
      <c r="BT309" s="74"/>
      <c r="BU309" s="74"/>
      <c r="BV309" s="74"/>
      <c r="BW309" s="74"/>
      <c r="BX309" s="74"/>
      <c r="BY309" s="74"/>
      <c r="BZ309" s="74"/>
    </row>
    <row r="310">
      <c r="A310" s="77" t="str">
        <f t="shared" si="15"/>
        <v/>
      </c>
      <c r="I310" s="2"/>
      <c r="L310" s="2"/>
      <c r="AO310" s="6"/>
      <c r="AQ310" s="6"/>
      <c r="AR310" s="6"/>
      <c r="AS310" s="6"/>
      <c r="BC310" s="6"/>
      <c r="BD310" s="6"/>
      <c r="BE310" s="6"/>
      <c r="BF310" s="6"/>
      <c r="BL310" s="6"/>
      <c r="BM310" s="73"/>
      <c r="BN310" s="74"/>
      <c r="BO310" s="74"/>
      <c r="BP310" s="74"/>
      <c r="BQ310" s="74"/>
      <c r="BR310" s="74"/>
      <c r="BS310" s="74"/>
      <c r="BT310" s="74"/>
      <c r="BU310" s="74"/>
      <c r="BV310" s="74"/>
      <c r="BW310" s="74"/>
      <c r="BX310" s="74"/>
      <c r="BY310" s="74"/>
      <c r="BZ310" s="74"/>
    </row>
    <row r="311">
      <c r="A311" s="77" t="str">
        <f t="shared" si="15"/>
        <v/>
      </c>
      <c r="I311" s="2"/>
      <c r="L311" s="2"/>
      <c r="AN311" s="6"/>
      <c r="AO311" s="6"/>
      <c r="AP311" s="6"/>
      <c r="AQ311" s="6"/>
      <c r="AR311" s="6"/>
      <c r="AS311" s="6"/>
      <c r="BC311" s="6"/>
      <c r="BD311" s="6"/>
      <c r="BE311" s="6"/>
      <c r="BF311" s="6"/>
      <c r="BL311" s="6"/>
      <c r="BM311" s="73"/>
      <c r="BN311" s="74"/>
      <c r="BO311" s="74"/>
      <c r="BP311" s="74"/>
      <c r="BQ311" s="74"/>
      <c r="BR311" s="74"/>
      <c r="BS311" s="74"/>
      <c r="BT311" s="74"/>
      <c r="BU311" s="74"/>
      <c r="BV311" s="74"/>
      <c r="BW311" s="74"/>
      <c r="BX311" s="74"/>
      <c r="BY311" s="74"/>
      <c r="BZ311" s="74"/>
    </row>
    <row r="312">
      <c r="A312" s="77" t="str">
        <f t="shared" si="15"/>
        <v/>
      </c>
      <c r="I312" s="2"/>
      <c r="L312" s="2"/>
      <c r="AO312" s="6"/>
      <c r="AQ312" s="6"/>
      <c r="AR312" s="6"/>
      <c r="AS312" s="6"/>
      <c r="BC312" s="6"/>
      <c r="BD312" s="6"/>
      <c r="BE312" s="6"/>
      <c r="BF312" s="6"/>
      <c r="BL312" s="6"/>
      <c r="BM312" s="73"/>
      <c r="BN312" s="74"/>
      <c r="BO312" s="74"/>
      <c r="BP312" s="74"/>
      <c r="BQ312" s="74"/>
      <c r="BR312" s="74"/>
      <c r="BS312" s="74"/>
      <c r="BT312" s="74"/>
      <c r="BU312" s="74"/>
      <c r="BV312" s="74"/>
      <c r="BW312" s="74"/>
      <c r="BX312" s="74"/>
      <c r="BY312" s="74"/>
      <c r="BZ312" s="74"/>
    </row>
    <row r="313">
      <c r="A313" s="77" t="str">
        <f t="shared" si="15"/>
        <v/>
      </c>
      <c r="I313" s="2"/>
      <c r="L313" s="2"/>
      <c r="M313" s="6"/>
      <c r="AB313" s="6"/>
      <c r="AK313" s="6"/>
      <c r="AL313" s="6"/>
      <c r="AM313" s="6"/>
      <c r="AN313" s="6"/>
      <c r="AO313" s="6"/>
      <c r="AP313" s="6"/>
      <c r="AQ313" s="6"/>
      <c r="AR313" s="6"/>
      <c r="AS313" s="6"/>
      <c r="BC313" s="6"/>
      <c r="BD313" s="6"/>
      <c r="BE313" s="6"/>
      <c r="BF313" s="6"/>
      <c r="BL313" s="6"/>
      <c r="BM313" s="73"/>
      <c r="BN313" s="74"/>
      <c r="BO313" s="74"/>
      <c r="BP313" s="74"/>
      <c r="BQ313" s="74"/>
      <c r="BR313" s="74"/>
      <c r="BS313" s="74"/>
      <c r="BT313" s="74"/>
      <c r="BU313" s="74"/>
      <c r="BV313" s="74"/>
      <c r="BW313" s="74"/>
      <c r="BX313" s="74"/>
      <c r="BY313" s="74"/>
      <c r="BZ313" s="74"/>
    </row>
    <row r="314">
      <c r="A314" s="77" t="str">
        <f t="shared" si="15"/>
        <v/>
      </c>
      <c r="I314" s="2"/>
      <c r="L314" s="2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BC314" s="6"/>
      <c r="BD314" s="6"/>
      <c r="BE314" s="6"/>
      <c r="BF314" s="6"/>
      <c r="BL314" s="6"/>
      <c r="BM314" s="73"/>
      <c r="BN314" s="74"/>
      <c r="BO314" s="74"/>
      <c r="BP314" s="74"/>
      <c r="BQ314" s="74"/>
      <c r="BR314" s="74"/>
      <c r="BS314" s="74"/>
      <c r="BT314" s="74"/>
      <c r="BU314" s="74"/>
      <c r="BV314" s="74"/>
      <c r="BW314" s="74"/>
      <c r="BX314" s="74"/>
      <c r="BY314" s="74"/>
      <c r="BZ314" s="74"/>
    </row>
    <row r="315">
      <c r="A315" s="77" t="str">
        <f t="shared" si="15"/>
        <v/>
      </c>
      <c r="I315" s="2"/>
      <c r="L315" s="2"/>
      <c r="AO315" s="6"/>
      <c r="AQ315" s="6"/>
      <c r="AR315" s="6"/>
      <c r="AS315" s="6"/>
      <c r="BC315" s="6"/>
      <c r="BD315" s="6"/>
      <c r="BE315" s="6"/>
      <c r="BF315" s="6"/>
      <c r="BL315" s="6"/>
      <c r="BM315" s="73"/>
      <c r="BN315" s="74"/>
      <c r="BO315" s="74"/>
      <c r="BP315" s="74"/>
      <c r="BQ315" s="74"/>
      <c r="BR315" s="74"/>
      <c r="BS315" s="74"/>
      <c r="BT315" s="74"/>
      <c r="BU315" s="74"/>
      <c r="BV315" s="74"/>
      <c r="BW315" s="74"/>
      <c r="BX315" s="74"/>
      <c r="BY315" s="74"/>
      <c r="BZ315" s="74"/>
    </row>
    <row r="316">
      <c r="A316" s="77" t="str">
        <f t="shared" si="15"/>
        <v/>
      </c>
      <c r="I316" s="2"/>
      <c r="L316" s="2"/>
      <c r="AM316" s="6"/>
      <c r="AN316" s="6"/>
      <c r="AO316" s="6"/>
      <c r="AQ316" s="6"/>
      <c r="AR316" s="6"/>
      <c r="AS316" s="6"/>
      <c r="BC316" s="6"/>
      <c r="BD316" s="6"/>
      <c r="BE316" s="6"/>
      <c r="BF316" s="6"/>
      <c r="BL316" s="6"/>
      <c r="BM316" s="73"/>
      <c r="BN316" s="74"/>
      <c r="BO316" s="74"/>
      <c r="BP316" s="74"/>
      <c r="BQ316" s="74"/>
      <c r="BR316" s="74"/>
      <c r="BS316" s="74"/>
      <c r="BT316" s="74"/>
      <c r="BU316" s="74"/>
      <c r="BV316" s="74"/>
      <c r="BW316" s="74"/>
      <c r="BX316" s="74"/>
      <c r="BY316" s="74"/>
      <c r="BZ316" s="74"/>
    </row>
    <row r="317">
      <c r="A317" s="77" t="str">
        <f t="shared" si="15"/>
        <v/>
      </c>
      <c r="I317" s="2"/>
      <c r="L317" s="2"/>
      <c r="AO317" s="6"/>
      <c r="AQ317" s="6"/>
      <c r="AR317" s="6"/>
      <c r="AS317" s="6"/>
      <c r="BC317" s="6"/>
      <c r="BD317" s="6"/>
      <c r="BE317" s="6"/>
      <c r="BF317" s="6"/>
      <c r="BL317" s="6"/>
      <c r="BM317" s="73"/>
      <c r="BN317" s="74"/>
      <c r="BO317" s="74"/>
      <c r="BP317" s="74"/>
      <c r="BQ317" s="74"/>
      <c r="BR317" s="74"/>
      <c r="BS317" s="74"/>
      <c r="BT317" s="74"/>
      <c r="BU317" s="74"/>
      <c r="BV317" s="74"/>
      <c r="BW317" s="74"/>
      <c r="BX317" s="74"/>
      <c r="BY317" s="74"/>
      <c r="BZ317" s="74"/>
    </row>
    <row r="318">
      <c r="A318" s="77" t="str">
        <f t="shared" si="15"/>
        <v/>
      </c>
      <c r="I318" s="2"/>
      <c r="L318" s="2"/>
      <c r="AO318" s="6"/>
      <c r="AQ318" s="6"/>
      <c r="AR318" s="6"/>
      <c r="AS318" s="6"/>
      <c r="BC318" s="6"/>
      <c r="BD318" s="6"/>
      <c r="BE318" s="6"/>
      <c r="BF318" s="6"/>
      <c r="BL318" s="6"/>
      <c r="BM318" s="73"/>
      <c r="BN318" s="74"/>
      <c r="BO318" s="74"/>
      <c r="BP318" s="74"/>
      <c r="BQ318" s="74"/>
      <c r="BR318" s="74"/>
      <c r="BS318" s="74"/>
      <c r="BT318" s="74"/>
      <c r="BU318" s="74"/>
      <c r="BV318" s="74"/>
      <c r="BW318" s="74"/>
      <c r="BX318" s="74"/>
      <c r="BY318" s="74"/>
      <c r="BZ318" s="74"/>
    </row>
    <row r="319">
      <c r="A319" s="77" t="str">
        <f t="shared" si="15"/>
        <v/>
      </c>
      <c r="I319" s="2"/>
      <c r="L319" s="2"/>
      <c r="AO319" s="6"/>
      <c r="AQ319" s="6"/>
      <c r="AR319" s="6"/>
      <c r="AS319" s="6"/>
      <c r="BC319" s="6"/>
      <c r="BD319" s="6"/>
      <c r="BE319" s="6"/>
      <c r="BF319" s="6"/>
      <c r="BL319" s="6"/>
      <c r="BM319" s="73"/>
      <c r="BN319" s="74"/>
      <c r="BO319" s="74"/>
      <c r="BP319" s="74"/>
      <c r="BQ319" s="74"/>
      <c r="BR319" s="74"/>
      <c r="BS319" s="74"/>
      <c r="BT319" s="74"/>
      <c r="BU319" s="74"/>
      <c r="BV319" s="74"/>
      <c r="BW319" s="74"/>
      <c r="BX319" s="74"/>
      <c r="BY319" s="74"/>
      <c r="BZ319" s="74"/>
    </row>
    <row r="320">
      <c r="A320" s="77" t="str">
        <f t="shared" si="15"/>
        <v/>
      </c>
      <c r="I320" s="2"/>
      <c r="L320" s="2"/>
      <c r="AN320" s="6"/>
      <c r="AO320" s="6"/>
      <c r="AQ320" s="6"/>
      <c r="AR320" s="6"/>
      <c r="AS320" s="6"/>
      <c r="BC320" s="6"/>
      <c r="BD320" s="6"/>
      <c r="BE320" s="6"/>
      <c r="BF320" s="6"/>
      <c r="BL320" s="6"/>
      <c r="BM320" s="73"/>
      <c r="BN320" s="74"/>
      <c r="BO320" s="74"/>
      <c r="BP320" s="74"/>
      <c r="BQ320" s="74"/>
      <c r="BR320" s="74"/>
      <c r="BS320" s="74"/>
      <c r="BT320" s="74"/>
      <c r="BU320" s="74"/>
      <c r="BV320" s="74"/>
      <c r="BW320" s="74"/>
      <c r="BX320" s="74"/>
      <c r="BY320" s="74"/>
      <c r="BZ320" s="74"/>
    </row>
    <row r="321">
      <c r="A321" s="77" t="str">
        <f t="shared" si="15"/>
        <v/>
      </c>
      <c r="I321" s="2"/>
      <c r="L321" s="2"/>
      <c r="M321" s="6"/>
      <c r="T321" s="6"/>
      <c r="U321" s="6"/>
      <c r="V321" s="6"/>
      <c r="W321" s="6"/>
      <c r="X321" s="6"/>
      <c r="Y321" s="6"/>
      <c r="Z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BC321" s="6"/>
      <c r="BD321" s="6"/>
      <c r="BE321" s="6"/>
      <c r="BF321" s="6"/>
      <c r="BL321" s="6"/>
      <c r="BM321" s="73"/>
      <c r="BN321" s="74"/>
      <c r="BO321" s="74"/>
      <c r="BP321" s="74"/>
      <c r="BQ321" s="74"/>
      <c r="BR321" s="74"/>
      <c r="BS321" s="74"/>
      <c r="BT321" s="74"/>
      <c r="BU321" s="74"/>
      <c r="BV321" s="74"/>
      <c r="BW321" s="74"/>
      <c r="BX321" s="74"/>
      <c r="BY321" s="74"/>
      <c r="BZ321" s="74"/>
    </row>
    <row r="322">
      <c r="A322" s="77" t="str">
        <f t="shared" si="15"/>
        <v/>
      </c>
      <c r="I322" s="2"/>
      <c r="L322" s="2"/>
      <c r="AO322" s="6"/>
      <c r="AQ322" s="6"/>
      <c r="AR322" s="6"/>
      <c r="AS322" s="6"/>
      <c r="BC322" s="6"/>
      <c r="BD322" s="6"/>
      <c r="BE322" s="6"/>
      <c r="BF322" s="6"/>
      <c r="BL322" s="6"/>
      <c r="BM322" s="73"/>
      <c r="BN322" s="74"/>
      <c r="BO322" s="74"/>
      <c r="BP322" s="74"/>
      <c r="BQ322" s="74"/>
      <c r="BR322" s="74"/>
      <c r="BS322" s="74"/>
      <c r="BT322" s="74"/>
      <c r="BU322" s="74"/>
      <c r="BV322" s="74"/>
      <c r="BW322" s="74"/>
      <c r="BX322" s="74"/>
      <c r="BY322" s="74"/>
      <c r="BZ322" s="74"/>
    </row>
    <row r="323">
      <c r="A323" s="77" t="str">
        <f t="shared" si="15"/>
        <v/>
      </c>
      <c r="I323" s="2"/>
      <c r="L323" s="2"/>
      <c r="AO323" s="6"/>
      <c r="AQ323" s="6"/>
      <c r="AR323" s="6"/>
      <c r="AS323" s="6"/>
      <c r="BC323" s="6"/>
      <c r="BD323" s="6"/>
      <c r="BE323" s="6"/>
      <c r="BF323" s="6"/>
      <c r="BL323" s="6"/>
      <c r="BM323" s="73"/>
      <c r="BN323" s="74"/>
      <c r="BO323" s="74"/>
      <c r="BP323" s="74"/>
      <c r="BQ323" s="74"/>
      <c r="BR323" s="74"/>
      <c r="BS323" s="74"/>
      <c r="BT323" s="74"/>
      <c r="BU323" s="74"/>
      <c r="BV323" s="74"/>
      <c r="BW323" s="74"/>
      <c r="BX323" s="74"/>
      <c r="BY323" s="74"/>
      <c r="BZ323" s="74"/>
    </row>
    <row r="324">
      <c r="A324" s="77" t="str">
        <f t="shared" si="15"/>
        <v/>
      </c>
      <c r="I324" s="2"/>
      <c r="L324" s="2"/>
      <c r="AO324" s="6"/>
      <c r="AQ324" s="6"/>
      <c r="AR324" s="6"/>
      <c r="AS324" s="6"/>
      <c r="BC324" s="6"/>
      <c r="BD324" s="6"/>
      <c r="BE324" s="6"/>
      <c r="BF324" s="6"/>
      <c r="BL324" s="6"/>
      <c r="BM324" s="73"/>
      <c r="BN324" s="74"/>
      <c r="BO324" s="74"/>
      <c r="BP324" s="74"/>
      <c r="BQ324" s="74"/>
      <c r="BR324" s="74"/>
      <c r="BS324" s="74"/>
      <c r="BT324" s="74"/>
      <c r="BU324" s="74"/>
      <c r="BV324" s="74"/>
      <c r="BW324" s="74"/>
      <c r="BX324" s="74"/>
      <c r="BY324" s="74"/>
      <c r="BZ324" s="74"/>
    </row>
    <row r="325">
      <c r="A325" s="77" t="str">
        <f t="shared" si="15"/>
        <v/>
      </c>
      <c r="I325" s="2"/>
      <c r="L325" s="2"/>
      <c r="AM325" s="6"/>
      <c r="AN325" s="6"/>
      <c r="AO325" s="6"/>
      <c r="AQ325" s="6"/>
      <c r="AR325" s="6"/>
      <c r="AS325" s="6"/>
      <c r="BC325" s="6"/>
      <c r="BD325" s="6"/>
      <c r="BE325" s="6"/>
      <c r="BF325" s="6"/>
      <c r="BL325" s="6"/>
      <c r="BM325" s="73"/>
      <c r="BN325" s="74"/>
      <c r="BO325" s="74"/>
      <c r="BP325" s="74"/>
      <c r="BQ325" s="74"/>
      <c r="BR325" s="74"/>
      <c r="BS325" s="74"/>
      <c r="BT325" s="74"/>
      <c r="BU325" s="74"/>
      <c r="BV325" s="74"/>
      <c r="BW325" s="74"/>
      <c r="BX325" s="74"/>
      <c r="BY325" s="74"/>
      <c r="BZ325" s="74"/>
    </row>
    <row r="326">
      <c r="A326" s="77" t="str">
        <f t="shared" si="15"/>
        <v/>
      </c>
      <c r="I326" s="2"/>
      <c r="L326" s="2"/>
      <c r="AH326" s="6"/>
      <c r="AI326" s="6"/>
      <c r="AJ326" s="6"/>
      <c r="AK326" s="6"/>
      <c r="AL326" s="6"/>
      <c r="AM326" s="6"/>
      <c r="AN326" s="6"/>
      <c r="AO326" s="6"/>
      <c r="AQ326" s="6"/>
      <c r="AR326" s="6"/>
      <c r="AS326" s="6"/>
      <c r="BC326" s="6"/>
      <c r="BD326" s="6"/>
      <c r="BE326" s="6"/>
      <c r="BF326" s="6"/>
      <c r="BL326" s="6"/>
      <c r="BM326" s="73"/>
      <c r="BN326" s="74"/>
      <c r="BO326" s="74"/>
      <c r="BP326" s="74"/>
      <c r="BQ326" s="74"/>
      <c r="BR326" s="74"/>
      <c r="BS326" s="74"/>
      <c r="BT326" s="74"/>
      <c r="BU326" s="74"/>
      <c r="BV326" s="74"/>
      <c r="BW326" s="74"/>
      <c r="BX326" s="74"/>
      <c r="BY326" s="74"/>
      <c r="BZ326" s="74"/>
    </row>
    <row r="327">
      <c r="A327" s="77" t="str">
        <f t="shared" si="15"/>
        <v/>
      </c>
      <c r="I327" s="2"/>
      <c r="L327" s="2"/>
      <c r="AN327" s="6"/>
      <c r="AO327" s="6"/>
      <c r="AQ327" s="6"/>
      <c r="AR327" s="6"/>
      <c r="AS327" s="6"/>
      <c r="BC327" s="6"/>
      <c r="BD327" s="6"/>
      <c r="BE327" s="6"/>
      <c r="BF327" s="6"/>
      <c r="BL327" s="6"/>
      <c r="BM327" s="73"/>
      <c r="BN327" s="74"/>
      <c r="BO327" s="74"/>
      <c r="BP327" s="74"/>
      <c r="BQ327" s="74"/>
      <c r="BR327" s="74"/>
      <c r="BS327" s="74"/>
      <c r="BT327" s="74"/>
      <c r="BU327" s="74"/>
      <c r="BV327" s="74"/>
      <c r="BW327" s="74"/>
      <c r="BX327" s="74"/>
      <c r="BY327" s="74"/>
      <c r="BZ327" s="74"/>
    </row>
    <row r="328">
      <c r="A328" s="77" t="str">
        <f t="shared" si="15"/>
        <v/>
      </c>
      <c r="I328" s="2"/>
      <c r="L328" s="2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BC328" s="6"/>
      <c r="BD328" s="6"/>
      <c r="BE328" s="6"/>
      <c r="BF328" s="6"/>
      <c r="BL328" s="6"/>
      <c r="BM328" s="73"/>
      <c r="BN328" s="74"/>
      <c r="BO328" s="74"/>
      <c r="BP328" s="74"/>
      <c r="BQ328" s="74"/>
      <c r="BR328" s="74"/>
      <c r="BS328" s="74"/>
      <c r="BT328" s="74"/>
      <c r="BU328" s="74"/>
      <c r="BV328" s="74"/>
      <c r="BW328" s="74"/>
      <c r="BX328" s="74"/>
      <c r="BY328" s="74"/>
      <c r="BZ328" s="74"/>
    </row>
    <row r="329">
      <c r="A329" s="77" t="str">
        <f t="shared" si="15"/>
        <v/>
      </c>
      <c r="I329" s="2"/>
      <c r="L329" s="2"/>
      <c r="M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BC329" s="6"/>
      <c r="BD329" s="6"/>
      <c r="BE329" s="6"/>
      <c r="BF329" s="6"/>
      <c r="BL329" s="6"/>
      <c r="BM329" s="73"/>
      <c r="BN329" s="74"/>
      <c r="BO329" s="74"/>
      <c r="BP329" s="74"/>
      <c r="BQ329" s="74"/>
      <c r="BR329" s="74"/>
      <c r="BS329" s="74"/>
      <c r="BT329" s="74"/>
      <c r="BU329" s="74"/>
      <c r="BV329" s="74"/>
      <c r="BW329" s="74"/>
      <c r="BX329" s="74"/>
      <c r="BY329" s="74"/>
      <c r="BZ329" s="74"/>
    </row>
    <row r="330">
      <c r="A330" s="77" t="str">
        <f t="shared" si="15"/>
        <v/>
      </c>
      <c r="I330" s="2"/>
      <c r="L330" s="2"/>
      <c r="R330" s="6"/>
      <c r="S330" s="6"/>
      <c r="T330" s="6"/>
      <c r="U330" s="6"/>
      <c r="V330" s="6"/>
      <c r="W330" s="6"/>
      <c r="X330" s="6"/>
      <c r="Y330" s="6"/>
      <c r="Z330" s="6"/>
      <c r="AA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Q330" s="6"/>
      <c r="AR330" s="6"/>
      <c r="AS330" s="6"/>
      <c r="BC330" s="6"/>
      <c r="BD330" s="6"/>
      <c r="BE330" s="6"/>
      <c r="BF330" s="6"/>
      <c r="BL330" s="6"/>
      <c r="BM330" s="73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</row>
    <row r="331">
      <c r="A331" s="77" t="str">
        <f t="shared" si="15"/>
        <v/>
      </c>
      <c r="I331" s="2"/>
      <c r="L331" s="2"/>
      <c r="AO331" s="6"/>
      <c r="AQ331" s="6"/>
      <c r="AR331" s="6"/>
      <c r="AS331" s="6"/>
      <c r="BC331" s="6"/>
      <c r="BD331" s="6"/>
      <c r="BE331" s="6"/>
      <c r="BF331" s="6"/>
      <c r="BL331" s="6"/>
      <c r="BM331" s="73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</row>
    <row r="332">
      <c r="A332" s="77" t="str">
        <f t="shared" si="15"/>
        <v/>
      </c>
      <c r="I332" s="2"/>
      <c r="L332" s="2"/>
      <c r="AO332" s="6"/>
      <c r="AQ332" s="6"/>
      <c r="AR332" s="6"/>
      <c r="AS332" s="6"/>
      <c r="BC332" s="6"/>
      <c r="BD332" s="6"/>
      <c r="BE332" s="6"/>
      <c r="BF332" s="6"/>
      <c r="BL332" s="6"/>
      <c r="BM332" s="73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</row>
    <row r="333">
      <c r="A333" s="77" t="str">
        <f t="shared" si="15"/>
        <v/>
      </c>
      <c r="I333" s="2"/>
      <c r="L333" s="2"/>
      <c r="M333" s="6"/>
      <c r="AB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BC333" s="6"/>
      <c r="BD333" s="6"/>
      <c r="BE333" s="6"/>
      <c r="BF333" s="6"/>
      <c r="BL333" s="6"/>
      <c r="BM333" s="73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</row>
    <row r="334">
      <c r="A334" s="77" t="str">
        <f t="shared" si="15"/>
        <v/>
      </c>
      <c r="I334" s="2"/>
      <c r="L334" s="2"/>
      <c r="AO334" s="6"/>
      <c r="AQ334" s="6"/>
      <c r="AR334" s="6"/>
      <c r="AS334" s="6"/>
      <c r="BC334" s="6"/>
      <c r="BD334" s="6"/>
      <c r="BE334" s="6"/>
      <c r="BF334" s="6"/>
      <c r="BL334" s="6"/>
      <c r="BM334" s="73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</row>
    <row r="335">
      <c r="A335" s="77" t="str">
        <f t="shared" si="15"/>
        <v/>
      </c>
      <c r="I335" s="2"/>
      <c r="L335" s="2"/>
      <c r="AM335" s="6"/>
      <c r="AN335" s="6"/>
      <c r="AO335" s="6"/>
      <c r="AQ335" s="6"/>
      <c r="AR335" s="6"/>
      <c r="AS335" s="6"/>
      <c r="BC335" s="6"/>
      <c r="BD335" s="6"/>
      <c r="BE335" s="6"/>
      <c r="BF335" s="6"/>
      <c r="BL335" s="6"/>
      <c r="BM335" s="73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</row>
    <row r="336">
      <c r="A336" s="77" t="str">
        <f t="shared" si="15"/>
        <v/>
      </c>
      <c r="I336" s="2"/>
      <c r="L336" s="2"/>
      <c r="AO336" s="6"/>
      <c r="AQ336" s="6"/>
      <c r="AR336" s="6"/>
      <c r="AS336" s="6"/>
      <c r="BC336" s="6"/>
      <c r="BD336" s="6"/>
      <c r="BE336" s="6"/>
      <c r="BF336" s="6"/>
      <c r="BL336" s="6"/>
      <c r="BM336" s="73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</row>
    <row r="337">
      <c r="A337" s="77" t="str">
        <f t="shared" si="15"/>
        <v/>
      </c>
      <c r="C337" s="2"/>
      <c r="H337" s="2"/>
      <c r="I337" s="2"/>
      <c r="J337" s="2"/>
      <c r="L337" s="2"/>
      <c r="M337" s="6"/>
      <c r="AB337" s="6"/>
      <c r="AO337" s="6"/>
      <c r="AP337" s="6"/>
      <c r="AS337" s="6"/>
      <c r="BC337" s="6"/>
      <c r="BD337" s="6"/>
      <c r="BE337" s="6"/>
      <c r="BF337" s="6"/>
      <c r="BL337" s="6"/>
      <c r="BM337" s="73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</row>
    <row r="338">
      <c r="A338" s="77" t="str">
        <f t="shared" si="15"/>
        <v/>
      </c>
      <c r="C338" s="2"/>
      <c r="H338" s="2"/>
      <c r="I338" s="2"/>
      <c r="J338" s="2"/>
      <c r="K338" s="2"/>
      <c r="L338" s="2"/>
      <c r="BC338" s="6"/>
      <c r="BD338" s="6"/>
      <c r="BE338" s="6"/>
      <c r="BF338" s="6"/>
      <c r="BL338" s="6"/>
      <c r="BM338" s="73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</row>
    <row r="339">
      <c r="A339" s="77" t="str">
        <f t="shared" si="15"/>
        <v/>
      </c>
      <c r="I339" s="2"/>
      <c r="L339" s="2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L339" s="6"/>
      <c r="BM339" s="73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</row>
    <row r="340">
      <c r="A340" s="77" t="str">
        <f t="shared" si="15"/>
        <v/>
      </c>
      <c r="L340" s="2"/>
      <c r="BL340" s="6"/>
      <c r="BM340" s="73"/>
      <c r="BN340" s="74"/>
      <c r="BO340" s="74"/>
      <c r="BP340" s="74"/>
      <c r="BQ340" s="74"/>
      <c r="BR340" s="74"/>
      <c r="BS340" s="74"/>
      <c r="BT340" s="74"/>
      <c r="BU340" s="74"/>
      <c r="BV340" s="74"/>
      <c r="BW340" s="74"/>
      <c r="BX340" s="74"/>
      <c r="BY340" s="74"/>
      <c r="BZ340" s="74"/>
    </row>
    <row r="341">
      <c r="A341" s="77" t="str">
        <f t="shared" si="15"/>
        <v/>
      </c>
      <c r="L341" s="2"/>
      <c r="BL341" s="6"/>
      <c r="BM341" s="73"/>
      <c r="BN341" s="74"/>
      <c r="BO341" s="74"/>
      <c r="BP341" s="74"/>
      <c r="BQ341" s="74"/>
      <c r="BR341" s="74"/>
      <c r="BS341" s="74"/>
      <c r="BT341" s="74"/>
      <c r="BU341" s="74"/>
      <c r="BV341" s="74"/>
      <c r="BW341" s="74"/>
      <c r="BX341" s="74"/>
      <c r="BY341" s="74"/>
      <c r="BZ341" s="74"/>
    </row>
    <row r="342">
      <c r="A342" s="77" t="str">
        <f t="shared" si="15"/>
        <v/>
      </c>
      <c r="L342" s="2"/>
      <c r="BL342" s="6"/>
      <c r="BM342" s="73"/>
      <c r="BN342" s="74"/>
      <c r="BO342" s="74"/>
      <c r="BP342" s="74"/>
      <c r="BQ342" s="74"/>
      <c r="BR342" s="74"/>
      <c r="BS342" s="74"/>
      <c r="BT342" s="74"/>
      <c r="BU342" s="74"/>
      <c r="BV342" s="74"/>
      <c r="BW342" s="74"/>
      <c r="BX342" s="74"/>
      <c r="BY342" s="74"/>
      <c r="BZ342" s="74"/>
    </row>
    <row r="343">
      <c r="A343" s="77" t="str">
        <f t="shared" si="15"/>
        <v/>
      </c>
      <c r="L343" s="2"/>
      <c r="BL343" s="6"/>
      <c r="BM343" s="73"/>
      <c r="BN343" s="74"/>
      <c r="BO343" s="74"/>
      <c r="BP343" s="74"/>
      <c r="BQ343" s="74"/>
      <c r="BR343" s="74"/>
      <c r="BS343" s="74"/>
      <c r="BT343" s="74"/>
      <c r="BU343" s="74"/>
      <c r="BV343" s="74"/>
      <c r="BW343" s="74"/>
      <c r="BX343" s="74"/>
      <c r="BY343" s="74"/>
      <c r="BZ343" s="74"/>
    </row>
    <row r="344">
      <c r="A344" s="77" t="str">
        <f t="shared" si="15"/>
        <v/>
      </c>
      <c r="L344" s="2"/>
      <c r="BL344" s="6"/>
      <c r="BM344" s="73"/>
      <c r="BN344" s="74"/>
      <c r="BO344" s="74"/>
      <c r="BP344" s="74"/>
      <c r="BQ344" s="74"/>
      <c r="BR344" s="74"/>
      <c r="BS344" s="74"/>
      <c r="BT344" s="74"/>
      <c r="BU344" s="74"/>
      <c r="BV344" s="74"/>
      <c r="BW344" s="74"/>
      <c r="BX344" s="74"/>
      <c r="BY344" s="74"/>
      <c r="BZ344" s="74"/>
    </row>
    <row r="345">
      <c r="A345" s="77" t="str">
        <f t="shared" si="15"/>
        <v/>
      </c>
      <c r="L345" s="2"/>
      <c r="BL345" s="6"/>
      <c r="BM345" s="73"/>
      <c r="BN345" s="74"/>
      <c r="BO345" s="74"/>
      <c r="BP345" s="74"/>
      <c r="BQ345" s="74"/>
      <c r="BR345" s="74"/>
      <c r="BS345" s="74"/>
      <c r="BT345" s="74"/>
      <c r="BU345" s="74"/>
      <c r="BV345" s="74"/>
      <c r="BW345" s="74"/>
      <c r="BX345" s="74"/>
      <c r="BY345" s="74"/>
      <c r="BZ345" s="74"/>
    </row>
    <row r="346">
      <c r="A346" s="77" t="str">
        <f t="shared" si="15"/>
        <v/>
      </c>
      <c r="L346" s="2"/>
      <c r="BL346" s="6"/>
      <c r="BM346" s="73"/>
      <c r="BN346" s="74"/>
      <c r="BO346" s="74"/>
      <c r="BP346" s="74"/>
      <c r="BQ346" s="74"/>
      <c r="BR346" s="74"/>
      <c r="BS346" s="74"/>
      <c r="BT346" s="74"/>
      <c r="BU346" s="74"/>
      <c r="BV346" s="74"/>
      <c r="BW346" s="74"/>
      <c r="BX346" s="74"/>
      <c r="BY346" s="74"/>
      <c r="BZ346" s="74"/>
    </row>
    <row r="347">
      <c r="A347" s="77" t="str">
        <f t="shared" si="15"/>
        <v/>
      </c>
      <c r="L347" s="2"/>
      <c r="BL347" s="6"/>
      <c r="BM347" s="73"/>
      <c r="BN347" s="74"/>
      <c r="BO347" s="74"/>
      <c r="BP347" s="74"/>
      <c r="BQ347" s="74"/>
      <c r="BR347" s="74"/>
      <c r="BS347" s="74"/>
      <c r="BT347" s="74"/>
      <c r="BU347" s="74"/>
      <c r="BV347" s="74"/>
      <c r="BW347" s="74"/>
      <c r="BX347" s="74"/>
      <c r="BY347" s="74"/>
      <c r="BZ347" s="74"/>
    </row>
    <row r="348">
      <c r="A348" s="77" t="str">
        <f t="shared" si="15"/>
        <v/>
      </c>
      <c r="L348" s="2"/>
      <c r="BL348" s="6"/>
      <c r="BM348" s="73"/>
      <c r="BN348" s="74"/>
      <c r="BO348" s="74"/>
      <c r="BP348" s="74"/>
      <c r="BQ348" s="74"/>
      <c r="BR348" s="74"/>
      <c r="BS348" s="74"/>
      <c r="BT348" s="74"/>
      <c r="BU348" s="74"/>
      <c r="BV348" s="74"/>
      <c r="BW348" s="74"/>
      <c r="BX348" s="74"/>
      <c r="BY348" s="74"/>
      <c r="BZ348" s="74"/>
    </row>
    <row r="349">
      <c r="A349" s="77" t="str">
        <f t="shared" si="15"/>
        <v/>
      </c>
      <c r="L349" s="2"/>
      <c r="BL349" s="6"/>
      <c r="BM349" s="73"/>
      <c r="BN349" s="74"/>
      <c r="BO349" s="74"/>
      <c r="BP349" s="74"/>
      <c r="BQ349" s="74"/>
      <c r="BR349" s="74"/>
      <c r="BS349" s="74"/>
      <c r="BT349" s="74"/>
      <c r="BU349" s="74"/>
      <c r="BV349" s="74"/>
      <c r="BW349" s="74"/>
      <c r="BX349" s="74"/>
      <c r="BY349" s="74"/>
      <c r="BZ349" s="74"/>
    </row>
    <row r="350">
      <c r="A350" s="77" t="str">
        <f t="shared" si="15"/>
        <v/>
      </c>
      <c r="L350" s="2"/>
      <c r="BL350" s="6"/>
      <c r="BM350" s="73"/>
      <c r="BN350" s="74"/>
      <c r="BO350" s="74"/>
      <c r="BP350" s="74"/>
      <c r="BQ350" s="74"/>
      <c r="BR350" s="74"/>
      <c r="BS350" s="74"/>
      <c r="BT350" s="74"/>
      <c r="BU350" s="74"/>
      <c r="BV350" s="74"/>
      <c r="BW350" s="74"/>
      <c r="BX350" s="74"/>
      <c r="BY350" s="74"/>
      <c r="BZ350" s="74"/>
    </row>
    <row r="351">
      <c r="A351" s="77" t="str">
        <f t="shared" si="15"/>
        <v/>
      </c>
      <c r="L351" s="2"/>
      <c r="BL351" s="6"/>
      <c r="BM351" s="73"/>
      <c r="BN351" s="74"/>
      <c r="BO351" s="74"/>
      <c r="BP351" s="74"/>
      <c r="BQ351" s="74"/>
      <c r="BR351" s="74"/>
      <c r="BS351" s="74"/>
      <c r="BT351" s="74"/>
      <c r="BU351" s="74"/>
      <c r="BV351" s="74"/>
      <c r="BW351" s="74"/>
      <c r="BX351" s="74"/>
      <c r="BY351" s="74"/>
      <c r="BZ351" s="74"/>
    </row>
    <row r="352">
      <c r="A352" s="77" t="str">
        <f t="shared" si="15"/>
        <v/>
      </c>
      <c r="L352" s="2"/>
      <c r="BL352" s="6"/>
      <c r="BM352" s="73"/>
      <c r="BN352" s="74"/>
      <c r="BO352" s="74"/>
      <c r="BP352" s="74"/>
      <c r="BQ352" s="74"/>
      <c r="BR352" s="74"/>
      <c r="BS352" s="74"/>
      <c r="BT352" s="74"/>
      <c r="BU352" s="74"/>
      <c r="BV352" s="74"/>
      <c r="BW352" s="74"/>
      <c r="BX352" s="74"/>
      <c r="BY352" s="74"/>
      <c r="BZ352" s="74"/>
    </row>
    <row r="353">
      <c r="A353" s="77" t="str">
        <f t="shared" si="15"/>
        <v/>
      </c>
      <c r="L353" s="2"/>
      <c r="BL353" s="6"/>
      <c r="BM353" s="73"/>
      <c r="BN353" s="74"/>
      <c r="BO353" s="74"/>
      <c r="BP353" s="74"/>
      <c r="BQ353" s="74"/>
      <c r="BR353" s="74"/>
      <c r="BS353" s="74"/>
      <c r="BT353" s="74"/>
      <c r="BU353" s="74"/>
      <c r="BV353" s="74"/>
      <c r="BW353" s="74"/>
      <c r="BX353" s="74"/>
      <c r="BY353" s="74"/>
      <c r="BZ353" s="74"/>
    </row>
    <row r="354">
      <c r="A354" s="77" t="str">
        <f t="shared" si="15"/>
        <v/>
      </c>
      <c r="L354" s="2"/>
      <c r="BL354" s="6"/>
      <c r="BM354" s="73"/>
      <c r="BN354" s="74"/>
      <c r="BO354" s="74"/>
      <c r="BP354" s="74"/>
      <c r="BQ354" s="74"/>
      <c r="BR354" s="74"/>
      <c r="BS354" s="74"/>
      <c r="BT354" s="74"/>
      <c r="BU354" s="74"/>
      <c r="BV354" s="74"/>
      <c r="BW354" s="74"/>
      <c r="BX354" s="74"/>
      <c r="BY354" s="74"/>
      <c r="BZ354" s="74"/>
    </row>
    <row r="355">
      <c r="A355" s="77" t="str">
        <f t="shared" si="15"/>
        <v/>
      </c>
      <c r="L355" s="2"/>
      <c r="BL355" s="6"/>
      <c r="BM355" s="73"/>
      <c r="BN355" s="74"/>
      <c r="BO355" s="74"/>
      <c r="BP355" s="74"/>
      <c r="BQ355" s="74"/>
      <c r="BR355" s="74"/>
      <c r="BS355" s="74"/>
      <c r="BT355" s="74"/>
      <c r="BU355" s="74"/>
      <c r="BV355" s="74"/>
      <c r="BW355" s="74"/>
      <c r="BX355" s="74"/>
      <c r="BY355" s="74"/>
      <c r="BZ355" s="74"/>
    </row>
    <row r="356">
      <c r="A356" s="77" t="str">
        <f t="shared" si="15"/>
        <v/>
      </c>
      <c r="L356" s="2"/>
      <c r="BL356" s="6"/>
      <c r="BM356" s="73"/>
      <c r="BN356" s="74"/>
      <c r="BO356" s="74"/>
      <c r="BP356" s="74"/>
      <c r="BQ356" s="74"/>
      <c r="BR356" s="74"/>
      <c r="BS356" s="74"/>
      <c r="BT356" s="74"/>
      <c r="BU356" s="74"/>
      <c r="BV356" s="74"/>
      <c r="BW356" s="74"/>
      <c r="BX356" s="74"/>
      <c r="BY356" s="74"/>
      <c r="BZ356" s="74"/>
    </row>
    <row r="357">
      <c r="A357" s="77" t="str">
        <f t="shared" si="15"/>
        <v/>
      </c>
      <c r="L357" s="2"/>
      <c r="BL357" s="6"/>
      <c r="BM357" s="73"/>
      <c r="BN357" s="74"/>
      <c r="BO357" s="74"/>
      <c r="BP357" s="74"/>
      <c r="BQ357" s="74"/>
      <c r="BR357" s="74"/>
      <c r="BS357" s="74"/>
      <c r="BT357" s="74"/>
      <c r="BU357" s="74"/>
      <c r="BV357" s="74"/>
      <c r="BW357" s="74"/>
      <c r="BX357" s="74"/>
      <c r="BY357" s="74"/>
      <c r="BZ357" s="74"/>
    </row>
    <row r="358">
      <c r="A358" s="77" t="str">
        <f t="shared" si="15"/>
        <v/>
      </c>
      <c r="L358" s="2"/>
      <c r="BL358" s="6"/>
      <c r="BM358" s="73"/>
      <c r="BN358" s="74"/>
      <c r="BO358" s="74"/>
      <c r="BP358" s="74"/>
      <c r="BQ358" s="74"/>
      <c r="BR358" s="74"/>
      <c r="BS358" s="74"/>
      <c r="BT358" s="74"/>
      <c r="BU358" s="74"/>
      <c r="BV358" s="74"/>
      <c r="BW358" s="74"/>
      <c r="BX358" s="74"/>
      <c r="BY358" s="74"/>
      <c r="BZ358" s="74"/>
    </row>
    <row r="359">
      <c r="A359" s="77" t="str">
        <f t="shared" si="15"/>
        <v/>
      </c>
      <c r="L359" s="2"/>
      <c r="BL359" s="6"/>
      <c r="BM359" s="73"/>
      <c r="BN359" s="74"/>
      <c r="BO359" s="74"/>
      <c r="BP359" s="74"/>
      <c r="BQ359" s="74"/>
      <c r="BR359" s="74"/>
      <c r="BS359" s="74"/>
      <c r="BT359" s="74"/>
      <c r="BU359" s="74"/>
      <c r="BV359" s="74"/>
      <c r="BW359" s="74"/>
      <c r="BX359" s="74"/>
      <c r="BY359" s="74"/>
      <c r="BZ359" s="74"/>
    </row>
    <row r="360">
      <c r="A360" s="77" t="str">
        <f t="shared" si="15"/>
        <v/>
      </c>
      <c r="L360" s="2"/>
      <c r="BL360" s="6"/>
      <c r="BM360" s="73"/>
      <c r="BN360" s="74"/>
      <c r="BO360" s="74"/>
      <c r="BP360" s="74"/>
      <c r="BQ360" s="74"/>
      <c r="BR360" s="74"/>
      <c r="BS360" s="74"/>
      <c r="BT360" s="74"/>
      <c r="BU360" s="74"/>
      <c r="BV360" s="74"/>
      <c r="BW360" s="74"/>
      <c r="BX360" s="74"/>
      <c r="BY360" s="74"/>
      <c r="BZ360" s="74"/>
    </row>
    <row r="361">
      <c r="A361" s="77" t="str">
        <f t="shared" si="15"/>
        <v/>
      </c>
      <c r="L361" s="2"/>
      <c r="BL361" s="6"/>
      <c r="BM361" s="73"/>
      <c r="BN361" s="74"/>
      <c r="BO361" s="74"/>
      <c r="BP361" s="74"/>
      <c r="BQ361" s="74"/>
      <c r="BR361" s="74"/>
      <c r="BS361" s="74"/>
      <c r="BT361" s="74"/>
      <c r="BU361" s="74"/>
      <c r="BV361" s="74"/>
      <c r="BW361" s="74"/>
      <c r="BX361" s="74"/>
      <c r="BY361" s="74"/>
      <c r="BZ361" s="74"/>
    </row>
    <row r="362">
      <c r="A362" s="77" t="str">
        <f t="shared" si="15"/>
        <v/>
      </c>
      <c r="L362" s="2"/>
      <c r="BL362" s="6"/>
      <c r="BM362" s="73"/>
      <c r="BN362" s="74"/>
      <c r="BO362" s="74"/>
      <c r="BP362" s="74"/>
      <c r="BQ362" s="74"/>
      <c r="BR362" s="74"/>
      <c r="BS362" s="74"/>
      <c r="BT362" s="74"/>
      <c r="BU362" s="74"/>
      <c r="BV362" s="74"/>
      <c r="BW362" s="74"/>
      <c r="BX362" s="74"/>
      <c r="BY362" s="74"/>
      <c r="BZ362" s="74"/>
    </row>
    <row r="363">
      <c r="A363" s="77" t="str">
        <f t="shared" si="15"/>
        <v/>
      </c>
      <c r="L363" s="2"/>
      <c r="BL363" s="6"/>
      <c r="BM363" s="73"/>
      <c r="BN363" s="74"/>
      <c r="BO363" s="74"/>
      <c r="BP363" s="74"/>
      <c r="BQ363" s="74"/>
      <c r="BR363" s="74"/>
      <c r="BS363" s="74"/>
      <c r="BT363" s="74"/>
      <c r="BU363" s="74"/>
      <c r="BV363" s="74"/>
      <c r="BW363" s="74"/>
      <c r="BX363" s="74"/>
      <c r="BY363" s="74"/>
      <c r="BZ363" s="74"/>
    </row>
    <row r="364">
      <c r="A364" s="77" t="str">
        <f t="shared" si="15"/>
        <v/>
      </c>
      <c r="L364" s="2"/>
      <c r="BL364" s="6"/>
      <c r="BM364" s="73"/>
      <c r="BN364" s="74"/>
      <c r="BO364" s="74"/>
      <c r="BP364" s="74"/>
      <c r="BQ364" s="74"/>
      <c r="BR364" s="74"/>
      <c r="BS364" s="74"/>
      <c r="BT364" s="74"/>
      <c r="BU364" s="74"/>
      <c r="BV364" s="74"/>
      <c r="BW364" s="74"/>
      <c r="BX364" s="74"/>
      <c r="BY364" s="74"/>
      <c r="BZ364" s="74"/>
    </row>
    <row r="365">
      <c r="A365" s="77" t="str">
        <f t="shared" si="15"/>
        <v/>
      </c>
      <c r="L365" s="2"/>
      <c r="BL365" s="6"/>
      <c r="BM365" s="73"/>
      <c r="BN365" s="74"/>
      <c r="BO365" s="74"/>
      <c r="BP365" s="74"/>
      <c r="BQ365" s="74"/>
      <c r="BR365" s="74"/>
      <c r="BS365" s="74"/>
      <c r="BT365" s="74"/>
      <c r="BU365" s="74"/>
      <c r="BV365" s="74"/>
      <c r="BW365" s="74"/>
      <c r="BX365" s="74"/>
      <c r="BY365" s="74"/>
      <c r="BZ365" s="74"/>
    </row>
    <row r="366">
      <c r="A366" s="77" t="str">
        <f t="shared" si="15"/>
        <v/>
      </c>
      <c r="L366" s="2"/>
      <c r="BL366" s="6"/>
      <c r="BM366" s="73"/>
      <c r="BN366" s="74"/>
      <c r="BO366" s="74"/>
      <c r="BP366" s="74"/>
      <c r="BQ366" s="74"/>
      <c r="BR366" s="74"/>
      <c r="BS366" s="74"/>
      <c r="BT366" s="74"/>
      <c r="BU366" s="74"/>
      <c r="BV366" s="74"/>
      <c r="BW366" s="74"/>
      <c r="BX366" s="74"/>
      <c r="BY366" s="74"/>
      <c r="BZ366" s="74"/>
    </row>
    <row r="367">
      <c r="A367" s="77" t="str">
        <f t="shared" si="15"/>
        <v/>
      </c>
      <c r="L367" s="2"/>
      <c r="BL367" s="6"/>
      <c r="BM367" s="73"/>
      <c r="BN367" s="74"/>
      <c r="BO367" s="74"/>
      <c r="BP367" s="74"/>
      <c r="BQ367" s="74"/>
      <c r="BR367" s="74"/>
      <c r="BS367" s="74"/>
      <c r="BT367" s="74"/>
      <c r="BU367" s="74"/>
      <c r="BV367" s="74"/>
      <c r="BW367" s="74"/>
      <c r="BX367" s="74"/>
      <c r="BY367" s="74"/>
      <c r="BZ367" s="74"/>
    </row>
    <row r="368">
      <c r="A368" s="77" t="str">
        <f t="shared" si="15"/>
        <v/>
      </c>
      <c r="L368" s="2"/>
      <c r="BL368" s="6"/>
      <c r="BM368" s="73"/>
      <c r="BN368" s="74"/>
      <c r="BO368" s="74"/>
      <c r="BP368" s="74"/>
      <c r="BQ368" s="74"/>
      <c r="BR368" s="74"/>
      <c r="BS368" s="74"/>
      <c r="BT368" s="74"/>
      <c r="BU368" s="74"/>
      <c r="BV368" s="74"/>
      <c r="BW368" s="74"/>
      <c r="BX368" s="74"/>
      <c r="BY368" s="74"/>
      <c r="BZ368" s="74"/>
    </row>
    <row r="369">
      <c r="A369" s="77" t="str">
        <f t="shared" si="15"/>
        <v/>
      </c>
      <c r="L369" s="2"/>
      <c r="BL369" s="6"/>
      <c r="BM369" s="73"/>
      <c r="BN369" s="74"/>
      <c r="BO369" s="74"/>
      <c r="BP369" s="74"/>
      <c r="BQ369" s="74"/>
      <c r="BR369" s="74"/>
      <c r="BS369" s="74"/>
      <c r="BT369" s="74"/>
      <c r="BU369" s="74"/>
      <c r="BV369" s="74"/>
      <c r="BW369" s="74"/>
      <c r="BX369" s="74"/>
      <c r="BY369" s="74"/>
      <c r="BZ369" s="74"/>
    </row>
    <row r="370">
      <c r="A370" s="77" t="str">
        <f t="shared" si="15"/>
        <v/>
      </c>
      <c r="L370" s="2"/>
      <c r="BL370" s="6"/>
      <c r="BM370" s="73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</row>
    <row r="371">
      <c r="A371" s="77" t="str">
        <f t="shared" si="15"/>
        <v/>
      </c>
      <c r="L371" s="2"/>
      <c r="BL371" s="6"/>
      <c r="BM371" s="73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</row>
    <row r="372">
      <c r="A372" s="77" t="str">
        <f t="shared" si="15"/>
        <v/>
      </c>
      <c r="L372" s="2"/>
      <c r="BL372" s="6"/>
      <c r="BM372" s="73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</row>
    <row r="373">
      <c r="A373" s="77" t="str">
        <f t="shared" si="15"/>
        <v/>
      </c>
      <c r="L373" s="2"/>
      <c r="BL373" s="6"/>
      <c r="BM373" s="73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</row>
    <row r="374">
      <c r="A374" s="77" t="str">
        <f t="shared" si="15"/>
        <v/>
      </c>
      <c r="L374" s="2"/>
      <c r="BL374" s="6"/>
      <c r="BM374" s="73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</row>
    <row r="375">
      <c r="A375" s="77" t="str">
        <f t="shared" si="15"/>
        <v/>
      </c>
      <c r="L375" s="2"/>
      <c r="BL375" s="6"/>
      <c r="BM375" s="73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</row>
    <row r="376">
      <c r="A376" s="77" t="str">
        <f t="shared" si="15"/>
        <v/>
      </c>
      <c r="L376" s="2"/>
      <c r="BL376" s="6"/>
      <c r="BM376" s="73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</row>
    <row r="377">
      <c r="A377" s="77" t="str">
        <f t="shared" si="15"/>
        <v/>
      </c>
      <c r="L377" s="2"/>
      <c r="BL377" s="6"/>
      <c r="BM377" s="73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</row>
    <row r="378">
      <c r="L378" s="2"/>
      <c r="BL378" s="6"/>
      <c r="BM378" s="73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</row>
    <row r="379">
      <c r="L379" s="2"/>
      <c r="BL379" s="6"/>
      <c r="BM379" s="73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</row>
    <row r="380">
      <c r="L380" s="2"/>
      <c r="BL380" s="6"/>
      <c r="BM380" s="73"/>
      <c r="BN380" s="74"/>
      <c r="BO380" s="74"/>
      <c r="BP380" s="74"/>
      <c r="BQ380" s="74"/>
      <c r="BR380" s="74"/>
      <c r="BS380" s="74"/>
      <c r="BT380" s="74"/>
      <c r="BU380" s="74"/>
      <c r="BV380" s="74"/>
      <c r="BW380" s="74"/>
      <c r="BX380" s="74"/>
      <c r="BY380" s="74"/>
      <c r="BZ380" s="74"/>
    </row>
    <row r="381">
      <c r="L381" s="2"/>
      <c r="BL381" s="6"/>
      <c r="BM381" s="73"/>
      <c r="BN381" s="74"/>
      <c r="BO381" s="74"/>
      <c r="BP381" s="74"/>
      <c r="BQ381" s="74"/>
      <c r="BR381" s="74"/>
      <c r="BS381" s="74"/>
      <c r="BT381" s="74"/>
      <c r="BU381" s="74"/>
      <c r="BV381" s="74"/>
      <c r="BW381" s="74"/>
      <c r="BX381" s="74"/>
      <c r="BY381" s="74"/>
      <c r="BZ381" s="74"/>
    </row>
    <row r="382">
      <c r="L382" s="2"/>
      <c r="BL382" s="6"/>
      <c r="BM382" s="73"/>
      <c r="BN382" s="74"/>
      <c r="BO382" s="74"/>
      <c r="BP382" s="74"/>
      <c r="BQ382" s="74"/>
      <c r="BR382" s="74"/>
      <c r="BS382" s="74"/>
      <c r="BT382" s="74"/>
      <c r="BU382" s="74"/>
      <c r="BV382" s="74"/>
      <c r="BW382" s="74"/>
      <c r="BX382" s="74"/>
      <c r="BY382" s="74"/>
      <c r="BZ382" s="74"/>
    </row>
    <row r="383">
      <c r="L383" s="2"/>
      <c r="BL383" s="6"/>
      <c r="BM383" s="73"/>
      <c r="BN383" s="74"/>
      <c r="BO383" s="74"/>
      <c r="BP383" s="74"/>
      <c r="BQ383" s="74"/>
      <c r="BR383" s="74"/>
      <c r="BS383" s="74"/>
      <c r="BT383" s="74"/>
      <c r="BU383" s="74"/>
      <c r="BV383" s="74"/>
      <c r="BW383" s="74"/>
      <c r="BX383" s="74"/>
      <c r="BY383" s="74"/>
      <c r="BZ383" s="74"/>
    </row>
    <row r="384">
      <c r="L384" s="2"/>
      <c r="BL384" s="6"/>
      <c r="BM384" s="73"/>
      <c r="BN384" s="74"/>
      <c r="BO384" s="74"/>
      <c r="BP384" s="74"/>
      <c r="BQ384" s="74"/>
      <c r="BR384" s="74"/>
      <c r="BS384" s="74"/>
      <c r="BT384" s="74"/>
      <c r="BU384" s="74"/>
      <c r="BV384" s="74"/>
      <c r="BW384" s="74"/>
      <c r="BX384" s="74"/>
      <c r="BY384" s="74"/>
      <c r="BZ384" s="74"/>
    </row>
    <row r="385">
      <c r="L385" s="2"/>
      <c r="BL385" s="6"/>
      <c r="BM385" s="73"/>
      <c r="BN385" s="74"/>
      <c r="BO385" s="74"/>
      <c r="BP385" s="74"/>
      <c r="BQ385" s="74"/>
      <c r="BR385" s="74"/>
      <c r="BS385" s="74"/>
      <c r="BT385" s="74"/>
      <c r="BU385" s="74"/>
      <c r="BV385" s="74"/>
      <c r="BW385" s="74"/>
      <c r="BX385" s="74"/>
      <c r="BY385" s="74"/>
      <c r="BZ385" s="74"/>
    </row>
    <row r="386">
      <c r="L386" s="2"/>
      <c r="BL386" s="6"/>
      <c r="BM386" s="73"/>
      <c r="BN386" s="74"/>
      <c r="BO386" s="74"/>
      <c r="BP386" s="74"/>
      <c r="BQ386" s="74"/>
      <c r="BR386" s="74"/>
      <c r="BS386" s="74"/>
      <c r="BT386" s="74"/>
      <c r="BU386" s="74"/>
      <c r="BV386" s="74"/>
      <c r="BW386" s="74"/>
      <c r="BX386" s="74"/>
      <c r="BY386" s="74"/>
      <c r="BZ386" s="74"/>
    </row>
    <row r="387">
      <c r="L387" s="2"/>
      <c r="BL387" s="6"/>
      <c r="BM387" s="73"/>
      <c r="BN387" s="74"/>
      <c r="BO387" s="74"/>
      <c r="BP387" s="74"/>
      <c r="BQ387" s="74"/>
      <c r="BR387" s="74"/>
      <c r="BS387" s="74"/>
      <c r="BT387" s="74"/>
      <c r="BU387" s="74"/>
      <c r="BV387" s="74"/>
      <c r="BW387" s="74"/>
      <c r="BX387" s="74"/>
      <c r="BY387" s="74"/>
      <c r="BZ387" s="74"/>
    </row>
    <row r="388">
      <c r="L388" s="2"/>
      <c r="BL388" s="6"/>
      <c r="BM388" s="73"/>
      <c r="BN388" s="74"/>
      <c r="BO388" s="74"/>
      <c r="BP388" s="74"/>
      <c r="BQ388" s="74"/>
      <c r="BR388" s="74"/>
      <c r="BS388" s="74"/>
      <c r="BT388" s="74"/>
      <c r="BU388" s="74"/>
      <c r="BV388" s="74"/>
      <c r="BW388" s="74"/>
      <c r="BX388" s="74"/>
      <c r="BY388" s="74"/>
      <c r="BZ388" s="74"/>
    </row>
    <row r="389">
      <c r="L389" s="2"/>
      <c r="BL389" s="6"/>
      <c r="BM389" s="73"/>
      <c r="BN389" s="74"/>
      <c r="BO389" s="74"/>
      <c r="BP389" s="74"/>
      <c r="BQ389" s="74"/>
      <c r="BR389" s="74"/>
      <c r="BS389" s="74"/>
      <c r="BT389" s="74"/>
      <c r="BU389" s="74"/>
      <c r="BV389" s="74"/>
      <c r="BW389" s="74"/>
      <c r="BX389" s="74"/>
      <c r="BY389" s="74"/>
      <c r="BZ389" s="74"/>
    </row>
    <row r="390">
      <c r="L390" s="2"/>
      <c r="BL390" s="6"/>
      <c r="BM390" s="73"/>
      <c r="BN390" s="74"/>
      <c r="BO390" s="74"/>
      <c r="BP390" s="74"/>
      <c r="BQ390" s="74"/>
      <c r="BR390" s="74"/>
      <c r="BS390" s="74"/>
      <c r="BT390" s="74"/>
      <c r="BU390" s="74"/>
      <c r="BV390" s="74"/>
      <c r="BW390" s="74"/>
      <c r="BX390" s="74"/>
      <c r="BY390" s="74"/>
      <c r="BZ390" s="74"/>
    </row>
    <row r="391">
      <c r="L391" s="2"/>
      <c r="BL391" s="6"/>
      <c r="BM391" s="73"/>
      <c r="BN391" s="74"/>
      <c r="BO391" s="74"/>
      <c r="BP391" s="74"/>
      <c r="BQ391" s="74"/>
      <c r="BR391" s="74"/>
      <c r="BS391" s="74"/>
      <c r="BT391" s="74"/>
      <c r="BU391" s="74"/>
      <c r="BV391" s="74"/>
      <c r="BW391" s="74"/>
      <c r="BX391" s="74"/>
      <c r="BY391" s="74"/>
      <c r="BZ391" s="74"/>
    </row>
    <row r="392">
      <c r="L392" s="2"/>
      <c r="BL392" s="6"/>
      <c r="BM392" s="73"/>
      <c r="BN392" s="74"/>
      <c r="BO392" s="74"/>
      <c r="BP392" s="74"/>
      <c r="BQ392" s="74"/>
      <c r="BR392" s="74"/>
      <c r="BS392" s="74"/>
      <c r="BT392" s="74"/>
      <c r="BU392" s="74"/>
      <c r="BV392" s="74"/>
      <c r="BW392" s="74"/>
      <c r="BX392" s="74"/>
      <c r="BY392" s="74"/>
      <c r="BZ392" s="74"/>
    </row>
    <row r="393">
      <c r="L393" s="2"/>
      <c r="BL393" s="6"/>
      <c r="BM393" s="73"/>
      <c r="BN393" s="74"/>
      <c r="BO393" s="74"/>
      <c r="BP393" s="74"/>
      <c r="BQ393" s="74"/>
      <c r="BR393" s="74"/>
      <c r="BS393" s="74"/>
      <c r="BT393" s="74"/>
      <c r="BU393" s="74"/>
      <c r="BV393" s="74"/>
      <c r="BW393" s="74"/>
      <c r="BX393" s="74"/>
      <c r="BY393" s="74"/>
      <c r="BZ393" s="74"/>
    </row>
    <row r="394">
      <c r="L394" s="2"/>
      <c r="BL394" s="6"/>
      <c r="BM394" s="73"/>
      <c r="BN394" s="74"/>
      <c r="BO394" s="74"/>
      <c r="BP394" s="74"/>
      <c r="BQ394" s="74"/>
      <c r="BR394" s="74"/>
      <c r="BS394" s="74"/>
      <c r="BT394" s="74"/>
      <c r="BU394" s="74"/>
      <c r="BV394" s="74"/>
      <c r="BW394" s="74"/>
      <c r="BX394" s="74"/>
      <c r="BY394" s="74"/>
      <c r="BZ394" s="74"/>
    </row>
    <row r="395">
      <c r="L395" s="2"/>
      <c r="BL395" s="6"/>
      <c r="BM395" s="73"/>
      <c r="BN395" s="74"/>
      <c r="BO395" s="74"/>
      <c r="BP395" s="74"/>
      <c r="BQ395" s="74"/>
      <c r="BR395" s="74"/>
      <c r="BS395" s="74"/>
      <c r="BT395" s="74"/>
      <c r="BU395" s="74"/>
      <c r="BV395" s="74"/>
      <c r="BW395" s="74"/>
      <c r="BX395" s="74"/>
      <c r="BY395" s="74"/>
      <c r="BZ395" s="74"/>
    </row>
    <row r="396">
      <c r="L396" s="2"/>
      <c r="BL396" s="6"/>
      <c r="BM396" s="73"/>
      <c r="BN396" s="74"/>
      <c r="BO396" s="74"/>
      <c r="BP396" s="74"/>
      <c r="BQ396" s="74"/>
      <c r="BR396" s="74"/>
      <c r="BS396" s="74"/>
      <c r="BT396" s="74"/>
      <c r="BU396" s="74"/>
      <c r="BV396" s="74"/>
      <c r="BW396" s="74"/>
      <c r="BX396" s="74"/>
      <c r="BY396" s="74"/>
      <c r="BZ396" s="74"/>
    </row>
    <row r="397">
      <c r="L397" s="2"/>
      <c r="BL397" s="6"/>
      <c r="BM397" s="73"/>
      <c r="BN397" s="74"/>
      <c r="BO397" s="74"/>
      <c r="BP397" s="74"/>
      <c r="BQ397" s="74"/>
      <c r="BR397" s="74"/>
      <c r="BS397" s="74"/>
      <c r="BT397" s="74"/>
      <c r="BU397" s="74"/>
      <c r="BV397" s="74"/>
      <c r="BW397" s="74"/>
      <c r="BX397" s="74"/>
      <c r="BY397" s="74"/>
      <c r="BZ397" s="74"/>
    </row>
    <row r="398">
      <c r="L398" s="2"/>
      <c r="BL398" s="6"/>
      <c r="BM398" s="73"/>
      <c r="BN398" s="74"/>
      <c r="BO398" s="74"/>
      <c r="BP398" s="74"/>
      <c r="BQ398" s="74"/>
      <c r="BR398" s="74"/>
      <c r="BS398" s="74"/>
      <c r="BT398" s="74"/>
      <c r="BU398" s="74"/>
      <c r="BV398" s="74"/>
      <c r="BW398" s="74"/>
      <c r="BX398" s="74"/>
      <c r="BY398" s="74"/>
      <c r="BZ398" s="74"/>
    </row>
    <row r="399">
      <c r="L399" s="2"/>
      <c r="BL399" s="6"/>
      <c r="BM399" s="73"/>
      <c r="BN399" s="74"/>
      <c r="BO399" s="74"/>
      <c r="BP399" s="74"/>
      <c r="BQ399" s="74"/>
      <c r="BR399" s="74"/>
      <c r="BS399" s="74"/>
      <c r="BT399" s="74"/>
      <c r="BU399" s="74"/>
      <c r="BV399" s="74"/>
      <c r="BW399" s="74"/>
      <c r="BX399" s="74"/>
      <c r="BY399" s="74"/>
      <c r="BZ399" s="74"/>
    </row>
    <row r="400">
      <c r="L400" s="2"/>
      <c r="BL400" s="6"/>
      <c r="BM400" s="73"/>
      <c r="BN400" s="74"/>
      <c r="BO400" s="74"/>
      <c r="BP400" s="74"/>
      <c r="BQ400" s="74"/>
      <c r="BR400" s="74"/>
      <c r="BS400" s="74"/>
      <c r="BT400" s="74"/>
      <c r="BU400" s="74"/>
      <c r="BV400" s="74"/>
      <c r="BW400" s="74"/>
      <c r="BX400" s="74"/>
      <c r="BY400" s="74"/>
      <c r="BZ400" s="74"/>
    </row>
    <row r="401">
      <c r="L401" s="2"/>
      <c r="BL401" s="6"/>
      <c r="BM401" s="73"/>
      <c r="BN401" s="74"/>
      <c r="BO401" s="74"/>
      <c r="BP401" s="74"/>
      <c r="BQ401" s="74"/>
      <c r="BR401" s="74"/>
      <c r="BS401" s="74"/>
      <c r="BT401" s="74"/>
      <c r="BU401" s="74"/>
      <c r="BV401" s="74"/>
      <c r="BW401" s="74"/>
      <c r="BX401" s="74"/>
      <c r="BY401" s="74"/>
      <c r="BZ401" s="74"/>
    </row>
    <row r="402">
      <c r="L402" s="2"/>
      <c r="BL402" s="6"/>
      <c r="BM402" s="73"/>
      <c r="BN402" s="74"/>
      <c r="BO402" s="74"/>
      <c r="BP402" s="74"/>
      <c r="BQ402" s="74"/>
      <c r="BR402" s="74"/>
      <c r="BS402" s="74"/>
      <c r="BT402" s="74"/>
      <c r="BU402" s="74"/>
      <c r="BV402" s="74"/>
      <c r="BW402" s="74"/>
      <c r="BX402" s="74"/>
      <c r="BY402" s="74"/>
      <c r="BZ402" s="74"/>
    </row>
    <row r="403">
      <c r="L403" s="2"/>
      <c r="BL403" s="6"/>
      <c r="BM403" s="73"/>
      <c r="BN403" s="74"/>
      <c r="BO403" s="74"/>
      <c r="BP403" s="74"/>
      <c r="BQ403" s="74"/>
      <c r="BR403" s="74"/>
      <c r="BS403" s="74"/>
      <c r="BT403" s="74"/>
      <c r="BU403" s="74"/>
      <c r="BV403" s="74"/>
      <c r="BW403" s="74"/>
      <c r="BX403" s="74"/>
      <c r="BY403" s="74"/>
      <c r="BZ403" s="74"/>
    </row>
    <row r="404">
      <c r="L404" s="2"/>
      <c r="BL404" s="6"/>
      <c r="BM404" s="73"/>
      <c r="BN404" s="74"/>
      <c r="BO404" s="74"/>
      <c r="BP404" s="74"/>
      <c r="BQ404" s="74"/>
      <c r="BR404" s="74"/>
      <c r="BS404" s="74"/>
      <c r="BT404" s="74"/>
      <c r="BU404" s="74"/>
      <c r="BV404" s="74"/>
      <c r="BW404" s="74"/>
      <c r="BX404" s="74"/>
      <c r="BY404" s="74"/>
      <c r="BZ404" s="74"/>
    </row>
    <row r="405">
      <c r="L405" s="2"/>
      <c r="BL405" s="6"/>
      <c r="BM405" s="73"/>
      <c r="BN405" s="74"/>
      <c r="BO405" s="74"/>
      <c r="BP405" s="74"/>
      <c r="BQ405" s="74"/>
      <c r="BR405" s="74"/>
      <c r="BS405" s="74"/>
      <c r="BT405" s="74"/>
      <c r="BU405" s="74"/>
      <c r="BV405" s="74"/>
      <c r="BW405" s="74"/>
      <c r="BX405" s="74"/>
      <c r="BY405" s="74"/>
      <c r="BZ405" s="74"/>
    </row>
    <row r="406">
      <c r="L406" s="2"/>
      <c r="BL406" s="6"/>
      <c r="BM406" s="73"/>
      <c r="BN406" s="74"/>
      <c r="BO406" s="74"/>
      <c r="BP406" s="74"/>
      <c r="BQ406" s="74"/>
      <c r="BR406" s="74"/>
      <c r="BS406" s="74"/>
      <c r="BT406" s="74"/>
      <c r="BU406" s="74"/>
      <c r="BV406" s="74"/>
      <c r="BW406" s="74"/>
      <c r="BX406" s="74"/>
      <c r="BY406" s="74"/>
      <c r="BZ406" s="74"/>
    </row>
    <row r="407">
      <c r="L407" s="2"/>
      <c r="BL407" s="6"/>
      <c r="BM407" s="73"/>
      <c r="BN407" s="74"/>
      <c r="BO407" s="74"/>
      <c r="BP407" s="74"/>
      <c r="BQ407" s="74"/>
      <c r="BR407" s="74"/>
      <c r="BS407" s="74"/>
      <c r="BT407" s="74"/>
      <c r="BU407" s="74"/>
      <c r="BV407" s="74"/>
      <c r="BW407" s="74"/>
      <c r="BX407" s="74"/>
      <c r="BY407" s="74"/>
      <c r="BZ407" s="74"/>
    </row>
    <row r="408">
      <c r="L408" s="2"/>
      <c r="BL408" s="6"/>
      <c r="BM408" s="73"/>
      <c r="BN408" s="74"/>
      <c r="BO408" s="74"/>
      <c r="BP408" s="74"/>
      <c r="BQ408" s="74"/>
      <c r="BR408" s="74"/>
      <c r="BS408" s="74"/>
      <c r="BT408" s="74"/>
      <c r="BU408" s="74"/>
      <c r="BV408" s="74"/>
      <c r="BW408" s="74"/>
      <c r="BX408" s="74"/>
      <c r="BY408" s="74"/>
      <c r="BZ408" s="74"/>
    </row>
    <row r="409">
      <c r="L409" s="2"/>
      <c r="BL409" s="6"/>
      <c r="BM409" s="73"/>
      <c r="BN409" s="74"/>
      <c r="BO409" s="74"/>
      <c r="BP409" s="74"/>
      <c r="BQ409" s="74"/>
      <c r="BR409" s="74"/>
      <c r="BS409" s="74"/>
      <c r="BT409" s="74"/>
      <c r="BU409" s="74"/>
      <c r="BV409" s="74"/>
      <c r="BW409" s="74"/>
      <c r="BX409" s="74"/>
      <c r="BY409" s="74"/>
      <c r="BZ409" s="74"/>
    </row>
    <row r="410">
      <c r="L410" s="2"/>
      <c r="BL410" s="6"/>
      <c r="BM410" s="73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</row>
    <row r="411">
      <c r="L411" s="2"/>
      <c r="BL411" s="6"/>
      <c r="BM411" s="73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</row>
    <row r="412">
      <c r="L412" s="2"/>
      <c r="BL412" s="6"/>
      <c r="BM412" s="73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</row>
    <row r="413">
      <c r="L413" s="2"/>
      <c r="BL413" s="6"/>
      <c r="BM413" s="73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</row>
    <row r="414">
      <c r="L414" s="2"/>
      <c r="BL414" s="6"/>
      <c r="BM414" s="73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</row>
    <row r="415">
      <c r="L415" s="2"/>
      <c r="BL415" s="6"/>
      <c r="BM415" s="73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</row>
    <row r="416">
      <c r="L416" s="2"/>
      <c r="BL416" s="6"/>
      <c r="BM416" s="73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</row>
    <row r="417">
      <c r="L417" s="2"/>
      <c r="BL417" s="6"/>
      <c r="BM417" s="73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</row>
    <row r="418">
      <c r="L418" s="2"/>
      <c r="BL418" s="6"/>
      <c r="BM418" s="73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</row>
    <row r="419">
      <c r="L419" s="2"/>
      <c r="BL419" s="6"/>
      <c r="BM419" s="73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</row>
    <row r="420">
      <c r="L420" s="2"/>
      <c r="BL420" s="6"/>
      <c r="BM420" s="73"/>
      <c r="BN420" s="74"/>
      <c r="BO420" s="74"/>
      <c r="BP420" s="74"/>
      <c r="BQ420" s="74"/>
      <c r="BR420" s="74"/>
      <c r="BS420" s="74"/>
      <c r="BT420" s="74"/>
      <c r="BU420" s="74"/>
      <c r="BV420" s="74"/>
      <c r="BW420" s="74"/>
      <c r="BX420" s="74"/>
      <c r="BY420" s="74"/>
      <c r="BZ420" s="74"/>
    </row>
    <row r="421">
      <c r="L421" s="2"/>
      <c r="BL421" s="6"/>
      <c r="BM421" s="73"/>
      <c r="BN421" s="74"/>
      <c r="BO421" s="74"/>
      <c r="BP421" s="74"/>
      <c r="BQ421" s="74"/>
      <c r="BR421" s="74"/>
      <c r="BS421" s="74"/>
      <c r="BT421" s="74"/>
      <c r="BU421" s="74"/>
      <c r="BV421" s="74"/>
      <c r="BW421" s="74"/>
      <c r="BX421" s="74"/>
      <c r="BY421" s="74"/>
      <c r="BZ421" s="74"/>
    </row>
    <row r="422">
      <c r="L422" s="2"/>
      <c r="BL422" s="6"/>
      <c r="BM422" s="73"/>
      <c r="BN422" s="74"/>
      <c r="BO422" s="74"/>
      <c r="BP422" s="74"/>
      <c r="BQ422" s="74"/>
      <c r="BR422" s="74"/>
      <c r="BS422" s="74"/>
      <c r="BT422" s="74"/>
      <c r="BU422" s="74"/>
      <c r="BV422" s="74"/>
      <c r="BW422" s="74"/>
      <c r="BX422" s="74"/>
      <c r="BY422" s="74"/>
      <c r="BZ422" s="74"/>
    </row>
    <row r="423">
      <c r="L423" s="2"/>
      <c r="BL423" s="6"/>
      <c r="BM423" s="73"/>
      <c r="BN423" s="74"/>
      <c r="BO423" s="74"/>
      <c r="BP423" s="74"/>
      <c r="BQ423" s="74"/>
      <c r="BR423" s="74"/>
      <c r="BS423" s="74"/>
      <c r="BT423" s="74"/>
      <c r="BU423" s="74"/>
      <c r="BV423" s="74"/>
      <c r="BW423" s="74"/>
      <c r="BX423" s="74"/>
      <c r="BY423" s="74"/>
      <c r="BZ423" s="74"/>
    </row>
    <row r="424">
      <c r="L424" s="2"/>
      <c r="BL424" s="6"/>
      <c r="BM424" s="73"/>
      <c r="BN424" s="74"/>
      <c r="BO424" s="74"/>
      <c r="BP424" s="74"/>
      <c r="BQ424" s="74"/>
      <c r="BR424" s="74"/>
      <c r="BS424" s="74"/>
      <c r="BT424" s="74"/>
      <c r="BU424" s="74"/>
      <c r="BV424" s="74"/>
      <c r="BW424" s="74"/>
      <c r="BX424" s="74"/>
      <c r="BY424" s="74"/>
      <c r="BZ424" s="74"/>
    </row>
    <row r="425">
      <c r="L425" s="2"/>
      <c r="BM425" s="73"/>
      <c r="BN425" s="74"/>
      <c r="BO425" s="74"/>
      <c r="BP425" s="74"/>
      <c r="BQ425" s="74"/>
      <c r="BR425" s="74"/>
      <c r="BS425" s="74"/>
      <c r="BT425" s="74"/>
      <c r="BU425" s="74"/>
      <c r="BV425" s="74"/>
      <c r="BW425" s="74"/>
      <c r="BX425" s="74"/>
      <c r="BY425" s="74"/>
      <c r="BZ425" s="74"/>
    </row>
    <row r="426">
      <c r="L426" s="2"/>
      <c r="BM426" s="73"/>
      <c r="BN426" s="74"/>
      <c r="BO426" s="74"/>
      <c r="BP426" s="74"/>
      <c r="BQ426" s="74"/>
      <c r="BR426" s="74"/>
      <c r="BS426" s="74"/>
      <c r="BT426" s="74"/>
      <c r="BU426" s="74"/>
      <c r="BV426" s="74"/>
      <c r="BW426" s="74"/>
      <c r="BX426" s="74"/>
      <c r="BY426" s="74"/>
      <c r="BZ426" s="74"/>
    </row>
    <row r="427">
      <c r="L427" s="2"/>
      <c r="BM427" s="73"/>
      <c r="BN427" s="74"/>
      <c r="BO427" s="74"/>
      <c r="BP427" s="74"/>
      <c r="BQ427" s="74"/>
      <c r="BR427" s="74"/>
      <c r="BS427" s="74"/>
      <c r="BT427" s="74"/>
      <c r="BU427" s="74"/>
      <c r="BV427" s="74"/>
      <c r="BW427" s="74"/>
      <c r="BX427" s="74"/>
      <c r="BY427" s="74"/>
      <c r="BZ427" s="74"/>
    </row>
    <row r="428">
      <c r="L428" s="2"/>
      <c r="BM428" s="73"/>
      <c r="BN428" s="74"/>
      <c r="BO428" s="74"/>
      <c r="BP428" s="74"/>
      <c r="BQ428" s="74"/>
      <c r="BR428" s="74"/>
      <c r="BS428" s="74"/>
      <c r="BT428" s="74"/>
      <c r="BU428" s="74"/>
      <c r="BV428" s="74"/>
      <c r="BW428" s="74"/>
      <c r="BX428" s="74"/>
      <c r="BY428" s="74"/>
      <c r="BZ428" s="74"/>
    </row>
    <row r="429">
      <c r="L429" s="2"/>
      <c r="BM429" s="73"/>
      <c r="BN429" s="74"/>
      <c r="BO429" s="74"/>
      <c r="BP429" s="74"/>
      <c r="BQ429" s="74"/>
      <c r="BR429" s="74"/>
      <c r="BS429" s="74"/>
      <c r="BT429" s="74"/>
      <c r="BU429" s="74"/>
      <c r="BV429" s="74"/>
      <c r="BW429" s="74"/>
      <c r="BX429" s="74"/>
      <c r="BY429" s="74"/>
      <c r="BZ429" s="74"/>
    </row>
    <row r="430">
      <c r="L430" s="2"/>
      <c r="BM430" s="73"/>
      <c r="BN430" s="74"/>
      <c r="BO430" s="74"/>
      <c r="BP430" s="74"/>
      <c r="BQ430" s="74"/>
      <c r="BR430" s="74"/>
      <c r="BS430" s="74"/>
      <c r="BT430" s="74"/>
      <c r="BU430" s="74"/>
      <c r="BV430" s="74"/>
      <c r="BW430" s="74"/>
      <c r="BX430" s="74"/>
      <c r="BY430" s="74"/>
      <c r="BZ430" s="74"/>
    </row>
    <row r="431">
      <c r="L431" s="2"/>
      <c r="BM431" s="73"/>
      <c r="BN431" s="74"/>
      <c r="BO431" s="74"/>
      <c r="BP431" s="74"/>
      <c r="BQ431" s="74"/>
      <c r="BR431" s="74"/>
      <c r="BS431" s="74"/>
      <c r="BT431" s="74"/>
      <c r="BU431" s="74"/>
      <c r="BV431" s="74"/>
      <c r="BW431" s="74"/>
      <c r="BX431" s="74"/>
      <c r="BY431" s="74"/>
      <c r="BZ431" s="74"/>
    </row>
    <row r="432">
      <c r="L432" s="2"/>
      <c r="BM432" s="73"/>
      <c r="BN432" s="74"/>
      <c r="BO432" s="74"/>
      <c r="BP432" s="74"/>
      <c r="BQ432" s="74"/>
      <c r="BR432" s="74"/>
      <c r="BS432" s="74"/>
      <c r="BT432" s="74"/>
      <c r="BU432" s="74"/>
      <c r="BV432" s="74"/>
      <c r="BW432" s="74"/>
      <c r="BX432" s="74"/>
      <c r="BY432" s="74"/>
      <c r="BZ432" s="74"/>
    </row>
    <row r="433">
      <c r="L433" s="2"/>
      <c r="BM433" s="73"/>
      <c r="BN433" s="74"/>
      <c r="BO433" s="74"/>
      <c r="BP433" s="74"/>
      <c r="BQ433" s="74"/>
      <c r="BR433" s="74"/>
      <c r="BS433" s="74"/>
      <c r="BT433" s="74"/>
      <c r="BU433" s="74"/>
      <c r="BV433" s="74"/>
      <c r="BW433" s="74"/>
      <c r="BX433" s="74"/>
      <c r="BY433" s="74"/>
      <c r="BZ433" s="74"/>
    </row>
    <row r="434">
      <c r="L434" s="2"/>
      <c r="BM434" s="73"/>
      <c r="BN434" s="74"/>
      <c r="BO434" s="74"/>
      <c r="BP434" s="74"/>
      <c r="BQ434" s="74"/>
      <c r="BR434" s="74"/>
      <c r="BS434" s="74"/>
      <c r="BT434" s="74"/>
      <c r="BU434" s="74"/>
      <c r="BV434" s="74"/>
      <c r="BW434" s="74"/>
      <c r="BX434" s="74"/>
      <c r="BY434" s="74"/>
      <c r="BZ434" s="74"/>
    </row>
    <row r="435">
      <c r="L435" s="2"/>
      <c r="BM435" s="73"/>
      <c r="BN435" s="74"/>
      <c r="BO435" s="74"/>
      <c r="BP435" s="74"/>
      <c r="BQ435" s="74"/>
      <c r="BR435" s="74"/>
      <c r="BS435" s="74"/>
      <c r="BT435" s="74"/>
      <c r="BU435" s="74"/>
      <c r="BV435" s="74"/>
      <c r="BW435" s="74"/>
      <c r="BX435" s="74"/>
      <c r="BY435" s="74"/>
      <c r="BZ435" s="74"/>
    </row>
    <row r="436">
      <c r="L436" s="2"/>
      <c r="BM436" s="73"/>
      <c r="BN436" s="74"/>
      <c r="BO436" s="74"/>
      <c r="BP436" s="74"/>
      <c r="BQ436" s="74"/>
      <c r="BR436" s="74"/>
      <c r="BS436" s="74"/>
      <c r="BT436" s="74"/>
      <c r="BU436" s="74"/>
      <c r="BV436" s="74"/>
      <c r="BW436" s="74"/>
      <c r="BX436" s="74"/>
      <c r="BY436" s="74"/>
      <c r="BZ436" s="74"/>
    </row>
    <row r="437">
      <c r="L437" s="2"/>
      <c r="BM437" s="73"/>
      <c r="BN437" s="74"/>
      <c r="BO437" s="74"/>
      <c r="BP437" s="74"/>
      <c r="BQ437" s="74"/>
      <c r="BR437" s="74"/>
      <c r="BS437" s="74"/>
      <c r="BT437" s="74"/>
      <c r="BU437" s="74"/>
      <c r="BV437" s="74"/>
      <c r="BW437" s="74"/>
      <c r="BX437" s="74"/>
      <c r="BY437" s="74"/>
      <c r="BZ437" s="74"/>
    </row>
    <row r="438">
      <c r="L438" s="2"/>
      <c r="BM438" s="73"/>
      <c r="BN438" s="74"/>
      <c r="BO438" s="74"/>
      <c r="BP438" s="74"/>
      <c r="BQ438" s="74"/>
      <c r="BR438" s="74"/>
      <c r="BS438" s="74"/>
      <c r="BT438" s="74"/>
      <c r="BU438" s="74"/>
      <c r="BV438" s="74"/>
      <c r="BW438" s="74"/>
      <c r="BX438" s="74"/>
      <c r="BY438" s="74"/>
      <c r="BZ438" s="74"/>
    </row>
    <row r="439">
      <c r="L439" s="2"/>
      <c r="BM439" s="73"/>
      <c r="BN439" s="74"/>
      <c r="BO439" s="74"/>
      <c r="BP439" s="74"/>
      <c r="BQ439" s="74"/>
      <c r="BR439" s="74"/>
      <c r="BS439" s="74"/>
      <c r="BT439" s="74"/>
      <c r="BU439" s="74"/>
      <c r="BV439" s="74"/>
      <c r="BW439" s="74"/>
      <c r="BX439" s="74"/>
      <c r="BY439" s="74"/>
      <c r="BZ439" s="74"/>
    </row>
    <row r="440">
      <c r="L440" s="2"/>
      <c r="BM440" s="73"/>
      <c r="BN440" s="74"/>
      <c r="BO440" s="74"/>
      <c r="BP440" s="74"/>
      <c r="BQ440" s="74"/>
      <c r="BR440" s="74"/>
      <c r="BS440" s="74"/>
      <c r="BT440" s="74"/>
      <c r="BU440" s="74"/>
      <c r="BV440" s="74"/>
      <c r="BW440" s="74"/>
      <c r="BX440" s="74"/>
      <c r="BY440" s="74"/>
      <c r="BZ440" s="74"/>
    </row>
    <row r="441">
      <c r="L441" s="2"/>
      <c r="BM441" s="73"/>
      <c r="BN441" s="74"/>
      <c r="BO441" s="74"/>
      <c r="BP441" s="74"/>
      <c r="BQ441" s="74"/>
      <c r="BR441" s="74"/>
      <c r="BS441" s="74"/>
      <c r="BT441" s="74"/>
      <c r="BU441" s="74"/>
      <c r="BV441" s="74"/>
      <c r="BW441" s="74"/>
      <c r="BX441" s="74"/>
      <c r="BY441" s="74"/>
      <c r="BZ441" s="74"/>
    </row>
    <row r="442">
      <c r="L442" s="2"/>
      <c r="BM442" s="73"/>
      <c r="BN442" s="74"/>
      <c r="BO442" s="74"/>
      <c r="BP442" s="74"/>
      <c r="BQ442" s="74"/>
      <c r="BR442" s="74"/>
      <c r="BS442" s="74"/>
      <c r="BT442" s="74"/>
      <c r="BU442" s="74"/>
      <c r="BV442" s="74"/>
      <c r="BW442" s="74"/>
      <c r="BX442" s="74"/>
      <c r="BY442" s="74"/>
      <c r="BZ442" s="74"/>
    </row>
    <row r="443">
      <c r="L443" s="2"/>
      <c r="BM443" s="73"/>
      <c r="BN443" s="74"/>
      <c r="BO443" s="74"/>
      <c r="BP443" s="74"/>
      <c r="BQ443" s="74"/>
      <c r="BR443" s="74"/>
      <c r="BS443" s="74"/>
      <c r="BT443" s="74"/>
      <c r="BU443" s="74"/>
      <c r="BV443" s="74"/>
      <c r="BW443" s="74"/>
      <c r="BX443" s="74"/>
      <c r="BY443" s="74"/>
      <c r="BZ443" s="74"/>
    </row>
    <row r="444">
      <c r="L444" s="2"/>
      <c r="BM444" s="73"/>
      <c r="BN444" s="74"/>
      <c r="BO444" s="74"/>
      <c r="BP444" s="74"/>
      <c r="BQ444" s="74"/>
      <c r="BR444" s="74"/>
      <c r="BS444" s="74"/>
      <c r="BT444" s="74"/>
      <c r="BU444" s="74"/>
      <c r="BV444" s="74"/>
      <c r="BW444" s="74"/>
      <c r="BX444" s="74"/>
      <c r="BY444" s="74"/>
      <c r="BZ444" s="74"/>
    </row>
    <row r="445">
      <c r="L445" s="2"/>
      <c r="BM445" s="73"/>
      <c r="BN445" s="74"/>
      <c r="BO445" s="74"/>
      <c r="BP445" s="74"/>
      <c r="BQ445" s="74"/>
      <c r="BR445" s="74"/>
      <c r="BS445" s="74"/>
      <c r="BT445" s="74"/>
      <c r="BU445" s="74"/>
      <c r="BV445" s="74"/>
      <c r="BW445" s="74"/>
      <c r="BX445" s="74"/>
      <c r="BY445" s="74"/>
      <c r="BZ445" s="74"/>
    </row>
    <row r="446">
      <c r="L446" s="2"/>
      <c r="BM446" s="73"/>
      <c r="BN446" s="74"/>
      <c r="BO446" s="74"/>
      <c r="BP446" s="74"/>
      <c r="BQ446" s="74"/>
      <c r="BR446" s="74"/>
      <c r="BS446" s="74"/>
      <c r="BT446" s="74"/>
      <c r="BU446" s="74"/>
      <c r="BV446" s="74"/>
      <c r="BW446" s="74"/>
      <c r="BX446" s="74"/>
      <c r="BY446" s="74"/>
      <c r="BZ446" s="74"/>
    </row>
    <row r="447">
      <c r="L447" s="2"/>
      <c r="BM447" s="73"/>
      <c r="BN447" s="74"/>
      <c r="BO447" s="74"/>
      <c r="BP447" s="74"/>
      <c r="BQ447" s="74"/>
      <c r="BR447" s="74"/>
      <c r="BS447" s="74"/>
      <c r="BT447" s="74"/>
      <c r="BU447" s="74"/>
      <c r="BV447" s="74"/>
      <c r="BW447" s="74"/>
      <c r="BX447" s="74"/>
      <c r="BY447" s="74"/>
      <c r="BZ447" s="74"/>
    </row>
    <row r="448">
      <c r="L448" s="2"/>
      <c r="BM448" s="73"/>
      <c r="BN448" s="74"/>
      <c r="BO448" s="74"/>
      <c r="BP448" s="74"/>
      <c r="BQ448" s="74"/>
      <c r="BR448" s="74"/>
      <c r="BS448" s="74"/>
      <c r="BT448" s="74"/>
      <c r="BU448" s="74"/>
      <c r="BV448" s="74"/>
      <c r="BW448" s="74"/>
      <c r="BX448" s="74"/>
      <c r="BY448" s="74"/>
      <c r="BZ448" s="74"/>
    </row>
    <row r="449">
      <c r="L449" s="2"/>
      <c r="BM449" s="73"/>
      <c r="BN449" s="74"/>
      <c r="BO449" s="74"/>
      <c r="BP449" s="74"/>
      <c r="BQ449" s="74"/>
      <c r="BR449" s="74"/>
      <c r="BS449" s="74"/>
      <c r="BT449" s="74"/>
      <c r="BU449" s="74"/>
      <c r="BV449" s="74"/>
      <c r="BW449" s="74"/>
      <c r="BX449" s="74"/>
      <c r="BY449" s="74"/>
      <c r="BZ449" s="74"/>
    </row>
    <row r="450">
      <c r="L450" s="2"/>
      <c r="BM450" s="73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</row>
    <row r="451">
      <c r="L451" s="2"/>
      <c r="BM451" s="73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</row>
    <row r="452">
      <c r="L452" s="2"/>
      <c r="BM452" s="73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</row>
    <row r="453">
      <c r="L453" s="2"/>
      <c r="BM453" s="73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</row>
    <row r="454">
      <c r="L454" s="2"/>
      <c r="BM454" s="73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</row>
    <row r="455">
      <c r="L455" s="2"/>
      <c r="BM455" s="73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</row>
    <row r="456">
      <c r="L456" s="2"/>
      <c r="BM456" s="73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</row>
    <row r="457">
      <c r="L457" s="2"/>
      <c r="BM457" s="73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</row>
    <row r="458">
      <c r="L458" s="2"/>
      <c r="BM458" s="73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</row>
    <row r="459">
      <c r="L459" s="2"/>
      <c r="BM459" s="73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</row>
    <row r="460">
      <c r="L460" s="2"/>
      <c r="BM460" s="73"/>
      <c r="BN460" s="74"/>
      <c r="BO460" s="74"/>
      <c r="BP460" s="74"/>
      <c r="BQ460" s="74"/>
      <c r="BR460" s="74"/>
      <c r="BS460" s="74"/>
      <c r="BT460" s="74"/>
      <c r="BU460" s="74"/>
      <c r="BV460" s="74"/>
      <c r="BW460" s="74"/>
      <c r="BX460" s="74"/>
      <c r="BY460" s="74"/>
      <c r="BZ460" s="74"/>
    </row>
    <row r="461">
      <c r="L461" s="2"/>
      <c r="BM461" s="73"/>
      <c r="BN461" s="74"/>
      <c r="BO461" s="74"/>
      <c r="BP461" s="74"/>
      <c r="BQ461" s="74"/>
      <c r="BR461" s="74"/>
      <c r="BS461" s="74"/>
      <c r="BT461" s="74"/>
      <c r="BU461" s="74"/>
      <c r="BV461" s="74"/>
      <c r="BW461" s="74"/>
      <c r="BX461" s="74"/>
      <c r="BY461" s="74"/>
      <c r="BZ461" s="74"/>
    </row>
    <row r="462">
      <c r="L462" s="2"/>
      <c r="BM462" s="73"/>
      <c r="BN462" s="74"/>
      <c r="BO462" s="74"/>
      <c r="BP462" s="74"/>
      <c r="BQ462" s="74"/>
      <c r="BR462" s="74"/>
      <c r="BS462" s="74"/>
      <c r="BT462" s="74"/>
      <c r="BU462" s="74"/>
      <c r="BV462" s="74"/>
      <c r="BW462" s="74"/>
      <c r="BX462" s="74"/>
      <c r="BY462" s="74"/>
      <c r="BZ462" s="74"/>
    </row>
    <row r="463">
      <c r="L463" s="2"/>
      <c r="BM463" s="73"/>
      <c r="BN463" s="74"/>
      <c r="BO463" s="74"/>
      <c r="BP463" s="74"/>
      <c r="BQ463" s="74"/>
      <c r="BR463" s="74"/>
      <c r="BS463" s="74"/>
      <c r="BT463" s="74"/>
      <c r="BU463" s="74"/>
      <c r="BV463" s="74"/>
      <c r="BW463" s="74"/>
      <c r="BX463" s="74"/>
      <c r="BY463" s="74"/>
      <c r="BZ463" s="74"/>
    </row>
    <row r="464">
      <c r="L464" s="2"/>
      <c r="BM464" s="73"/>
      <c r="BN464" s="74"/>
      <c r="BO464" s="74"/>
      <c r="BP464" s="74"/>
      <c r="BQ464" s="74"/>
      <c r="BR464" s="74"/>
      <c r="BS464" s="74"/>
      <c r="BT464" s="74"/>
      <c r="BU464" s="74"/>
      <c r="BV464" s="74"/>
      <c r="BW464" s="74"/>
      <c r="BX464" s="74"/>
      <c r="BY464" s="74"/>
      <c r="BZ464" s="74"/>
    </row>
    <row r="465">
      <c r="L465" s="2"/>
      <c r="BM465" s="73"/>
      <c r="BN465" s="74"/>
      <c r="BO465" s="74"/>
      <c r="BP465" s="74"/>
      <c r="BQ465" s="74"/>
      <c r="BR465" s="74"/>
      <c r="BS465" s="74"/>
      <c r="BT465" s="74"/>
      <c r="BU465" s="74"/>
      <c r="BV465" s="74"/>
      <c r="BW465" s="74"/>
      <c r="BX465" s="74"/>
      <c r="BY465" s="74"/>
      <c r="BZ465" s="74"/>
    </row>
    <row r="466">
      <c r="L466" s="2"/>
      <c r="BM466" s="73"/>
      <c r="BN466" s="74"/>
      <c r="BO466" s="74"/>
      <c r="BP466" s="74"/>
      <c r="BQ466" s="74"/>
      <c r="BR466" s="74"/>
      <c r="BS466" s="74"/>
      <c r="BT466" s="74"/>
      <c r="BU466" s="74"/>
      <c r="BV466" s="74"/>
      <c r="BW466" s="74"/>
      <c r="BX466" s="74"/>
      <c r="BY466" s="74"/>
      <c r="BZ466" s="74"/>
    </row>
    <row r="467">
      <c r="L467" s="2"/>
      <c r="BM467" s="73"/>
      <c r="BN467" s="74"/>
      <c r="BO467" s="74"/>
      <c r="BP467" s="74"/>
      <c r="BQ467" s="74"/>
      <c r="BR467" s="74"/>
      <c r="BS467" s="74"/>
      <c r="BT467" s="74"/>
      <c r="BU467" s="74"/>
      <c r="BV467" s="74"/>
      <c r="BW467" s="74"/>
      <c r="BX467" s="74"/>
      <c r="BY467" s="74"/>
      <c r="BZ467" s="74"/>
    </row>
    <row r="468">
      <c r="L468" s="2"/>
      <c r="BM468" s="73"/>
      <c r="BN468" s="74"/>
      <c r="BO468" s="74"/>
      <c r="BP468" s="74"/>
      <c r="BQ468" s="74"/>
      <c r="BR468" s="74"/>
      <c r="BS468" s="74"/>
      <c r="BT468" s="74"/>
      <c r="BU468" s="74"/>
      <c r="BV468" s="74"/>
      <c r="BW468" s="74"/>
      <c r="BX468" s="74"/>
      <c r="BY468" s="74"/>
      <c r="BZ468" s="74"/>
    </row>
    <row r="469">
      <c r="L469" s="2"/>
      <c r="BM469" s="73"/>
      <c r="BN469" s="74"/>
      <c r="BO469" s="74"/>
      <c r="BP469" s="74"/>
      <c r="BQ469" s="74"/>
      <c r="BR469" s="74"/>
      <c r="BS469" s="74"/>
      <c r="BT469" s="74"/>
      <c r="BU469" s="74"/>
      <c r="BV469" s="74"/>
      <c r="BW469" s="74"/>
      <c r="BX469" s="74"/>
      <c r="BY469" s="74"/>
      <c r="BZ469" s="74"/>
    </row>
    <row r="470">
      <c r="L470" s="2"/>
      <c r="BM470" s="73"/>
      <c r="BN470" s="74"/>
      <c r="BO470" s="74"/>
      <c r="BP470" s="74"/>
      <c r="BQ470" s="74"/>
      <c r="BR470" s="74"/>
      <c r="BS470" s="74"/>
      <c r="BT470" s="74"/>
      <c r="BU470" s="74"/>
      <c r="BV470" s="74"/>
      <c r="BW470" s="74"/>
      <c r="BX470" s="74"/>
      <c r="BY470" s="74"/>
      <c r="BZ470" s="74"/>
    </row>
    <row r="471">
      <c r="L471" s="2"/>
      <c r="BM471" s="73"/>
      <c r="BN471" s="74"/>
      <c r="BO471" s="74"/>
      <c r="BP471" s="74"/>
      <c r="BQ471" s="74"/>
      <c r="BR471" s="74"/>
      <c r="BS471" s="74"/>
      <c r="BT471" s="74"/>
      <c r="BU471" s="74"/>
      <c r="BV471" s="74"/>
      <c r="BW471" s="74"/>
      <c r="BX471" s="74"/>
      <c r="BY471" s="74"/>
      <c r="BZ471" s="74"/>
    </row>
    <row r="472">
      <c r="L472" s="2"/>
      <c r="BM472" s="73"/>
      <c r="BN472" s="74"/>
      <c r="BO472" s="74"/>
      <c r="BP472" s="74"/>
      <c r="BQ472" s="74"/>
      <c r="BR472" s="74"/>
      <c r="BS472" s="74"/>
      <c r="BT472" s="74"/>
      <c r="BU472" s="74"/>
      <c r="BV472" s="74"/>
      <c r="BW472" s="74"/>
      <c r="BX472" s="74"/>
      <c r="BY472" s="74"/>
      <c r="BZ472" s="74"/>
    </row>
    <row r="473">
      <c r="L473" s="2"/>
      <c r="BM473" s="73"/>
      <c r="BN473" s="74"/>
      <c r="BO473" s="74"/>
      <c r="BP473" s="74"/>
      <c r="BQ473" s="74"/>
      <c r="BR473" s="74"/>
      <c r="BS473" s="74"/>
      <c r="BT473" s="74"/>
      <c r="BU473" s="74"/>
      <c r="BV473" s="74"/>
      <c r="BW473" s="74"/>
      <c r="BX473" s="74"/>
      <c r="BY473" s="74"/>
      <c r="BZ473" s="74"/>
    </row>
    <row r="474">
      <c r="L474" s="2"/>
      <c r="BM474" s="73"/>
      <c r="BN474" s="74"/>
      <c r="BO474" s="74"/>
      <c r="BP474" s="74"/>
      <c r="BQ474" s="74"/>
      <c r="BR474" s="74"/>
      <c r="BS474" s="74"/>
      <c r="BT474" s="74"/>
      <c r="BU474" s="74"/>
      <c r="BV474" s="74"/>
      <c r="BW474" s="74"/>
      <c r="BX474" s="74"/>
      <c r="BY474" s="74"/>
      <c r="BZ474" s="74"/>
    </row>
    <row r="475">
      <c r="L475" s="2"/>
      <c r="BM475" s="73"/>
      <c r="BN475" s="74"/>
      <c r="BO475" s="74"/>
      <c r="BP475" s="74"/>
      <c r="BQ475" s="74"/>
      <c r="BR475" s="74"/>
      <c r="BS475" s="74"/>
      <c r="BT475" s="74"/>
      <c r="BU475" s="74"/>
      <c r="BV475" s="74"/>
      <c r="BW475" s="74"/>
      <c r="BX475" s="74"/>
      <c r="BY475" s="74"/>
      <c r="BZ475" s="74"/>
    </row>
    <row r="476">
      <c r="L476" s="2"/>
      <c r="BM476" s="73"/>
      <c r="BN476" s="74"/>
      <c r="BO476" s="74"/>
      <c r="BP476" s="74"/>
      <c r="BQ476" s="74"/>
      <c r="BR476" s="74"/>
      <c r="BS476" s="74"/>
      <c r="BT476" s="74"/>
      <c r="BU476" s="74"/>
      <c r="BV476" s="74"/>
      <c r="BW476" s="74"/>
      <c r="BX476" s="74"/>
      <c r="BY476" s="74"/>
      <c r="BZ476" s="74"/>
    </row>
    <row r="477">
      <c r="L477" s="2"/>
      <c r="BM477" s="73"/>
      <c r="BN477" s="74"/>
      <c r="BO477" s="74"/>
      <c r="BP477" s="74"/>
      <c r="BQ477" s="74"/>
      <c r="BR477" s="74"/>
      <c r="BS477" s="74"/>
      <c r="BT477" s="74"/>
      <c r="BU477" s="74"/>
      <c r="BV477" s="74"/>
      <c r="BW477" s="74"/>
      <c r="BX477" s="74"/>
      <c r="BY477" s="74"/>
      <c r="BZ477" s="74"/>
    </row>
    <row r="478">
      <c r="L478" s="2"/>
      <c r="BM478" s="73"/>
      <c r="BN478" s="74"/>
      <c r="BO478" s="74"/>
      <c r="BP478" s="74"/>
      <c r="BQ478" s="74"/>
      <c r="BR478" s="74"/>
      <c r="BS478" s="74"/>
      <c r="BT478" s="74"/>
      <c r="BU478" s="74"/>
      <c r="BV478" s="74"/>
      <c r="BW478" s="74"/>
      <c r="BX478" s="74"/>
      <c r="BY478" s="74"/>
      <c r="BZ478" s="74"/>
    </row>
    <row r="479">
      <c r="L479" s="2"/>
      <c r="BM479" s="73"/>
      <c r="BN479" s="74"/>
      <c r="BO479" s="74"/>
      <c r="BP479" s="74"/>
      <c r="BQ479" s="74"/>
      <c r="BR479" s="74"/>
      <c r="BS479" s="74"/>
      <c r="BT479" s="74"/>
      <c r="BU479" s="74"/>
      <c r="BV479" s="74"/>
      <c r="BW479" s="74"/>
      <c r="BX479" s="74"/>
      <c r="BY479" s="74"/>
      <c r="BZ479" s="74"/>
    </row>
    <row r="480">
      <c r="L480" s="2"/>
      <c r="BM480" s="73"/>
      <c r="BN480" s="74"/>
      <c r="BO480" s="74"/>
      <c r="BP480" s="74"/>
      <c r="BQ480" s="74"/>
      <c r="BR480" s="74"/>
      <c r="BS480" s="74"/>
      <c r="BT480" s="74"/>
      <c r="BU480" s="74"/>
      <c r="BV480" s="74"/>
      <c r="BW480" s="74"/>
      <c r="BX480" s="74"/>
      <c r="BY480" s="74"/>
      <c r="BZ480" s="74"/>
    </row>
    <row r="481">
      <c r="L481" s="2"/>
      <c r="BM481" s="73"/>
      <c r="BN481" s="74"/>
      <c r="BO481" s="74"/>
      <c r="BP481" s="74"/>
      <c r="BQ481" s="74"/>
      <c r="BR481" s="74"/>
      <c r="BS481" s="74"/>
      <c r="BT481" s="74"/>
      <c r="BU481" s="74"/>
      <c r="BV481" s="74"/>
      <c r="BW481" s="74"/>
      <c r="BX481" s="74"/>
      <c r="BY481" s="74"/>
      <c r="BZ481" s="74"/>
    </row>
    <row r="482">
      <c r="L482" s="2"/>
      <c r="BM482" s="73"/>
      <c r="BN482" s="74"/>
      <c r="BO482" s="74"/>
      <c r="BP482" s="74"/>
      <c r="BQ482" s="74"/>
      <c r="BR482" s="74"/>
      <c r="BS482" s="74"/>
      <c r="BT482" s="74"/>
      <c r="BU482" s="74"/>
      <c r="BV482" s="74"/>
      <c r="BW482" s="74"/>
      <c r="BX482" s="74"/>
      <c r="BY482" s="74"/>
      <c r="BZ482" s="74"/>
    </row>
    <row r="483">
      <c r="L483" s="2"/>
      <c r="BM483" s="73"/>
      <c r="BN483" s="74"/>
      <c r="BO483" s="74"/>
      <c r="BP483" s="74"/>
      <c r="BQ483" s="74"/>
      <c r="BR483" s="74"/>
      <c r="BS483" s="74"/>
      <c r="BT483" s="74"/>
      <c r="BU483" s="74"/>
      <c r="BV483" s="74"/>
      <c r="BW483" s="74"/>
      <c r="BX483" s="74"/>
      <c r="BY483" s="74"/>
      <c r="BZ483" s="74"/>
    </row>
    <row r="484">
      <c r="L484" s="2"/>
      <c r="BM484" s="73"/>
      <c r="BN484" s="74"/>
      <c r="BO484" s="74"/>
      <c r="BP484" s="74"/>
      <c r="BQ484" s="74"/>
      <c r="BR484" s="74"/>
      <c r="BS484" s="74"/>
      <c r="BT484" s="74"/>
      <c r="BU484" s="74"/>
      <c r="BV484" s="74"/>
      <c r="BW484" s="74"/>
      <c r="BX484" s="74"/>
      <c r="BY484" s="74"/>
      <c r="BZ484" s="74"/>
    </row>
    <row r="485">
      <c r="L485" s="2"/>
      <c r="BM485" s="73"/>
      <c r="BN485" s="74"/>
      <c r="BO485" s="74"/>
      <c r="BP485" s="74"/>
      <c r="BQ485" s="74"/>
      <c r="BR485" s="74"/>
      <c r="BS485" s="74"/>
      <c r="BT485" s="74"/>
      <c r="BU485" s="74"/>
      <c r="BV485" s="74"/>
      <c r="BW485" s="74"/>
      <c r="BX485" s="74"/>
      <c r="BY485" s="74"/>
      <c r="BZ485" s="74"/>
    </row>
    <row r="486">
      <c r="L486" s="2"/>
      <c r="BM486" s="73"/>
      <c r="BN486" s="74"/>
      <c r="BO486" s="74"/>
      <c r="BP486" s="74"/>
      <c r="BQ486" s="74"/>
      <c r="BR486" s="74"/>
      <c r="BS486" s="74"/>
      <c r="BT486" s="74"/>
      <c r="BU486" s="74"/>
      <c r="BV486" s="74"/>
      <c r="BW486" s="74"/>
      <c r="BX486" s="74"/>
      <c r="BY486" s="74"/>
      <c r="BZ486" s="74"/>
    </row>
    <row r="487">
      <c r="L487" s="2"/>
      <c r="BM487" s="73"/>
      <c r="BN487" s="74"/>
      <c r="BO487" s="74"/>
      <c r="BP487" s="74"/>
      <c r="BQ487" s="74"/>
      <c r="BR487" s="74"/>
      <c r="BS487" s="74"/>
      <c r="BT487" s="74"/>
      <c r="BU487" s="74"/>
      <c r="BV487" s="74"/>
      <c r="BW487" s="74"/>
      <c r="BX487" s="74"/>
      <c r="BY487" s="74"/>
      <c r="BZ487" s="74"/>
    </row>
    <row r="488">
      <c r="L488" s="2"/>
      <c r="BM488" s="73"/>
      <c r="BN488" s="74"/>
      <c r="BO488" s="74"/>
      <c r="BP488" s="74"/>
      <c r="BQ488" s="74"/>
      <c r="BR488" s="74"/>
      <c r="BS488" s="74"/>
      <c r="BT488" s="74"/>
      <c r="BU488" s="74"/>
      <c r="BV488" s="74"/>
      <c r="BW488" s="74"/>
      <c r="BX488" s="74"/>
      <c r="BY488" s="74"/>
      <c r="BZ488" s="74"/>
    </row>
    <row r="489">
      <c r="L489" s="2"/>
      <c r="BM489" s="73"/>
      <c r="BN489" s="74"/>
      <c r="BO489" s="74"/>
      <c r="BP489" s="74"/>
      <c r="BQ489" s="74"/>
      <c r="BR489" s="74"/>
      <c r="BS489" s="74"/>
      <c r="BT489" s="74"/>
      <c r="BU489" s="74"/>
      <c r="BV489" s="74"/>
      <c r="BW489" s="74"/>
      <c r="BX489" s="74"/>
      <c r="BY489" s="74"/>
      <c r="BZ489" s="74"/>
    </row>
    <row r="490">
      <c r="L490" s="2"/>
      <c r="BM490" s="73"/>
      <c r="BN490" s="74"/>
      <c r="BO490" s="74"/>
      <c r="BP490" s="74"/>
      <c r="BQ490" s="74"/>
      <c r="BR490" s="74"/>
      <c r="BS490" s="74"/>
      <c r="BT490" s="74"/>
      <c r="BU490" s="74"/>
      <c r="BV490" s="74"/>
      <c r="BW490" s="74"/>
      <c r="BX490" s="74"/>
      <c r="BY490" s="74"/>
      <c r="BZ490" s="74"/>
    </row>
    <row r="491">
      <c r="L491" s="2"/>
      <c r="BM491" s="73"/>
      <c r="BN491" s="74"/>
      <c r="BO491" s="74"/>
      <c r="BP491" s="74"/>
      <c r="BQ491" s="74"/>
      <c r="BR491" s="74"/>
      <c r="BS491" s="74"/>
      <c r="BT491" s="74"/>
      <c r="BU491" s="74"/>
      <c r="BV491" s="74"/>
      <c r="BW491" s="74"/>
      <c r="BX491" s="74"/>
      <c r="BY491" s="74"/>
      <c r="BZ491" s="74"/>
    </row>
    <row r="492">
      <c r="L492" s="2"/>
      <c r="BM492" s="73"/>
      <c r="BN492" s="74"/>
      <c r="BO492" s="74"/>
      <c r="BP492" s="74"/>
      <c r="BQ492" s="74"/>
      <c r="BR492" s="74"/>
      <c r="BS492" s="74"/>
      <c r="BT492" s="74"/>
      <c r="BU492" s="74"/>
      <c r="BV492" s="74"/>
      <c r="BW492" s="74"/>
      <c r="BX492" s="74"/>
      <c r="BY492" s="74"/>
      <c r="BZ492" s="74"/>
    </row>
    <row r="493">
      <c r="L493" s="2"/>
      <c r="BM493" s="73"/>
      <c r="BN493" s="74"/>
      <c r="BO493" s="74"/>
      <c r="BP493" s="74"/>
      <c r="BQ493" s="74"/>
      <c r="BR493" s="74"/>
      <c r="BS493" s="74"/>
      <c r="BT493" s="74"/>
      <c r="BU493" s="74"/>
      <c r="BV493" s="74"/>
      <c r="BW493" s="74"/>
      <c r="BX493" s="74"/>
      <c r="BY493" s="74"/>
      <c r="BZ493" s="74"/>
    </row>
    <row r="494">
      <c r="L494" s="2"/>
      <c r="BM494" s="73"/>
      <c r="BN494" s="74"/>
      <c r="BO494" s="74"/>
      <c r="BP494" s="74"/>
      <c r="BQ494" s="74"/>
      <c r="BR494" s="74"/>
      <c r="BS494" s="74"/>
      <c r="BT494" s="74"/>
      <c r="BU494" s="74"/>
      <c r="BV494" s="74"/>
      <c r="BW494" s="74"/>
      <c r="BX494" s="74"/>
      <c r="BY494" s="74"/>
      <c r="BZ494" s="74"/>
    </row>
    <row r="495">
      <c r="L495" s="2"/>
      <c r="BM495" s="73"/>
      <c r="BN495" s="74"/>
      <c r="BO495" s="74"/>
      <c r="BP495" s="74"/>
      <c r="BQ495" s="74"/>
      <c r="BR495" s="74"/>
      <c r="BS495" s="74"/>
      <c r="BT495" s="74"/>
      <c r="BU495" s="74"/>
      <c r="BV495" s="74"/>
      <c r="BW495" s="74"/>
      <c r="BX495" s="74"/>
      <c r="BY495" s="74"/>
      <c r="BZ495" s="74"/>
    </row>
    <row r="496">
      <c r="L496" s="2"/>
      <c r="BM496" s="73"/>
      <c r="BN496" s="74"/>
      <c r="BO496" s="74"/>
      <c r="BP496" s="74"/>
      <c r="BQ496" s="74"/>
      <c r="BR496" s="74"/>
      <c r="BS496" s="74"/>
      <c r="BT496" s="74"/>
      <c r="BU496" s="74"/>
      <c r="BV496" s="74"/>
      <c r="BW496" s="74"/>
      <c r="BX496" s="74"/>
      <c r="BY496" s="74"/>
      <c r="BZ496" s="74"/>
    </row>
    <row r="497">
      <c r="L497" s="2"/>
      <c r="BM497" s="73"/>
      <c r="BN497" s="74"/>
      <c r="BO497" s="74"/>
      <c r="BP497" s="74"/>
      <c r="BQ497" s="74"/>
      <c r="BR497" s="74"/>
      <c r="BS497" s="74"/>
      <c r="BT497" s="74"/>
      <c r="BU497" s="74"/>
      <c r="BV497" s="74"/>
      <c r="BW497" s="74"/>
      <c r="BX497" s="74"/>
      <c r="BY497" s="74"/>
      <c r="BZ497" s="74"/>
    </row>
    <row r="498">
      <c r="L498" s="2"/>
      <c r="BM498" s="73"/>
      <c r="BN498" s="74"/>
      <c r="BO498" s="74"/>
      <c r="BP498" s="74"/>
      <c r="BQ498" s="74"/>
      <c r="BR498" s="74"/>
      <c r="BS498" s="74"/>
      <c r="BT498" s="74"/>
      <c r="BU498" s="74"/>
      <c r="BV498" s="74"/>
      <c r="BW498" s="74"/>
      <c r="BX498" s="74"/>
      <c r="BY498" s="74"/>
      <c r="BZ498" s="74"/>
    </row>
    <row r="499">
      <c r="L499" s="2"/>
      <c r="BM499" s="73"/>
      <c r="BN499" s="74"/>
      <c r="BO499" s="74"/>
      <c r="BP499" s="74"/>
      <c r="BQ499" s="74"/>
      <c r="BR499" s="74"/>
      <c r="BS499" s="74"/>
      <c r="BT499" s="74"/>
      <c r="BU499" s="74"/>
      <c r="BV499" s="74"/>
      <c r="BW499" s="74"/>
      <c r="BX499" s="74"/>
      <c r="BY499" s="74"/>
      <c r="BZ499" s="74"/>
    </row>
    <row r="500">
      <c r="L500" s="2"/>
      <c r="BM500" s="73"/>
      <c r="BN500" s="74"/>
      <c r="BO500" s="74"/>
      <c r="BP500" s="74"/>
      <c r="BQ500" s="74"/>
      <c r="BR500" s="74"/>
      <c r="BS500" s="74"/>
      <c r="BT500" s="74"/>
      <c r="BU500" s="74"/>
      <c r="BV500" s="74"/>
      <c r="BW500" s="74"/>
      <c r="BX500" s="74"/>
      <c r="BY500" s="74"/>
      <c r="BZ500" s="74"/>
    </row>
    <row r="501">
      <c r="L501" s="2"/>
      <c r="BM501" s="73"/>
      <c r="BN501" s="74"/>
      <c r="BO501" s="74"/>
      <c r="BP501" s="74"/>
      <c r="BQ501" s="74"/>
      <c r="BR501" s="74"/>
      <c r="BS501" s="74"/>
      <c r="BT501" s="74"/>
      <c r="BU501" s="74"/>
      <c r="BV501" s="74"/>
      <c r="BW501" s="74"/>
      <c r="BX501" s="74"/>
      <c r="BY501" s="74"/>
      <c r="BZ501" s="74"/>
    </row>
    <row r="502">
      <c r="L502" s="2"/>
      <c r="BM502" s="73"/>
      <c r="BN502" s="74"/>
      <c r="BO502" s="74"/>
      <c r="BP502" s="74"/>
      <c r="BQ502" s="74"/>
      <c r="BR502" s="74"/>
      <c r="BS502" s="74"/>
      <c r="BT502" s="74"/>
      <c r="BU502" s="74"/>
      <c r="BV502" s="74"/>
      <c r="BW502" s="74"/>
      <c r="BX502" s="74"/>
      <c r="BY502" s="74"/>
      <c r="BZ502" s="74"/>
    </row>
    <row r="503">
      <c r="L503" s="2"/>
      <c r="BM503" s="73"/>
      <c r="BN503" s="74"/>
      <c r="BO503" s="74"/>
      <c r="BP503" s="74"/>
      <c r="BQ503" s="74"/>
      <c r="BR503" s="74"/>
      <c r="BS503" s="74"/>
      <c r="BT503" s="74"/>
      <c r="BU503" s="74"/>
      <c r="BV503" s="74"/>
      <c r="BW503" s="74"/>
      <c r="BX503" s="74"/>
      <c r="BY503" s="74"/>
      <c r="BZ503" s="74"/>
    </row>
    <row r="504">
      <c r="L504" s="2"/>
      <c r="BM504" s="73"/>
      <c r="BN504" s="74"/>
      <c r="BO504" s="74"/>
      <c r="BP504" s="74"/>
      <c r="BQ504" s="74"/>
      <c r="BR504" s="74"/>
      <c r="BS504" s="74"/>
      <c r="BT504" s="74"/>
      <c r="BU504" s="74"/>
      <c r="BV504" s="74"/>
      <c r="BW504" s="74"/>
      <c r="BX504" s="74"/>
      <c r="BY504" s="74"/>
      <c r="BZ504" s="74"/>
    </row>
    <row r="505">
      <c r="L505" s="2"/>
      <c r="BM505" s="73"/>
      <c r="BN505" s="74"/>
      <c r="BO505" s="74"/>
      <c r="BP505" s="74"/>
      <c r="BQ505" s="74"/>
      <c r="BR505" s="74"/>
      <c r="BS505" s="74"/>
      <c r="BT505" s="74"/>
      <c r="BU505" s="74"/>
      <c r="BV505" s="74"/>
      <c r="BW505" s="74"/>
      <c r="BX505" s="74"/>
      <c r="BY505" s="74"/>
      <c r="BZ505" s="74"/>
    </row>
    <row r="506">
      <c r="L506" s="2"/>
      <c r="BM506" s="73"/>
      <c r="BN506" s="74"/>
      <c r="BO506" s="74"/>
      <c r="BP506" s="74"/>
      <c r="BQ506" s="74"/>
      <c r="BR506" s="74"/>
      <c r="BS506" s="74"/>
      <c r="BT506" s="74"/>
      <c r="BU506" s="74"/>
      <c r="BV506" s="74"/>
      <c r="BW506" s="74"/>
      <c r="BX506" s="74"/>
      <c r="BY506" s="74"/>
      <c r="BZ506" s="74"/>
    </row>
    <row r="507">
      <c r="L507" s="2"/>
      <c r="BM507" s="73"/>
      <c r="BN507" s="74"/>
      <c r="BO507" s="74"/>
      <c r="BP507" s="74"/>
      <c r="BQ507" s="74"/>
      <c r="BR507" s="74"/>
      <c r="BS507" s="74"/>
      <c r="BT507" s="74"/>
      <c r="BU507" s="74"/>
      <c r="BV507" s="74"/>
      <c r="BW507" s="74"/>
      <c r="BX507" s="74"/>
      <c r="BY507" s="74"/>
      <c r="BZ507" s="74"/>
    </row>
    <row r="508">
      <c r="L508" s="2"/>
      <c r="BM508" s="73"/>
      <c r="BN508" s="74"/>
      <c r="BO508" s="74"/>
      <c r="BP508" s="74"/>
      <c r="BQ508" s="74"/>
      <c r="BR508" s="74"/>
      <c r="BS508" s="74"/>
      <c r="BT508" s="74"/>
      <c r="BU508" s="74"/>
      <c r="BV508" s="74"/>
      <c r="BW508" s="74"/>
      <c r="BX508" s="74"/>
      <c r="BY508" s="74"/>
      <c r="BZ508" s="74"/>
    </row>
    <row r="509">
      <c r="L509" s="2"/>
      <c r="BM509" s="73"/>
      <c r="BN509" s="74"/>
      <c r="BO509" s="74"/>
      <c r="BP509" s="74"/>
      <c r="BQ509" s="74"/>
      <c r="BR509" s="74"/>
      <c r="BS509" s="74"/>
      <c r="BT509" s="74"/>
      <c r="BU509" s="74"/>
      <c r="BV509" s="74"/>
      <c r="BW509" s="74"/>
      <c r="BX509" s="74"/>
      <c r="BY509" s="74"/>
      <c r="BZ509" s="74"/>
    </row>
    <row r="510">
      <c r="L510" s="2"/>
      <c r="BM510" s="73"/>
      <c r="BN510" s="74"/>
      <c r="BO510" s="74"/>
      <c r="BP510" s="74"/>
      <c r="BQ510" s="74"/>
      <c r="BR510" s="74"/>
      <c r="BS510" s="74"/>
      <c r="BT510" s="74"/>
      <c r="BU510" s="74"/>
      <c r="BV510" s="74"/>
      <c r="BW510" s="74"/>
      <c r="BX510" s="74"/>
      <c r="BY510" s="74"/>
      <c r="BZ510" s="74"/>
    </row>
    <row r="511">
      <c r="L511" s="2"/>
      <c r="BM511" s="73"/>
      <c r="BN511" s="74"/>
      <c r="BO511" s="74"/>
      <c r="BP511" s="74"/>
      <c r="BQ511" s="74"/>
      <c r="BR511" s="74"/>
      <c r="BS511" s="74"/>
      <c r="BT511" s="74"/>
      <c r="BU511" s="74"/>
      <c r="BV511" s="74"/>
      <c r="BW511" s="74"/>
      <c r="BX511" s="74"/>
      <c r="BY511" s="74"/>
      <c r="BZ511" s="74"/>
    </row>
    <row r="512">
      <c r="L512" s="2"/>
      <c r="BM512" s="73"/>
      <c r="BN512" s="74"/>
      <c r="BO512" s="74"/>
      <c r="BP512" s="74"/>
      <c r="BQ512" s="74"/>
      <c r="BR512" s="74"/>
      <c r="BS512" s="74"/>
      <c r="BT512" s="74"/>
      <c r="BU512" s="74"/>
      <c r="BV512" s="74"/>
      <c r="BW512" s="74"/>
      <c r="BX512" s="74"/>
      <c r="BY512" s="74"/>
      <c r="BZ512" s="74"/>
    </row>
    <row r="513">
      <c r="L513" s="2"/>
      <c r="BM513" s="73"/>
      <c r="BN513" s="74"/>
      <c r="BO513" s="74"/>
      <c r="BP513" s="74"/>
      <c r="BQ513" s="74"/>
      <c r="BR513" s="74"/>
      <c r="BS513" s="74"/>
      <c r="BT513" s="74"/>
      <c r="BU513" s="74"/>
      <c r="BV513" s="74"/>
      <c r="BW513" s="74"/>
      <c r="BX513" s="74"/>
      <c r="BY513" s="74"/>
      <c r="BZ513" s="74"/>
    </row>
    <row r="514">
      <c r="L514" s="2"/>
      <c r="BM514" s="73"/>
      <c r="BN514" s="74"/>
      <c r="BO514" s="74"/>
      <c r="BP514" s="74"/>
      <c r="BQ514" s="74"/>
      <c r="BR514" s="74"/>
      <c r="BS514" s="74"/>
      <c r="BT514" s="74"/>
      <c r="BU514" s="74"/>
      <c r="BV514" s="74"/>
      <c r="BW514" s="74"/>
      <c r="BX514" s="74"/>
      <c r="BY514" s="74"/>
      <c r="BZ514" s="74"/>
    </row>
    <row r="515">
      <c r="L515" s="2"/>
      <c r="BM515" s="73"/>
      <c r="BN515" s="74"/>
      <c r="BO515" s="74"/>
      <c r="BP515" s="74"/>
      <c r="BQ515" s="74"/>
      <c r="BR515" s="74"/>
      <c r="BS515" s="74"/>
      <c r="BT515" s="74"/>
      <c r="BU515" s="74"/>
      <c r="BV515" s="74"/>
      <c r="BW515" s="74"/>
      <c r="BX515" s="74"/>
      <c r="BY515" s="74"/>
      <c r="BZ515" s="74"/>
    </row>
    <row r="516">
      <c r="L516" s="2"/>
      <c r="BM516" s="73"/>
      <c r="BN516" s="74"/>
      <c r="BO516" s="74"/>
      <c r="BP516" s="74"/>
      <c r="BQ516" s="74"/>
      <c r="BR516" s="74"/>
      <c r="BS516" s="74"/>
      <c r="BT516" s="74"/>
      <c r="BU516" s="74"/>
      <c r="BV516" s="74"/>
      <c r="BW516" s="74"/>
      <c r="BX516" s="74"/>
      <c r="BY516" s="74"/>
      <c r="BZ516" s="74"/>
    </row>
    <row r="517">
      <c r="L517" s="2"/>
      <c r="BM517" s="73"/>
      <c r="BN517" s="74"/>
      <c r="BO517" s="74"/>
      <c r="BP517" s="74"/>
      <c r="BQ517" s="74"/>
      <c r="BR517" s="74"/>
      <c r="BS517" s="74"/>
      <c r="BT517" s="74"/>
      <c r="BU517" s="74"/>
      <c r="BV517" s="74"/>
      <c r="BW517" s="74"/>
      <c r="BX517" s="74"/>
      <c r="BY517" s="74"/>
      <c r="BZ517" s="74"/>
    </row>
    <row r="518">
      <c r="L518" s="2"/>
      <c r="BM518" s="73"/>
      <c r="BN518" s="74"/>
      <c r="BO518" s="74"/>
      <c r="BP518" s="74"/>
      <c r="BQ518" s="74"/>
      <c r="BR518" s="74"/>
      <c r="BS518" s="74"/>
      <c r="BT518" s="74"/>
      <c r="BU518" s="74"/>
      <c r="BV518" s="74"/>
      <c r="BW518" s="74"/>
      <c r="BX518" s="74"/>
      <c r="BY518" s="74"/>
      <c r="BZ518" s="74"/>
    </row>
    <row r="519">
      <c r="L519" s="2"/>
      <c r="BM519" s="73"/>
      <c r="BN519" s="74"/>
      <c r="BO519" s="74"/>
      <c r="BP519" s="74"/>
      <c r="BQ519" s="74"/>
      <c r="BR519" s="74"/>
      <c r="BS519" s="74"/>
      <c r="BT519" s="74"/>
      <c r="BU519" s="74"/>
      <c r="BV519" s="74"/>
      <c r="BW519" s="74"/>
      <c r="BX519" s="74"/>
      <c r="BY519" s="74"/>
      <c r="BZ519" s="74"/>
    </row>
    <row r="520">
      <c r="L520" s="2"/>
      <c r="BM520" s="73"/>
      <c r="BN520" s="74"/>
      <c r="BO520" s="74"/>
      <c r="BP520" s="74"/>
      <c r="BQ520" s="74"/>
      <c r="BR520" s="74"/>
      <c r="BS520" s="74"/>
      <c r="BT520" s="74"/>
      <c r="BU520" s="74"/>
      <c r="BV520" s="74"/>
      <c r="BW520" s="74"/>
      <c r="BX520" s="74"/>
      <c r="BY520" s="74"/>
      <c r="BZ520" s="74"/>
    </row>
    <row r="521">
      <c r="L521" s="2"/>
      <c r="BM521" s="73"/>
      <c r="BN521" s="74"/>
      <c r="BO521" s="74"/>
      <c r="BP521" s="74"/>
      <c r="BQ521" s="74"/>
      <c r="BR521" s="74"/>
      <c r="BS521" s="74"/>
      <c r="BT521" s="74"/>
      <c r="BU521" s="74"/>
      <c r="BV521" s="74"/>
      <c r="BW521" s="74"/>
      <c r="BX521" s="74"/>
      <c r="BY521" s="74"/>
      <c r="BZ521" s="74"/>
    </row>
    <row r="522">
      <c r="L522" s="2"/>
      <c r="BM522" s="73"/>
      <c r="BN522" s="74"/>
      <c r="BO522" s="74"/>
      <c r="BP522" s="74"/>
      <c r="BQ522" s="74"/>
      <c r="BR522" s="74"/>
      <c r="BS522" s="74"/>
      <c r="BT522" s="74"/>
      <c r="BU522" s="74"/>
      <c r="BV522" s="74"/>
      <c r="BW522" s="74"/>
      <c r="BX522" s="74"/>
      <c r="BY522" s="74"/>
      <c r="BZ522" s="74"/>
    </row>
    <row r="523">
      <c r="L523" s="2"/>
      <c r="BM523" s="73"/>
      <c r="BN523" s="74"/>
      <c r="BO523" s="74"/>
      <c r="BP523" s="74"/>
      <c r="BQ523" s="74"/>
      <c r="BR523" s="74"/>
      <c r="BS523" s="74"/>
      <c r="BT523" s="74"/>
      <c r="BU523" s="74"/>
      <c r="BV523" s="74"/>
      <c r="BW523" s="74"/>
      <c r="BX523" s="74"/>
      <c r="BY523" s="74"/>
      <c r="BZ523" s="74"/>
    </row>
    <row r="524">
      <c r="L524" s="2"/>
      <c r="BM524" s="73"/>
      <c r="BN524" s="74"/>
      <c r="BO524" s="74"/>
      <c r="BP524" s="74"/>
      <c r="BQ524" s="74"/>
      <c r="BR524" s="74"/>
      <c r="BS524" s="74"/>
      <c r="BT524" s="74"/>
      <c r="BU524" s="74"/>
      <c r="BV524" s="74"/>
      <c r="BW524" s="74"/>
      <c r="BX524" s="74"/>
      <c r="BY524" s="74"/>
      <c r="BZ524" s="74"/>
    </row>
    <row r="525">
      <c r="L525" s="2"/>
      <c r="BM525" s="73"/>
      <c r="BN525" s="74"/>
      <c r="BO525" s="74"/>
      <c r="BP525" s="74"/>
      <c r="BQ525" s="74"/>
      <c r="BR525" s="74"/>
      <c r="BS525" s="74"/>
      <c r="BT525" s="74"/>
      <c r="BU525" s="74"/>
      <c r="BV525" s="74"/>
      <c r="BW525" s="74"/>
      <c r="BX525" s="74"/>
      <c r="BY525" s="74"/>
      <c r="BZ525" s="74"/>
    </row>
    <row r="526">
      <c r="L526" s="2"/>
      <c r="BM526" s="73"/>
      <c r="BN526" s="74"/>
      <c r="BO526" s="74"/>
      <c r="BP526" s="74"/>
      <c r="BQ526" s="74"/>
      <c r="BR526" s="74"/>
      <c r="BS526" s="74"/>
      <c r="BT526" s="74"/>
      <c r="BU526" s="74"/>
      <c r="BV526" s="74"/>
      <c r="BW526" s="74"/>
      <c r="BX526" s="74"/>
      <c r="BY526" s="74"/>
      <c r="BZ526" s="74"/>
    </row>
    <row r="527">
      <c r="L527" s="2"/>
      <c r="BM527" s="73"/>
      <c r="BN527" s="74"/>
      <c r="BO527" s="74"/>
      <c r="BP527" s="74"/>
      <c r="BQ527" s="74"/>
      <c r="BR527" s="74"/>
      <c r="BS527" s="74"/>
      <c r="BT527" s="74"/>
      <c r="BU527" s="74"/>
      <c r="BV527" s="74"/>
      <c r="BW527" s="74"/>
      <c r="BX527" s="74"/>
      <c r="BY527" s="74"/>
      <c r="BZ527" s="74"/>
    </row>
    <row r="528">
      <c r="L528" s="2"/>
      <c r="BM528" s="73"/>
      <c r="BN528" s="74"/>
      <c r="BO528" s="74"/>
      <c r="BP528" s="74"/>
      <c r="BQ528" s="74"/>
      <c r="BR528" s="74"/>
      <c r="BS528" s="74"/>
      <c r="BT528" s="74"/>
      <c r="BU528" s="74"/>
      <c r="BV528" s="74"/>
      <c r="BW528" s="74"/>
      <c r="BX528" s="74"/>
      <c r="BY528" s="74"/>
      <c r="BZ528" s="74"/>
    </row>
    <row r="529">
      <c r="L529" s="2"/>
      <c r="BM529" s="73"/>
      <c r="BN529" s="74"/>
      <c r="BO529" s="74"/>
      <c r="BP529" s="74"/>
      <c r="BQ529" s="74"/>
      <c r="BR529" s="74"/>
      <c r="BS529" s="74"/>
      <c r="BT529" s="74"/>
      <c r="BU529" s="74"/>
      <c r="BV529" s="74"/>
      <c r="BW529" s="74"/>
      <c r="BX529" s="74"/>
      <c r="BY529" s="74"/>
      <c r="BZ529" s="74"/>
    </row>
    <row r="530">
      <c r="L530" s="2"/>
      <c r="BM530" s="73"/>
      <c r="BN530" s="74"/>
      <c r="BO530" s="74"/>
      <c r="BP530" s="74"/>
      <c r="BQ530" s="74"/>
      <c r="BR530" s="74"/>
      <c r="BS530" s="74"/>
      <c r="BT530" s="74"/>
      <c r="BU530" s="74"/>
      <c r="BV530" s="74"/>
      <c r="BW530" s="74"/>
      <c r="BX530" s="74"/>
      <c r="BY530" s="74"/>
      <c r="BZ530" s="74"/>
    </row>
    <row r="531">
      <c r="L531" s="2"/>
      <c r="BM531" s="73"/>
      <c r="BN531" s="74"/>
      <c r="BO531" s="74"/>
      <c r="BP531" s="74"/>
      <c r="BQ531" s="74"/>
      <c r="BR531" s="74"/>
      <c r="BS531" s="74"/>
      <c r="BT531" s="74"/>
      <c r="BU531" s="74"/>
      <c r="BV531" s="74"/>
      <c r="BW531" s="74"/>
      <c r="BX531" s="74"/>
      <c r="BY531" s="74"/>
      <c r="BZ531" s="74"/>
    </row>
    <row r="532">
      <c r="L532" s="2"/>
      <c r="BM532" s="73"/>
      <c r="BN532" s="74"/>
      <c r="BO532" s="74"/>
      <c r="BP532" s="74"/>
      <c r="BQ532" s="74"/>
      <c r="BR532" s="74"/>
      <c r="BS532" s="74"/>
      <c r="BT532" s="74"/>
      <c r="BU532" s="74"/>
      <c r="BV532" s="74"/>
      <c r="BW532" s="74"/>
      <c r="BX532" s="74"/>
      <c r="BY532" s="74"/>
      <c r="BZ532" s="74"/>
    </row>
    <row r="533">
      <c r="L533" s="2"/>
      <c r="BM533" s="73"/>
      <c r="BN533" s="74"/>
      <c r="BO533" s="74"/>
      <c r="BP533" s="74"/>
      <c r="BQ533" s="74"/>
      <c r="BR533" s="74"/>
      <c r="BS533" s="74"/>
      <c r="BT533" s="74"/>
      <c r="BU533" s="74"/>
      <c r="BV533" s="74"/>
      <c r="BW533" s="74"/>
      <c r="BX533" s="74"/>
      <c r="BY533" s="74"/>
      <c r="BZ533" s="74"/>
    </row>
    <row r="534">
      <c r="L534" s="2"/>
      <c r="BM534" s="73"/>
      <c r="BN534" s="74"/>
      <c r="BO534" s="74"/>
      <c r="BP534" s="74"/>
      <c r="BQ534" s="74"/>
      <c r="BR534" s="74"/>
      <c r="BS534" s="74"/>
      <c r="BT534" s="74"/>
      <c r="BU534" s="74"/>
      <c r="BV534" s="74"/>
      <c r="BW534" s="74"/>
      <c r="BX534" s="74"/>
      <c r="BY534" s="74"/>
      <c r="BZ534" s="74"/>
    </row>
    <row r="535">
      <c r="L535" s="2"/>
      <c r="BM535" s="73"/>
      <c r="BN535" s="74"/>
      <c r="BO535" s="74"/>
      <c r="BP535" s="74"/>
      <c r="BQ535" s="74"/>
      <c r="BR535" s="74"/>
      <c r="BS535" s="74"/>
      <c r="BT535" s="74"/>
      <c r="BU535" s="74"/>
      <c r="BV535" s="74"/>
      <c r="BW535" s="74"/>
      <c r="BX535" s="74"/>
      <c r="BY535" s="74"/>
      <c r="BZ535" s="74"/>
    </row>
    <row r="536">
      <c r="L536" s="2"/>
      <c r="BM536" s="73"/>
      <c r="BN536" s="74"/>
      <c r="BO536" s="74"/>
      <c r="BP536" s="74"/>
      <c r="BQ536" s="74"/>
      <c r="BR536" s="74"/>
      <c r="BS536" s="74"/>
      <c r="BT536" s="74"/>
      <c r="BU536" s="74"/>
      <c r="BV536" s="74"/>
      <c r="BW536" s="74"/>
      <c r="BX536" s="74"/>
      <c r="BY536" s="74"/>
      <c r="BZ536" s="74"/>
    </row>
    <row r="537">
      <c r="L537" s="2"/>
      <c r="BM537" s="73"/>
      <c r="BN537" s="74"/>
      <c r="BO537" s="74"/>
      <c r="BP537" s="74"/>
      <c r="BQ537" s="74"/>
      <c r="BR537" s="74"/>
      <c r="BS537" s="74"/>
      <c r="BT537" s="74"/>
      <c r="BU537" s="74"/>
      <c r="BV537" s="74"/>
      <c r="BW537" s="74"/>
      <c r="BX537" s="74"/>
      <c r="BY537" s="74"/>
      <c r="BZ537" s="74"/>
    </row>
    <row r="538">
      <c r="L538" s="2"/>
      <c r="BM538" s="73"/>
      <c r="BN538" s="74"/>
      <c r="BO538" s="74"/>
      <c r="BP538" s="74"/>
      <c r="BQ538" s="74"/>
      <c r="BR538" s="74"/>
      <c r="BS538" s="74"/>
      <c r="BT538" s="74"/>
      <c r="BU538" s="74"/>
      <c r="BV538" s="74"/>
      <c r="BW538" s="74"/>
      <c r="BX538" s="74"/>
      <c r="BY538" s="74"/>
      <c r="BZ538" s="74"/>
    </row>
    <row r="539">
      <c r="L539" s="2"/>
      <c r="BM539" s="73"/>
      <c r="BN539" s="74"/>
      <c r="BO539" s="74"/>
      <c r="BP539" s="74"/>
      <c r="BQ539" s="74"/>
      <c r="BR539" s="74"/>
      <c r="BS539" s="74"/>
      <c r="BT539" s="74"/>
      <c r="BU539" s="74"/>
      <c r="BV539" s="74"/>
      <c r="BW539" s="74"/>
      <c r="BX539" s="74"/>
      <c r="BY539" s="74"/>
      <c r="BZ539" s="74"/>
    </row>
    <row r="540">
      <c r="L540" s="2"/>
      <c r="BM540" s="73"/>
      <c r="BN540" s="74"/>
      <c r="BO540" s="74"/>
      <c r="BP540" s="74"/>
      <c r="BQ540" s="74"/>
      <c r="BR540" s="74"/>
      <c r="BS540" s="74"/>
      <c r="BT540" s="74"/>
      <c r="BU540" s="74"/>
      <c r="BV540" s="74"/>
      <c r="BW540" s="74"/>
      <c r="BX540" s="74"/>
      <c r="BY540" s="74"/>
      <c r="BZ540" s="74"/>
    </row>
    <row r="541">
      <c r="L541" s="2"/>
      <c r="BM541" s="73"/>
      <c r="BN541" s="74"/>
      <c r="BO541" s="74"/>
      <c r="BP541" s="74"/>
      <c r="BQ541" s="74"/>
      <c r="BR541" s="74"/>
      <c r="BS541" s="74"/>
      <c r="BT541" s="74"/>
      <c r="BU541" s="74"/>
      <c r="BV541" s="74"/>
      <c r="BW541" s="74"/>
      <c r="BX541" s="74"/>
      <c r="BY541" s="74"/>
      <c r="BZ541" s="74"/>
    </row>
    <row r="542">
      <c r="L542" s="2"/>
      <c r="BM542" s="73"/>
      <c r="BN542" s="74"/>
      <c r="BO542" s="74"/>
      <c r="BP542" s="74"/>
      <c r="BQ542" s="74"/>
      <c r="BR542" s="74"/>
      <c r="BS542" s="74"/>
      <c r="BT542" s="74"/>
      <c r="BU542" s="74"/>
      <c r="BV542" s="74"/>
      <c r="BW542" s="74"/>
      <c r="BX542" s="74"/>
      <c r="BY542" s="74"/>
      <c r="BZ542" s="74"/>
    </row>
    <row r="543">
      <c r="L543" s="2"/>
      <c r="BM543" s="73"/>
      <c r="BN543" s="74"/>
      <c r="BO543" s="74"/>
      <c r="BP543" s="74"/>
      <c r="BQ543" s="74"/>
      <c r="BR543" s="74"/>
      <c r="BS543" s="74"/>
      <c r="BT543" s="74"/>
      <c r="BU543" s="74"/>
      <c r="BV543" s="74"/>
      <c r="BW543" s="74"/>
      <c r="BX543" s="74"/>
      <c r="BY543" s="74"/>
      <c r="BZ543" s="74"/>
    </row>
    <row r="544">
      <c r="L544" s="2"/>
      <c r="BM544" s="73"/>
      <c r="BN544" s="74"/>
      <c r="BO544" s="74"/>
      <c r="BP544" s="74"/>
      <c r="BQ544" s="74"/>
      <c r="BR544" s="74"/>
      <c r="BS544" s="74"/>
      <c r="BT544" s="74"/>
      <c r="BU544" s="74"/>
      <c r="BV544" s="74"/>
      <c r="BW544" s="74"/>
      <c r="BX544" s="74"/>
      <c r="BY544" s="74"/>
      <c r="BZ544" s="74"/>
    </row>
    <row r="545">
      <c r="L545" s="2"/>
      <c r="BM545" s="73"/>
      <c r="BN545" s="74"/>
      <c r="BO545" s="74"/>
      <c r="BP545" s="74"/>
      <c r="BQ545" s="74"/>
      <c r="BR545" s="74"/>
      <c r="BS545" s="74"/>
      <c r="BT545" s="74"/>
      <c r="BU545" s="74"/>
      <c r="BV545" s="74"/>
      <c r="BW545" s="74"/>
      <c r="BX545" s="74"/>
      <c r="BY545" s="74"/>
      <c r="BZ545" s="74"/>
    </row>
    <row r="546">
      <c r="L546" s="2"/>
      <c r="BM546" s="73"/>
      <c r="BN546" s="74"/>
      <c r="BO546" s="74"/>
      <c r="BP546" s="74"/>
      <c r="BQ546" s="74"/>
      <c r="BR546" s="74"/>
      <c r="BS546" s="74"/>
      <c r="BT546" s="74"/>
      <c r="BU546" s="74"/>
      <c r="BV546" s="74"/>
      <c r="BW546" s="74"/>
      <c r="BX546" s="74"/>
      <c r="BY546" s="74"/>
      <c r="BZ546" s="74"/>
    </row>
    <row r="547">
      <c r="L547" s="2"/>
      <c r="BM547" s="73"/>
      <c r="BN547" s="74"/>
      <c r="BO547" s="74"/>
      <c r="BP547" s="74"/>
      <c r="BQ547" s="74"/>
      <c r="BR547" s="74"/>
      <c r="BS547" s="74"/>
      <c r="BT547" s="74"/>
      <c r="BU547" s="74"/>
      <c r="BV547" s="74"/>
      <c r="BW547" s="74"/>
      <c r="BX547" s="74"/>
      <c r="BY547" s="74"/>
      <c r="BZ547" s="74"/>
    </row>
    <row r="548">
      <c r="L548" s="2"/>
      <c r="BM548" s="73"/>
      <c r="BN548" s="74"/>
      <c r="BO548" s="74"/>
      <c r="BP548" s="74"/>
      <c r="BQ548" s="74"/>
      <c r="BR548" s="74"/>
      <c r="BS548" s="74"/>
      <c r="BT548" s="74"/>
      <c r="BU548" s="74"/>
      <c r="BV548" s="74"/>
      <c r="BW548" s="74"/>
      <c r="BX548" s="74"/>
      <c r="BY548" s="74"/>
      <c r="BZ548" s="74"/>
    </row>
    <row r="549">
      <c r="L549" s="2"/>
      <c r="BM549" s="73"/>
      <c r="BN549" s="74"/>
      <c r="BO549" s="74"/>
      <c r="BP549" s="74"/>
      <c r="BQ549" s="74"/>
      <c r="BR549" s="74"/>
      <c r="BS549" s="74"/>
      <c r="BT549" s="74"/>
      <c r="BU549" s="74"/>
      <c r="BV549" s="74"/>
      <c r="BW549" s="74"/>
      <c r="BX549" s="74"/>
      <c r="BY549" s="74"/>
      <c r="BZ549" s="74"/>
    </row>
    <row r="550">
      <c r="L550" s="2"/>
      <c r="BM550" s="73"/>
      <c r="BN550" s="74"/>
      <c r="BO550" s="74"/>
      <c r="BP550" s="74"/>
      <c r="BQ550" s="74"/>
      <c r="BR550" s="74"/>
      <c r="BS550" s="74"/>
      <c r="BT550" s="74"/>
      <c r="BU550" s="74"/>
      <c r="BV550" s="74"/>
      <c r="BW550" s="74"/>
      <c r="BX550" s="74"/>
      <c r="BY550" s="74"/>
      <c r="BZ550" s="74"/>
    </row>
    <row r="551">
      <c r="L551" s="2"/>
      <c r="BM551" s="73"/>
      <c r="BN551" s="74"/>
      <c r="BO551" s="74"/>
      <c r="BP551" s="74"/>
      <c r="BQ551" s="74"/>
      <c r="BR551" s="74"/>
      <c r="BS551" s="74"/>
      <c r="BT551" s="74"/>
      <c r="BU551" s="74"/>
      <c r="BV551" s="74"/>
      <c r="BW551" s="74"/>
      <c r="BX551" s="74"/>
      <c r="BY551" s="74"/>
      <c r="BZ551" s="74"/>
    </row>
    <row r="552">
      <c r="L552" s="2"/>
      <c r="BM552" s="73"/>
      <c r="BN552" s="74"/>
      <c r="BO552" s="74"/>
      <c r="BP552" s="74"/>
      <c r="BQ552" s="74"/>
      <c r="BR552" s="74"/>
      <c r="BS552" s="74"/>
      <c r="BT552" s="74"/>
      <c r="BU552" s="74"/>
      <c r="BV552" s="74"/>
      <c r="BW552" s="74"/>
      <c r="BX552" s="74"/>
      <c r="BY552" s="74"/>
      <c r="BZ552" s="74"/>
    </row>
    <row r="553">
      <c r="L553" s="2"/>
      <c r="BM553" s="73"/>
      <c r="BN553" s="74"/>
      <c r="BO553" s="74"/>
      <c r="BP553" s="74"/>
      <c r="BQ553" s="74"/>
      <c r="BR553" s="74"/>
      <c r="BS553" s="74"/>
      <c r="BT553" s="74"/>
      <c r="BU553" s="74"/>
      <c r="BV553" s="74"/>
      <c r="BW553" s="74"/>
      <c r="BX553" s="74"/>
      <c r="BY553" s="74"/>
      <c r="BZ553" s="74"/>
    </row>
    <row r="554">
      <c r="L554" s="2"/>
      <c r="BM554" s="73"/>
      <c r="BN554" s="74"/>
      <c r="BO554" s="74"/>
      <c r="BP554" s="74"/>
      <c r="BQ554" s="74"/>
      <c r="BR554" s="74"/>
      <c r="BS554" s="74"/>
      <c r="BT554" s="74"/>
      <c r="BU554" s="74"/>
      <c r="BV554" s="74"/>
      <c r="BW554" s="74"/>
      <c r="BX554" s="74"/>
      <c r="BY554" s="74"/>
      <c r="BZ554" s="74"/>
    </row>
    <row r="555">
      <c r="L555" s="2"/>
      <c r="BM555" s="73"/>
      <c r="BN555" s="74"/>
      <c r="BO555" s="74"/>
      <c r="BP555" s="74"/>
      <c r="BQ555" s="74"/>
      <c r="BR555" s="74"/>
      <c r="BS555" s="74"/>
      <c r="BT555" s="74"/>
      <c r="BU555" s="74"/>
      <c r="BV555" s="74"/>
      <c r="BW555" s="74"/>
      <c r="BX555" s="74"/>
      <c r="BY555" s="74"/>
      <c r="BZ555" s="74"/>
    </row>
    <row r="556">
      <c r="L556" s="2"/>
      <c r="BM556" s="73"/>
      <c r="BN556" s="74"/>
      <c r="BO556" s="74"/>
      <c r="BP556" s="74"/>
      <c r="BQ556" s="74"/>
      <c r="BR556" s="74"/>
      <c r="BS556" s="74"/>
      <c r="BT556" s="74"/>
      <c r="BU556" s="74"/>
      <c r="BV556" s="74"/>
      <c r="BW556" s="74"/>
      <c r="BX556" s="74"/>
      <c r="BY556" s="74"/>
      <c r="BZ556" s="74"/>
    </row>
    <row r="557">
      <c r="L557" s="2"/>
      <c r="BM557" s="73"/>
      <c r="BN557" s="74"/>
      <c r="BO557" s="74"/>
      <c r="BP557" s="74"/>
      <c r="BQ557" s="74"/>
      <c r="BR557" s="74"/>
      <c r="BS557" s="74"/>
      <c r="BT557" s="74"/>
      <c r="BU557" s="74"/>
      <c r="BV557" s="74"/>
      <c r="BW557" s="74"/>
      <c r="BX557" s="74"/>
      <c r="BY557" s="74"/>
      <c r="BZ557" s="74"/>
    </row>
    <row r="558">
      <c r="L558" s="2"/>
      <c r="BM558" s="73"/>
      <c r="BN558" s="74"/>
      <c r="BO558" s="74"/>
      <c r="BP558" s="74"/>
      <c r="BQ558" s="74"/>
      <c r="BR558" s="74"/>
      <c r="BS558" s="74"/>
      <c r="BT558" s="74"/>
      <c r="BU558" s="74"/>
      <c r="BV558" s="74"/>
      <c r="BW558" s="74"/>
      <c r="BX558" s="74"/>
      <c r="BY558" s="74"/>
      <c r="BZ558" s="74"/>
    </row>
    <row r="559">
      <c r="L559" s="2"/>
      <c r="BM559" s="73"/>
      <c r="BN559" s="74"/>
      <c r="BO559" s="74"/>
      <c r="BP559" s="74"/>
      <c r="BQ559" s="74"/>
      <c r="BR559" s="74"/>
      <c r="BS559" s="74"/>
      <c r="BT559" s="74"/>
      <c r="BU559" s="74"/>
      <c r="BV559" s="74"/>
      <c r="BW559" s="74"/>
      <c r="BX559" s="74"/>
      <c r="BY559" s="74"/>
      <c r="BZ559" s="74"/>
    </row>
    <row r="560">
      <c r="L560" s="2"/>
      <c r="BM560" s="73"/>
      <c r="BN560" s="74"/>
      <c r="BO560" s="74"/>
      <c r="BP560" s="74"/>
      <c r="BQ560" s="74"/>
      <c r="BR560" s="74"/>
      <c r="BS560" s="74"/>
      <c r="BT560" s="74"/>
      <c r="BU560" s="74"/>
      <c r="BV560" s="74"/>
      <c r="BW560" s="74"/>
      <c r="BX560" s="74"/>
      <c r="BY560" s="74"/>
      <c r="BZ560" s="74"/>
    </row>
    <row r="561">
      <c r="L561" s="2"/>
      <c r="BM561" s="73"/>
      <c r="BN561" s="74"/>
      <c r="BO561" s="74"/>
      <c r="BP561" s="74"/>
      <c r="BQ561" s="74"/>
      <c r="BR561" s="74"/>
      <c r="BS561" s="74"/>
      <c r="BT561" s="74"/>
      <c r="BU561" s="74"/>
      <c r="BV561" s="74"/>
      <c r="BW561" s="74"/>
      <c r="BX561" s="74"/>
      <c r="BY561" s="74"/>
      <c r="BZ561" s="74"/>
    </row>
    <row r="562">
      <c r="L562" s="2"/>
      <c r="BM562" s="73"/>
      <c r="BN562" s="74"/>
      <c r="BO562" s="74"/>
      <c r="BP562" s="74"/>
      <c r="BQ562" s="74"/>
      <c r="BR562" s="74"/>
      <c r="BS562" s="74"/>
      <c r="BT562" s="74"/>
      <c r="BU562" s="74"/>
      <c r="BV562" s="74"/>
      <c r="BW562" s="74"/>
      <c r="BX562" s="74"/>
      <c r="BY562" s="74"/>
      <c r="BZ562" s="74"/>
    </row>
    <row r="563">
      <c r="L563" s="2"/>
      <c r="BM563" s="73"/>
      <c r="BN563" s="74"/>
      <c r="BO563" s="74"/>
      <c r="BP563" s="74"/>
      <c r="BQ563" s="74"/>
      <c r="BR563" s="74"/>
      <c r="BS563" s="74"/>
      <c r="BT563" s="74"/>
      <c r="BU563" s="74"/>
      <c r="BV563" s="74"/>
      <c r="BW563" s="74"/>
      <c r="BX563" s="74"/>
      <c r="BY563" s="74"/>
      <c r="BZ563" s="74"/>
    </row>
    <row r="564">
      <c r="L564" s="2"/>
      <c r="BM564" s="73"/>
      <c r="BN564" s="74"/>
      <c r="BO564" s="74"/>
      <c r="BP564" s="74"/>
      <c r="BQ564" s="74"/>
      <c r="BR564" s="74"/>
      <c r="BS564" s="74"/>
      <c r="BT564" s="74"/>
      <c r="BU564" s="74"/>
      <c r="BV564" s="74"/>
      <c r="BW564" s="74"/>
      <c r="BX564" s="74"/>
      <c r="BY564" s="74"/>
      <c r="BZ564" s="74"/>
    </row>
    <row r="565">
      <c r="L565" s="2"/>
      <c r="BM565" s="73"/>
      <c r="BN565" s="74"/>
      <c r="BO565" s="74"/>
      <c r="BP565" s="74"/>
      <c r="BQ565" s="74"/>
      <c r="BR565" s="74"/>
      <c r="BS565" s="74"/>
      <c r="BT565" s="74"/>
      <c r="BU565" s="74"/>
      <c r="BV565" s="74"/>
      <c r="BW565" s="74"/>
      <c r="BX565" s="74"/>
      <c r="BY565" s="74"/>
      <c r="BZ565" s="74"/>
    </row>
    <row r="566">
      <c r="L566" s="2"/>
      <c r="BM566" s="73"/>
      <c r="BN566" s="74"/>
      <c r="BO566" s="74"/>
      <c r="BP566" s="74"/>
      <c r="BQ566" s="74"/>
      <c r="BR566" s="74"/>
      <c r="BS566" s="74"/>
      <c r="BT566" s="74"/>
      <c r="BU566" s="74"/>
      <c r="BV566" s="74"/>
      <c r="BW566" s="74"/>
      <c r="BX566" s="74"/>
      <c r="BY566" s="74"/>
      <c r="BZ566" s="74"/>
    </row>
    <row r="567">
      <c r="L567" s="2"/>
      <c r="BM567" s="73"/>
      <c r="BN567" s="74"/>
      <c r="BO567" s="74"/>
      <c r="BP567" s="74"/>
      <c r="BQ567" s="74"/>
      <c r="BR567" s="74"/>
      <c r="BS567" s="74"/>
      <c r="BT567" s="74"/>
      <c r="BU567" s="74"/>
      <c r="BV567" s="74"/>
      <c r="BW567" s="74"/>
      <c r="BX567" s="74"/>
      <c r="BY567" s="74"/>
      <c r="BZ567" s="74"/>
    </row>
    <row r="568">
      <c r="L568" s="2"/>
      <c r="BM568" s="73"/>
      <c r="BN568" s="74"/>
      <c r="BO568" s="74"/>
      <c r="BP568" s="74"/>
      <c r="BQ568" s="74"/>
      <c r="BR568" s="74"/>
      <c r="BS568" s="74"/>
      <c r="BT568" s="74"/>
      <c r="BU568" s="74"/>
      <c r="BV568" s="74"/>
      <c r="BW568" s="74"/>
      <c r="BX568" s="74"/>
      <c r="BY568" s="74"/>
      <c r="BZ568" s="74"/>
    </row>
    <row r="569">
      <c r="L569" s="2"/>
      <c r="BM569" s="73"/>
      <c r="BN569" s="74"/>
      <c r="BO569" s="74"/>
      <c r="BP569" s="74"/>
      <c r="BQ569" s="74"/>
      <c r="BR569" s="74"/>
      <c r="BS569" s="74"/>
      <c r="BT569" s="74"/>
      <c r="BU569" s="74"/>
      <c r="BV569" s="74"/>
      <c r="BW569" s="74"/>
      <c r="BX569" s="74"/>
      <c r="BY569" s="74"/>
      <c r="BZ569" s="74"/>
    </row>
    <row r="570">
      <c r="L570" s="2"/>
      <c r="BM570" s="73"/>
      <c r="BN570" s="74"/>
      <c r="BO570" s="74"/>
      <c r="BP570" s="74"/>
      <c r="BQ570" s="74"/>
      <c r="BR570" s="74"/>
      <c r="BS570" s="74"/>
      <c r="BT570" s="74"/>
      <c r="BU570" s="74"/>
      <c r="BV570" s="74"/>
      <c r="BW570" s="74"/>
      <c r="BX570" s="74"/>
      <c r="BY570" s="74"/>
      <c r="BZ570" s="74"/>
    </row>
    <row r="571">
      <c r="L571" s="2"/>
      <c r="BM571" s="73"/>
      <c r="BN571" s="74"/>
      <c r="BO571" s="74"/>
      <c r="BP571" s="74"/>
      <c r="BQ571" s="74"/>
      <c r="BR571" s="74"/>
      <c r="BS571" s="74"/>
      <c r="BT571" s="74"/>
      <c r="BU571" s="74"/>
      <c r="BV571" s="74"/>
      <c r="BW571" s="74"/>
      <c r="BX571" s="74"/>
      <c r="BY571" s="74"/>
      <c r="BZ571" s="74"/>
    </row>
    <row r="572">
      <c r="L572" s="2"/>
      <c r="BM572" s="73"/>
      <c r="BN572" s="74"/>
      <c r="BO572" s="74"/>
      <c r="BP572" s="74"/>
      <c r="BQ572" s="74"/>
      <c r="BR572" s="74"/>
      <c r="BS572" s="74"/>
      <c r="BT572" s="74"/>
      <c r="BU572" s="74"/>
      <c r="BV572" s="74"/>
      <c r="BW572" s="74"/>
      <c r="BX572" s="74"/>
      <c r="BY572" s="74"/>
      <c r="BZ572" s="74"/>
    </row>
    <row r="573">
      <c r="L573" s="2"/>
      <c r="BM573" s="73"/>
      <c r="BN573" s="74"/>
      <c r="BO573" s="74"/>
      <c r="BP573" s="74"/>
      <c r="BQ573" s="74"/>
      <c r="BR573" s="74"/>
      <c r="BS573" s="74"/>
      <c r="BT573" s="74"/>
      <c r="BU573" s="74"/>
      <c r="BV573" s="74"/>
      <c r="BW573" s="74"/>
      <c r="BX573" s="74"/>
      <c r="BY573" s="74"/>
      <c r="BZ573" s="74"/>
    </row>
    <row r="574">
      <c r="L574" s="2"/>
      <c r="BM574" s="73"/>
      <c r="BN574" s="74"/>
      <c r="BO574" s="74"/>
      <c r="BP574" s="74"/>
      <c r="BQ574" s="74"/>
      <c r="BR574" s="74"/>
      <c r="BS574" s="74"/>
      <c r="BT574" s="74"/>
      <c r="BU574" s="74"/>
      <c r="BV574" s="74"/>
      <c r="BW574" s="74"/>
      <c r="BX574" s="74"/>
      <c r="BY574" s="74"/>
      <c r="BZ574" s="74"/>
    </row>
    <row r="575">
      <c r="L575" s="2"/>
      <c r="BM575" s="73"/>
      <c r="BN575" s="74"/>
      <c r="BO575" s="74"/>
      <c r="BP575" s="74"/>
      <c r="BQ575" s="74"/>
      <c r="BR575" s="74"/>
      <c r="BS575" s="74"/>
      <c r="BT575" s="74"/>
      <c r="BU575" s="74"/>
      <c r="BV575" s="74"/>
      <c r="BW575" s="74"/>
      <c r="BX575" s="74"/>
      <c r="BY575" s="74"/>
      <c r="BZ575" s="74"/>
    </row>
    <row r="576">
      <c r="L576" s="2"/>
      <c r="BM576" s="73"/>
      <c r="BN576" s="74"/>
      <c r="BO576" s="74"/>
      <c r="BP576" s="74"/>
      <c r="BQ576" s="74"/>
      <c r="BR576" s="74"/>
      <c r="BS576" s="74"/>
      <c r="BT576" s="74"/>
      <c r="BU576" s="74"/>
      <c r="BV576" s="74"/>
      <c r="BW576" s="74"/>
      <c r="BX576" s="74"/>
      <c r="BY576" s="74"/>
      <c r="BZ576" s="74"/>
    </row>
    <row r="577">
      <c r="L577" s="2"/>
      <c r="BM577" s="73"/>
      <c r="BN577" s="74"/>
      <c r="BO577" s="74"/>
      <c r="BP577" s="74"/>
      <c r="BQ577" s="74"/>
      <c r="BR577" s="74"/>
      <c r="BS577" s="74"/>
      <c r="BT577" s="74"/>
      <c r="BU577" s="74"/>
      <c r="BV577" s="74"/>
      <c r="BW577" s="74"/>
      <c r="BX577" s="74"/>
      <c r="BY577" s="74"/>
      <c r="BZ577" s="74"/>
    </row>
    <row r="578">
      <c r="L578" s="2"/>
      <c r="BM578" s="73"/>
      <c r="BN578" s="74"/>
      <c r="BO578" s="74"/>
      <c r="BP578" s="74"/>
      <c r="BQ578" s="74"/>
      <c r="BR578" s="74"/>
      <c r="BS578" s="74"/>
      <c r="BT578" s="74"/>
      <c r="BU578" s="74"/>
      <c r="BV578" s="74"/>
      <c r="BW578" s="74"/>
      <c r="BX578" s="74"/>
      <c r="BY578" s="74"/>
      <c r="BZ578" s="74"/>
    </row>
    <row r="579">
      <c r="L579" s="2"/>
      <c r="BM579" s="73"/>
      <c r="BN579" s="74"/>
      <c r="BO579" s="74"/>
      <c r="BP579" s="74"/>
      <c r="BQ579" s="74"/>
      <c r="BR579" s="74"/>
      <c r="BS579" s="74"/>
      <c r="BT579" s="74"/>
      <c r="BU579" s="74"/>
      <c r="BV579" s="74"/>
      <c r="BW579" s="74"/>
      <c r="BX579" s="74"/>
      <c r="BY579" s="74"/>
      <c r="BZ579" s="74"/>
    </row>
    <row r="580">
      <c r="L580" s="2"/>
      <c r="BM580" s="73"/>
      <c r="BN580" s="74"/>
      <c r="BO580" s="74"/>
      <c r="BP580" s="74"/>
      <c r="BQ580" s="74"/>
      <c r="BR580" s="74"/>
      <c r="BS580" s="74"/>
      <c r="BT580" s="74"/>
      <c r="BU580" s="74"/>
      <c r="BV580" s="74"/>
      <c r="BW580" s="74"/>
      <c r="BX580" s="74"/>
      <c r="BY580" s="74"/>
      <c r="BZ580" s="74"/>
    </row>
    <row r="581">
      <c r="L581" s="2"/>
      <c r="BM581" s="73"/>
      <c r="BN581" s="74"/>
      <c r="BO581" s="74"/>
      <c r="BP581" s="74"/>
      <c r="BQ581" s="74"/>
      <c r="BR581" s="74"/>
      <c r="BS581" s="74"/>
      <c r="BT581" s="74"/>
      <c r="BU581" s="74"/>
      <c r="BV581" s="74"/>
      <c r="BW581" s="74"/>
      <c r="BX581" s="74"/>
      <c r="BY581" s="74"/>
      <c r="BZ581" s="74"/>
    </row>
    <row r="582">
      <c r="L582" s="2"/>
      <c r="BM582" s="73"/>
      <c r="BN582" s="74"/>
      <c r="BO582" s="74"/>
      <c r="BP582" s="74"/>
      <c r="BQ582" s="74"/>
      <c r="BR582" s="74"/>
      <c r="BS582" s="74"/>
      <c r="BT582" s="74"/>
      <c r="BU582" s="74"/>
      <c r="BV582" s="74"/>
      <c r="BW582" s="74"/>
      <c r="BX582" s="74"/>
      <c r="BY582" s="74"/>
      <c r="BZ582" s="74"/>
    </row>
    <row r="583">
      <c r="L583" s="2"/>
      <c r="BM583" s="73"/>
      <c r="BN583" s="74"/>
      <c r="BO583" s="74"/>
      <c r="BP583" s="74"/>
      <c r="BQ583" s="74"/>
      <c r="BR583" s="74"/>
      <c r="BS583" s="74"/>
      <c r="BT583" s="74"/>
      <c r="BU583" s="74"/>
      <c r="BV583" s="74"/>
      <c r="BW583" s="74"/>
      <c r="BX583" s="74"/>
      <c r="BY583" s="74"/>
      <c r="BZ583" s="74"/>
    </row>
    <row r="584">
      <c r="L584" s="2"/>
      <c r="BM584" s="73"/>
      <c r="BN584" s="74"/>
      <c r="BO584" s="74"/>
      <c r="BP584" s="74"/>
      <c r="BQ584" s="74"/>
      <c r="BR584" s="74"/>
      <c r="BS584" s="74"/>
      <c r="BT584" s="74"/>
      <c r="BU584" s="74"/>
      <c r="BV584" s="74"/>
      <c r="BW584" s="74"/>
      <c r="BX584" s="74"/>
      <c r="BY584" s="74"/>
      <c r="BZ584" s="74"/>
    </row>
    <row r="585">
      <c r="L585" s="2"/>
      <c r="BM585" s="73"/>
      <c r="BN585" s="74"/>
      <c r="BO585" s="74"/>
      <c r="BP585" s="74"/>
      <c r="BQ585" s="74"/>
      <c r="BR585" s="74"/>
      <c r="BS585" s="74"/>
      <c r="BT585" s="74"/>
      <c r="BU585" s="74"/>
      <c r="BV585" s="74"/>
      <c r="BW585" s="74"/>
      <c r="BX585" s="74"/>
      <c r="BY585" s="74"/>
      <c r="BZ585" s="74"/>
    </row>
    <row r="586">
      <c r="L586" s="2"/>
      <c r="BM586" s="73"/>
      <c r="BN586" s="74"/>
      <c r="BO586" s="74"/>
      <c r="BP586" s="74"/>
      <c r="BQ586" s="74"/>
      <c r="BR586" s="74"/>
      <c r="BS586" s="74"/>
      <c r="BT586" s="74"/>
      <c r="BU586" s="74"/>
      <c r="BV586" s="74"/>
      <c r="BW586" s="74"/>
      <c r="BX586" s="74"/>
      <c r="BY586" s="74"/>
      <c r="BZ586" s="74"/>
    </row>
    <row r="587">
      <c r="L587" s="2"/>
      <c r="BM587" s="73"/>
      <c r="BN587" s="74"/>
      <c r="BO587" s="74"/>
      <c r="BP587" s="74"/>
      <c r="BQ587" s="74"/>
      <c r="BR587" s="74"/>
      <c r="BS587" s="74"/>
      <c r="BT587" s="74"/>
      <c r="BU587" s="74"/>
      <c r="BV587" s="74"/>
      <c r="BW587" s="74"/>
      <c r="BX587" s="74"/>
      <c r="BY587" s="74"/>
      <c r="BZ587" s="74"/>
    </row>
    <row r="588">
      <c r="L588" s="2"/>
      <c r="BM588" s="73"/>
      <c r="BN588" s="74"/>
      <c r="BO588" s="74"/>
      <c r="BP588" s="74"/>
      <c r="BQ588" s="74"/>
      <c r="BR588" s="74"/>
      <c r="BS588" s="74"/>
      <c r="BT588" s="74"/>
      <c r="BU588" s="74"/>
      <c r="BV588" s="74"/>
      <c r="BW588" s="74"/>
      <c r="BX588" s="74"/>
      <c r="BY588" s="74"/>
      <c r="BZ588" s="74"/>
    </row>
    <row r="589">
      <c r="L589" s="2"/>
      <c r="BM589" s="73"/>
      <c r="BN589" s="74"/>
      <c r="BO589" s="74"/>
      <c r="BP589" s="74"/>
      <c r="BQ589" s="74"/>
      <c r="BR589" s="74"/>
      <c r="BS589" s="74"/>
      <c r="BT589" s="74"/>
      <c r="BU589" s="74"/>
      <c r="BV589" s="74"/>
      <c r="BW589" s="74"/>
      <c r="BX589" s="74"/>
      <c r="BY589" s="74"/>
      <c r="BZ589" s="74"/>
    </row>
    <row r="590">
      <c r="L590" s="2"/>
      <c r="BM590" s="73"/>
      <c r="BN590" s="74"/>
      <c r="BO590" s="74"/>
      <c r="BP590" s="74"/>
      <c r="BQ590" s="74"/>
      <c r="BR590" s="74"/>
      <c r="BS590" s="74"/>
      <c r="BT590" s="74"/>
      <c r="BU590" s="74"/>
      <c r="BV590" s="74"/>
      <c r="BW590" s="74"/>
      <c r="BX590" s="74"/>
      <c r="BY590" s="74"/>
      <c r="BZ590" s="74"/>
    </row>
    <row r="591">
      <c r="L591" s="2"/>
      <c r="BM591" s="73"/>
      <c r="BN591" s="74"/>
      <c r="BO591" s="74"/>
      <c r="BP591" s="74"/>
      <c r="BQ591" s="74"/>
      <c r="BR591" s="74"/>
      <c r="BS591" s="74"/>
      <c r="BT591" s="74"/>
      <c r="BU591" s="74"/>
      <c r="BV591" s="74"/>
      <c r="BW591" s="74"/>
      <c r="BX591" s="74"/>
      <c r="BY591" s="74"/>
      <c r="BZ591" s="74"/>
    </row>
    <row r="592">
      <c r="L592" s="2"/>
      <c r="BM592" s="73"/>
      <c r="BN592" s="74"/>
      <c r="BO592" s="74"/>
      <c r="BP592" s="74"/>
      <c r="BQ592" s="74"/>
      <c r="BR592" s="74"/>
      <c r="BS592" s="74"/>
      <c r="BT592" s="74"/>
      <c r="BU592" s="74"/>
      <c r="BV592" s="74"/>
      <c r="BW592" s="74"/>
      <c r="BX592" s="74"/>
      <c r="BY592" s="74"/>
      <c r="BZ592" s="74"/>
    </row>
    <row r="593">
      <c r="L593" s="2"/>
      <c r="BM593" s="73"/>
      <c r="BN593" s="74"/>
      <c r="BO593" s="74"/>
      <c r="BP593" s="74"/>
      <c r="BQ593" s="74"/>
      <c r="BR593" s="74"/>
      <c r="BS593" s="74"/>
      <c r="BT593" s="74"/>
      <c r="BU593" s="74"/>
      <c r="BV593" s="74"/>
      <c r="BW593" s="74"/>
      <c r="BX593" s="74"/>
      <c r="BY593" s="74"/>
      <c r="BZ593" s="74"/>
    </row>
    <row r="594">
      <c r="L594" s="2"/>
      <c r="BM594" s="73"/>
      <c r="BN594" s="74"/>
      <c r="BO594" s="74"/>
      <c r="BP594" s="74"/>
      <c r="BQ594" s="74"/>
      <c r="BR594" s="74"/>
      <c r="BS594" s="74"/>
      <c r="BT594" s="74"/>
      <c r="BU594" s="74"/>
      <c r="BV594" s="74"/>
      <c r="BW594" s="74"/>
      <c r="BX594" s="74"/>
      <c r="BY594" s="74"/>
      <c r="BZ594" s="74"/>
    </row>
    <row r="595">
      <c r="L595" s="2"/>
      <c r="BM595" s="73"/>
      <c r="BN595" s="74"/>
      <c r="BO595" s="74"/>
      <c r="BP595" s="74"/>
      <c r="BQ595" s="74"/>
      <c r="BR595" s="74"/>
      <c r="BS595" s="74"/>
      <c r="BT595" s="74"/>
      <c r="BU595" s="74"/>
      <c r="BV595" s="74"/>
      <c r="BW595" s="74"/>
      <c r="BX595" s="74"/>
      <c r="BY595" s="74"/>
      <c r="BZ595" s="74"/>
    </row>
    <row r="596">
      <c r="L596" s="2"/>
      <c r="BM596" s="73"/>
      <c r="BN596" s="74"/>
      <c r="BO596" s="74"/>
      <c r="BP596" s="74"/>
      <c r="BQ596" s="74"/>
      <c r="BR596" s="74"/>
      <c r="BS596" s="74"/>
      <c r="BT596" s="74"/>
      <c r="BU596" s="74"/>
      <c r="BV596" s="74"/>
      <c r="BW596" s="74"/>
      <c r="BX596" s="74"/>
      <c r="BY596" s="74"/>
      <c r="BZ596" s="74"/>
    </row>
    <row r="597">
      <c r="L597" s="2"/>
      <c r="BM597" s="73"/>
      <c r="BN597" s="74"/>
      <c r="BO597" s="74"/>
      <c r="BP597" s="74"/>
      <c r="BQ597" s="74"/>
      <c r="BR597" s="74"/>
      <c r="BS597" s="74"/>
      <c r="BT597" s="74"/>
      <c r="BU597" s="74"/>
      <c r="BV597" s="74"/>
      <c r="BW597" s="74"/>
      <c r="BX597" s="74"/>
      <c r="BY597" s="74"/>
      <c r="BZ597" s="74"/>
    </row>
    <row r="598">
      <c r="L598" s="2"/>
      <c r="BM598" s="73"/>
      <c r="BN598" s="74"/>
      <c r="BO598" s="74"/>
      <c r="BP598" s="74"/>
      <c r="BQ598" s="74"/>
      <c r="BR598" s="74"/>
      <c r="BS598" s="74"/>
      <c r="BT598" s="74"/>
      <c r="BU598" s="74"/>
      <c r="BV598" s="74"/>
      <c r="BW598" s="74"/>
      <c r="BX598" s="74"/>
      <c r="BY598" s="74"/>
      <c r="BZ598" s="74"/>
    </row>
    <row r="599">
      <c r="L599" s="2"/>
      <c r="BM599" s="73"/>
      <c r="BN599" s="74"/>
      <c r="BO599" s="74"/>
      <c r="BP599" s="74"/>
      <c r="BQ599" s="74"/>
      <c r="BR599" s="74"/>
      <c r="BS599" s="74"/>
      <c r="BT599" s="74"/>
      <c r="BU599" s="74"/>
      <c r="BV599" s="74"/>
      <c r="BW599" s="74"/>
      <c r="BX599" s="74"/>
      <c r="BY599" s="74"/>
      <c r="BZ599" s="74"/>
    </row>
    <row r="600">
      <c r="L600" s="2"/>
      <c r="BM600" s="73"/>
      <c r="BN600" s="74"/>
      <c r="BO600" s="74"/>
      <c r="BP600" s="74"/>
      <c r="BQ600" s="74"/>
      <c r="BR600" s="74"/>
      <c r="BS600" s="74"/>
      <c r="BT600" s="74"/>
      <c r="BU600" s="74"/>
      <c r="BV600" s="74"/>
      <c r="BW600" s="74"/>
      <c r="BX600" s="74"/>
      <c r="BY600" s="74"/>
      <c r="BZ600" s="74"/>
    </row>
    <row r="601">
      <c r="L601" s="2"/>
      <c r="BM601" s="73"/>
      <c r="BN601" s="74"/>
      <c r="BO601" s="74"/>
      <c r="BP601" s="74"/>
      <c r="BQ601" s="74"/>
      <c r="BR601" s="74"/>
      <c r="BS601" s="74"/>
      <c r="BT601" s="74"/>
      <c r="BU601" s="74"/>
      <c r="BV601" s="74"/>
      <c r="BW601" s="74"/>
      <c r="BX601" s="74"/>
      <c r="BY601" s="74"/>
      <c r="BZ601" s="74"/>
    </row>
    <row r="602">
      <c r="L602" s="2"/>
      <c r="BM602" s="73"/>
      <c r="BN602" s="74"/>
      <c r="BO602" s="74"/>
      <c r="BP602" s="74"/>
      <c r="BQ602" s="74"/>
      <c r="BR602" s="74"/>
      <c r="BS602" s="74"/>
      <c r="BT602" s="74"/>
      <c r="BU602" s="74"/>
      <c r="BV602" s="74"/>
      <c r="BW602" s="74"/>
      <c r="BX602" s="74"/>
      <c r="BY602" s="74"/>
      <c r="BZ602" s="74"/>
    </row>
    <row r="603">
      <c r="L603" s="2"/>
      <c r="BM603" s="73"/>
      <c r="BN603" s="74"/>
      <c r="BO603" s="74"/>
      <c r="BP603" s="74"/>
      <c r="BQ603" s="74"/>
      <c r="BR603" s="74"/>
      <c r="BS603" s="74"/>
      <c r="BT603" s="74"/>
      <c r="BU603" s="74"/>
      <c r="BV603" s="74"/>
      <c r="BW603" s="74"/>
      <c r="BX603" s="74"/>
      <c r="BY603" s="74"/>
      <c r="BZ603" s="74"/>
    </row>
    <row r="604">
      <c r="L604" s="2"/>
      <c r="BM604" s="73"/>
      <c r="BN604" s="74"/>
      <c r="BO604" s="74"/>
      <c r="BP604" s="74"/>
      <c r="BQ604" s="74"/>
      <c r="BR604" s="74"/>
      <c r="BS604" s="74"/>
      <c r="BT604" s="74"/>
      <c r="BU604" s="74"/>
      <c r="BV604" s="74"/>
      <c r="BW604" s="74"/>
      <c r="BX604" s="74"/>
      <c r="BY604" s="74"/>
      <c r="BZ604" s="74"/>
    </row>
    <row r="605">
      <c r="L605" s="2"/>
      <c r="BM605" s="73"/>
      <c r="BN605" s="74"/>
      <c r="BO605" s="74"/>
      <c r="BP605" s="74"/>
      <c r="BQ605" s="74"/>
      <c r="BR605" s="74"/>
      <c r="BS605" s="74"/>
      <c r="BT605" s="74"/>
      <c r="BU605" s="74"/>
      <c r="BV605" s="74"/>
      <c r="BW605" s="74"/>
      <c r="BX605" s="74"/>
      <c r="BY605" s="74"/>
      <c r="BZ605" s="74"/>
    </row>
    <row r="606">
      <c r="L606" s="2"/>
      <c r="BM606" s="73"/>
      <c r="BN606" s="74"/>
      <c r="BO606" s="74"/>
      <c r="BP606" s="74"/>
      <c r="BQ606" s="74"/>
      <c r="BR606" s="74"/>
      <c r="BS606" s="74"/>
      <c r="BT606" s="74"/>
      <c r="BU606" s="74"/>
      <c r="BV606" s="74"/>
      <c r="BW606" s="74"/>
      <c r="BX606" s="74"/>
      <c r="BY606" s="74"/>
      <c r="BZ606" s="74"/>
    </row>
    <row r="607">
      <c r="L607" s="2"/>
      <c r="BM607" s="73"/>
      <c r="BN607" s="74"/>
      <c r="BO607" s="74"/>
      <c r="BP607" s="74"/>
      <c r="BQ607" s="74"/>
      <c r="BR607" s="74"/>
      <c r="BS607" s="74"/>
      <c r="BT607" s="74"/>
      <c r="BU607" s="74"/>
      <c r="BV607" s="74"/>
      <c r="BW607" s="74"/>
      <c r="BX607" s="74"/>
      <c r="BY607" s="74"/>
      <c r="BZ607" s="74"/>
    </row>
    <row r="608">
      <c r="L608" s="2"/>
      <c r="BM608" s="73"/>
      <c r="BN608" s="74"/>
      <c r="BO608" s="74"/>
      <c r="BP608" s="74"/>
      <c r="BQ608" s="74"/>
      <c r="BR608" s="74"/>
      <c r="BS608" s="74"/>
      <c r="BT608" s="74"/>
      <c r="BU608" s="74"/>
      <c r="BV608" s="74"/>
      <c r="BW608" s="74"/>
      <c r="BX608" s="74"/>
      <c r="BY608" s="74"/>
      <c r="BZ608" s="74"/>
    </row>
    <row r="609">
      <c r="L609" s="2"/>
      <c r="BM609" s="73"/>
      <c r="BN609" s="74"/>
      <c r="BO609" s="74"/>
      <c r="BP609" s="74"/>
      <c r="BQ609" s="74"/>
      <c r="BR609" s="74"/>
      <c r="BS609" s="74"/>
      <c r="BT609" s="74"/>
      <c r="BU609" s="74"/>
      <c r="BV609" s="74"/>
      <c r="BW609" s="74"/>
      <c r="BX609" s="74"/>
      <c r="BY609" s="74"/>
      <c r="BZ609" s="74"/>
    </row>
    <row r="610">
      <c r="L610" s="2"/>
      <c r="BM610" s="73"/>
      <c r="BN610" s="74"/>
      <c r="BO610" s="74"/>
      <c r="BP610" s="74"/>
      <c r="BQ610" s="74"/>
      <c r="BR610" s="74"/>
      <c r="BS610" s="74"/>
      <c r="BT610" s="74"/>
      <c r="BU610" s="74"/>
      <c r="BV610" s="74"/>
      <c r="BW610" s="74"/>
      <c r="BX610" s="74"/>
      <c r="BY610" s="74"/>
      <c r="BZ610" s="74"/>
    </row>
    <row r="611">
      <c r="L611" s="2"/>
      <c r="BM611" s="73"/>
      <c r="BN611" s="74"/>
      <c r="BO611" s="74"/>
      <c r="BP611" s="74"/>
      <c r="BQ611" s="74"/>
      <c r="BR611" s="74"/>
      <c r="BS611" s="74"/>
      <c r="BT611" s="74"/>
      <c r="BU611" s="74"/>
      <c r="BV611" s="74"/>
      <c r="BW611" s="74"/>
      <c r="BX611" s="74"/>
      <c r="BY611" s="74"/>
      <c r="BZ611" s="74"/>
    </row>
    <row r="612">
      <c r="L612" s="2"/>
      <c r="BM612" s="73"/>
      <c r="BN612" s="74"/>
      <c r="BO612" s="74"/>
      <c r="BP612" s="74"/>
      <c r="BQ612" s="74"/>
      <c r="BR612" s="74"/>
      <c r="BS612" s="74"/>
      <c r="BT612" s="74"/>
      <c r="BU612" s="74"/>
      <c r="BV612" s="74"/>
      <c r="BW612" s="74"/>
      <c r="BX612" s="74"/>
      <c r="BY612" s="74"/>
      <c r="BZ612" s="74"/>
    </row>
    <row r="613">
      <c r="L613" s="2"/>
      <c r="BM613" s="73"/>
      <c r="BN613" s="74"/>
      <c r="BO613" s="74"/>
      <c r="BP613" s="74"/>
      <c r="BQ613" s="74"/>
      <c r="BR613" s="74"/>
      <c r="BS613" s="74"/>
      <c r="BT613" s="74"/>
      <c r="BU613" s="74"/>
      <c r="BV613" s="74"/>
      <c r="BW613" s="74"/>
      <c r="BX613" s="74"/>
      <c r="BY613" s="74"/>
      <c r="BZ613" s="74"/>
    </row>
    <row r="614">
      <c r="L614" s="2"/>
      <c r="BM614" s="73"/>
      <c r="BN614" s="74"/>
      <c r="BO614" s="74"/>
      <c r="BP614" s="74"/>
      <c r="BQ614" s="74"/>
      <c r="BR614" s="74"/>
      <c r="BS614" s="74"/>
      <c r="BT614" s="74"/>
      <c r="BU614" s="74"/>
      <c r="BV614" s="74"/>
      <c r="BW614" s="74"/>
      <c r="BX614" s="74"/>
      <c r="BY614" s="74"/>
      <c r="BZ614" s="74"/>
    </row>
    <row r="615">
      <c r="L615" s="2"/>
      <c r="BM615" s="73"/>
      <c r="BN615" s="74"/>
      <c r="BO615" s="74"/>
      <c r="BP615" s="74"/>
      <c r="BQ615" s="74"/>
      <c r="BR615" s="74"/>
      <c r="BS615" s="74"/>
      <c r="BT615" s="74"/>
      <c r="BU615" s="74"/>
      <c r="BV615" s="74"/>
      <c r="BW615" s="74"/>
      <c r="BX615" s="74"/>
      <c r="BY615" s="74"/>
      <c r="BZ615" s="74"/>
    </row>
    <row r="616">
      <c r="L616" s="2"/>
      <c r="BM616" s="73"/>
      <c r="BN616" s="74"/>
      <c r="BO616" s="74"/>
      <c r="BP616" s="74"/>
      <c r="BQ616" s="74"/>
      <c r="BR616" s="74"/>
      <c r="BS616" s="74"/>
      <c r="BT616" s="74"/>
      <c r="BU616" s="74"/>
      <c r="BV616" s="74"/>
      <c r="BW616" s="74"/>
      <c r="BX616" s="74"/>
      <c r="BY616" s="74"/>
      <c r="BZ616" s="74"/>
    </row>
    <row r="617">
      <c r="L617" s="2"/>
      <c r="BM617" s="73"/>
      <c r="BN617" s="74"/>
      <c r="BO617" s="74"/>
      <c r="BP617" s="74"/>
      <c r="BQ617" s="74"/>
      <c r="BR617" s="74"/>
      <c r="BS617" s="74"/>
      <c r="BT617" s="74"/>
      <c r="BU617" s="74"/>
      <c r="BV617" s="74"/>
      <c r="BW617" s="74"/>
      <c r="BX617" s="74"/>
      <c r="BY617" s="74"/>
      <c r="BZ617" s="74"/>
    </row>
    <row r="618">
      <c r="L618" s="2"/>
      <c r="BM618" s="73"/>
      <c r="BN618" s="74"/>
      <c r="BO618" s="74"/>
      <c r="BP618" s="74"/>
      <c r="BQ618" s="74"/>
      <c r="BR618" s="74"/>
      <c r="BS618" s="74"/>
      <c r="BT618" s="74"/>
      <c r="BU618" s="74"/>
      <c r="BV618" s="74"/>
      <c r="BW618" s="74"/>
      <c r="BX618" s="74"/>
      <c r="BY618" s="74"/>
      <c r="BZ618" s="74"/>
    </row>
    <row r="619">
      <c r="L619" s="2"/>
      <c r="BM619" s="73"/>
      <c r="BN619" s="74"/>
      <c r="BO619" s="74"/>
      <c r="BP619" s="74"/>
      <c r="BQ619" s="74"/>
      <c r="BR619" s="74"/>
      <c r="BS619" s="74"/>
      <c r="BT619" s="74"/>
      <c r="BU619" s="74"/>
      <c r="BV619" s="74"/>
      <c r="BW619" s="74"/>
      <c r="BX619" s="74"/>
      <c r="BY619" s="74"/>
      <c r="BZ619" s="74"/>
    </row>
    <row r="620">
      <c r="L620" s="2"/>
      <c r="BM620" s="73"/>
      <c r="BN620" s="74"/>
      <c r="BO620" s="74"/>
      <c r="BP620" s="74"/>
      <c r="BQ620" s="74"/>
      <c r="BR620" s="74"/>
      <c r="BS620" s="74"/>
      <c r="BT620" s="74"/>
      <c r="BU620" s="74"/>
      <c r="BV620" s="74"/>
      <c r="BW620" s="74"/>
      <c r="BX620" s="74"/>
      <c r="BY620" s="74"/>
      <c r="BZ620" s="74"/>
    </row>
    <row r="621">
      <c r="L621" s="2"/>
      <c r="BM621" s="73"/>
      <c r="BN621" s="74"/>
      <c r="BO621" s="74"/>
      <c r="BP621" s="74"/>
      <c r="BQ621" s="74"/>
      <c r="BR621" s="74"/>
      <c r="BS621" s="74"/>
      <c r="BT621" s="74"/>
      <c r="BU621" s="74"/>
      <c r="BV621" s="74"/>
      <c r="BW621" s="74"/>
      <c r="BX621" s="74"/>
      <c r="BY621" s="74"/>
      <c r="BZ621" s="74"/>
    </row>
    <row r="622">
      <c r="L622" s="2"/>
      <c r="BM622" s="73"/>
      <c r="BN622" s="74"/>
      <c r="BO622" s="74"/>
      <c r="BP622" s="74"/>
      <c r="BQ622" s="74"/>
      <c r="BR622" s="74"/>
      <c r="BS622" s="74"/>
      <c r="BT622" s="74"/>
      <c r="BU622" s="74"/>
      <c r="BV622" s="74"/>
      <c r="BW622" s="74"/>
      <c r="BX622" s="74"/>
      <c r="BY622" s="74"/>
      <c r="BZ622" s="74"/>
    </row>
    <row r="623">
      <c r="L623" s="2"/>
      <c r="BM623" s="73"/>
      <c r="BN623" s="74"/>
      <c r="BO623" s="74"/>
      <c r="BP623" s="74"/>
      <c r="BQ623" s="74"/>
      <c r="BR623" s="74"/>
      <c r="BS623" s="74"/>
      <c r="BT623" s="74"/>
      <c r="BU623" s="74"/>
      <c r="BV623" s="74"/>
      <c r="BW623" s="74"/>
      <c r="BX623" s="74"/>
      <c r="BY623" s="74"/>
      <c r="BZ623" s="74"/>
    </row>
    <row r="624">
      <c r="L624" s="2"/>
      <c r="BM624" s="73"/>
      <c r="BN624" s="74"/>
      <c r="BO624" s="74"/>
      <c r="BP624" s="74"/>
      <c r="BQ624" s="74"/>
      <c r="BR624" s="74"/>
      <c r="BS624" s="74"/>
      <c r="BT624" s="74"/>
      <c r="BU624" s="74"/>
      <c r="BV624" s="74"/>
      <c r="BW624" s="74"/>
      <c r="BX624" s="74"/>
      <c r="BY624" s="74"/>
      <c r="BZ624" s="74"/>
    </row>
    <row r="625">
      <c r="L625" s="2"/>
      <c r="BM625" s="73"/>
      <c r="BN625" s="74"/>
      <c r="BO625" s="74"/>
      <c r="BP625" s="74"/>
      <c r="BQ625" s="74"/>
      <c r="BR625" s="74"/>
      <c r="BS625" s="74"/>
      <c r="BT625" s="74"/>
      <c r="BU625" s="74"/>
      <c r="BV625" s="74"/>
      <c r="BW625" s="74"/>
      <c r="BX625" s="74"/>
      <c r="BY625" s="74"/>
      <c r="BZ625" s="74"/>
    </row>
    <row r="626">
      <c r="L626" s="2"/>
      <c r="BM626" s="73"/>
      <c r="BN626" s="74"/>
      <c r="BO626" s="74"/>
      <c r="BP626" s="74"/>
      <c r="BQ626" s="74"/>
      <c r="BR626" s="74"/>
      <c r="BS626" s="74"/>
      <c r="BT626" s="74"/>
      <c r="BU626" s="74"/>
      <c r="BV626" s="74"/>
      <c r="BW626" s="74"/>
      <c r="BX626" s="74"/>
      <c r="BY626" s="74"/>
      <c r="BZ626" s="74"/>
    </row>
    <row r="627">
      <c r="L627" s="2"/>
      <c r="BM627" s="73"/>
      <c r="BN627" s="74"/>
      <c r="BO627" s="74"/>
      <c r="BP627" s="74"/>
      <c r="BQ627" s="74"/>
      <c r="BR627" s="74"/>
      <c r="BS627" s="74"/>
      <c r="BT627" s="74"/>
      <c r="BU627" s="74"/>
      <c r="BV627" s="74"/>
      <c r="BW627" s="74"/>
      <c r="BX627" s="74"/>
      <c r="BY627" s="74"/>
      <c r="BZ627" s="74"/>
    </row>
    <row r="628">
      <c r="L628" s="2"/>
      <c r="BM628" s="73"/>
      <c r="BN628" s="74"/>
      <c r="BO628" s="74"/>
      <c r="BP628" s="74"/>
      <c r="BQ628" s="74"/>
      <c r="BR628" s="74"/>
      <c r="BS628" s="74"/>
      <c r="BT628" s="74"/>
      <c r="BU628" s="74"/>
      <c r="BV628" s="74"/>
      <c r="BW628" s="74"/>
      <c r="BX628" s="74"/>
      <c r="BY628" s="74"/>
      <c r="BZ628" s="74"/>
    </row>
    <row r="629">
      <c r="L629" s="2"/>
      <c r="BM629" s="73"/>
      <c r="BN629" s="74"/>
      <c r="BO629" s="74"/>
      <c r="BP629" s="74"/>
      <c r="BQ629" s="74"/>
      <c r="BR629" s="74"/>
      <c r="BS629" s="74"/>
      <c r="BT629" s="74"/>
      <c r="BU629" s="74"/>
      <c r="BV629" s="74"/>
      <c r="BW629" s="74"/>
      <c r="BX629" s="74"/>
      <c r="BY629" s="74"/>
      <c r="BZ629" s="74"/>
    </row>
    <row r="630">
      <c r="L630" s="2"/>
      <c r="BM630" s="73"/>
      <c r="BN630" s="74"/>
      <c r="BO630" s="74"/>
      <c r="BP630" s="74"/>
      <c r="BQ630" s="74"/>
      <c r="BR630" s="74"/>
      <c r="BS630" s="74"/>
      <c r="BT630" s="74"/>
      <c r="BU630" s="74"/>
      <c r="BV630" s="74"/>
      <c r="BW630" s="74"/>
      <c r="BX630" s="74"/>
      <c r="BY630" s="74"/>
      <c r="BZ630" s="74"/>
    </row>
    <row r="631">
      <c r="L631" s="2"/>
      <c r="BM631" s="73"/>
      <c r="BN631" s="74"/>
      <c r="BO631" s="74"/>
      <c r="BP631" s="74"/>
      <c r="BQ631" s="74"/>
      <c r="BR631" s="74"/>
      <c r="BS631" s="74"/>
      <c r="BT631" s="74"/>
      <c r="BU631" s="74"/>
      <c r="BV631" s="74"/>
      <c r="BW631" s="74"/>
      <c r="BX631" s="74"/>
      <c r="BY631" s="74"/>
      <c r="BZ631" s="74"/>
    </row>
    <row r="632">
      <c r="L632" s="2"/>
      <c r="BM632" s="73"/>
      <c r="BN632" s="74"/>
      <c r="BO632" s="74"/>
      <c r="BP632" s="74"/>
      <c r="BQ632" s="74"/>
      <c r="BR632" s="74"/>
      <c r="BS632" s="74"/>
      <c r="BT632" s="74"/>
      <c r="BU632" s="74"/>
      <c r="BV632" s="74"/>
      <c r="BW632" s="74"/>
      <c r="BX632" s="74"/>
      <c r="BY632" s="74"/>
      <c r="BZ632" s="74"/>
    </row>
    <row r="633">
      <c r="L633" s="2"/>
      <c r="BM633" s="73"/>
      <c r="BN633" s="74"/>
      <c r="BO633" s="74"/>
      <c r="BP633" s="74"/>
      <c r="BQ633" s="74"/>
      <c r="BR633" s="74"/>
      <c r="BS633" s="74"/>
      <c r="BT633" s="74"/>
      <c r="BU633" s="74"/>
      <c r="BV633" s="74"/>
      <c r="BW633" s="74"/>
      <c r="BX633" s="74"/>
      <c r="BY633" s="74"/>
      <c r="BZ633" s="74"/>
    </row>
    <row r="634">
      <c r="L634" s="2"/>
      <c r="BM634" s="73"/>
      <c r="BN634" s="74"/>
      <c r="BO634" s="74"/>
      <c r="BP634" s="74"/>
      <c r="BQ634" s="74"/>
      <c r="BR634" s="74"/>
      <c r="BS634" s="74"/>
      <c r="BT634" s="74"/>
      <c r="BU634" s="74"/>
      <c r="BV634" s="74"/>
      <c r="BW634" s="74"/>
      <c r="BX634" s="74"/>
      <c r="BY634" s="74"/>
      <c r="BZ634" s="74"/>
    </row>
    <row r="635">
      <c r="L635" s="2"/>
      <c r="BM635" s="73"/>
      <c r="BN635" s="74"/>
      <c r="BO635" s="74"/>
      <c r="BP635" s="74"/>
      <c r="BQ635" s="74"/>
      <c r="BR635" s="74"/>
      <c r="BS635" s="74"/>
      <c r="BT635" s="74"/>
      <c r="BU635" s="74"/>
      <c r="BV635" s="74"/>
      <c r="BW635" s="74"/>
      <c r="BX635" s="74"/>
      <c r="BY635" s="74"/>
      <c r="BZ635" s="74"/>
    </row>
    <row r="636">
      <c r="L636" s="2"/>
      <c r="BM636" s="73"/>
      <c r="BN636" s="74"/>
      <c r="BO636" s="74"/>
      <c r="BP636" s="74"/>
      <c r="BQ636" s="74"/>
      <c r="BR636" s="74"/>
      <c r="BS636" s="74"/>
      <c r="BT636" s="74"/>
      <c r="BU636" s="74"/>
      <c r="BV636" s="74"/>
      <c r="BW636" s="74"/>
      <c r="BX636" s="74"/>
      <c r="BY636" s="74"/>
      <c r="BZ636" s="74"/>
    </row>
    <row r="637">
      <c r="L637" s="2"/>
      <c r="BM637" s="73"/>
      <c r="BN637" s="74"/>
      <c r="BO637" s="74"/>
      <c r="BP637" s="74"/>
      <c r="BQ637" s="74"/>
      <c r="BR637" s="74"/>
      <c r="BS637" s="74"/>
      <c r="BT637" s="74"/>
      <c r="BU637" s="74"/>
      <c r="BV637" s="74"/>
      <c r="BW637" s="74"/>
      <c r="BX637" s="74"/>
      <c r="BY637" s="74"/>
      <c r="BZ637" s="74"/>
    </row>
    <row r="638">
      <c r="L638" s="2"/>
      <c r="BM638" s="73"/>
      <c r="BN638" s="74"/>
      <c r="BO638" s="74"/>
      <c r="BP638" s="74"/>
      <c r="BQ638" s="74"/>
      <c r="BR638" s="74"/>
      <c r="BS638" s="74"/>
      <c r="BT638" s="74"/>
      <c r="BU638" s="74"/>
      <c r="BV638" s="74"/>
      <c r="BW638" s="74"/>
      <c r="BX638" s="74"/>
      <c r="BY638" s="74"/>
      <c r="BZ638" s="74"/>
    </row>
    <row r="639">
      <c r="L639" s="2"/>
      <c r="BM639" s="73"/>
      <c r="BN639" s="74"/>
      <c r="BO639" s="74"/>
      <c r="BP639" s="74"/>
      <c r="BQ639" s="74"/>
      <c r="BR639" s="74"/>
      <c r="BS639" s="74"/>
      <c r="BT639" s="74"/>
      <c r="BU639" s="74"/>
      <c r="BV639" s="74"/>
      <c r="BW639" s="74"/>
      <c r="BX639" s="74"/>
      <c r="BY639" s="74"/>
      <c r="BZ639" s="74"/>
    </row>
    <row r="640">
      <c r="L640" s="2"/>
      <c r="BM640" s="73"/>
      <c r="BN640" s="74"/>
      <c r="BO640" s="74"/>
      <c r="BP640" s="74"/>
      <c r="BQ640" s="74"/>
      <c r="BR640" s="74"/>
      <c r="BS640" s="74"/>
      <c r="BT640" s="74"/>
      <c r="BU640" s="74"/>
      <c r="BV640" s="74"/>
      <c r="BW640" s="74"/>
      <c r="BX640" s="74"/>
      <c r="BY640" s="74"/>
      <c r="BZ640" s="74"/>
    </row>
    <row r="641">
      <c r="L641" s="2"/>
      <c r="BM641" s="73"/>
      <c r="BN641" s="74"/>
      <c r="BO641" s="74"/>
      <c r="BP641" s="74"/>
      <c r="BQ641" s="74"/>
      <c r="BR641" s="74"/>
      <c r="BS641" s="74"/>
      <c r="BT641" s="74"/>
      <c r="BU641" s="74"/>
      <c r="BV641" s="74"/>
      <c r="BW641" s="74"/>
      <c r="BX641" s="74"/>
      <c r="BY641" s="74"/>
      <c r="BZ641" s="74"/>
    </row>
    <row r="642">
      <c r="L642" s="2"/>
      <c r="BM642" s="73"/>
      <c r="BN642" s="74"/>
      <c r="BO642" s="74"/>
      <c r="BP642" s="74"/>
      <c r="BQ642" s="74"/>
      <c r="BR642" s="74"/>
      <c r="BS642" s="74"/>
      <c r="BT642" s="74"/>
      <c r="BU642" s="74"/>
      <c r="BV642" s="74"/>
      <c r="BW642" s="74"/>
      <c r="BX642" s="74"/>
      <c r="BY642" s="74"/>
      <c r="BZ642" s="74"/>
    </row>
    <row r="643">
      <c r="L643" s="2"/>
      <c r="BM643" s="73"/>
      <c r="BN643" s="74"/>
      <c r="BO643" s="74"/>
      <c r="BP643" s="74"/>
      <c r="BQ643" s="74"/>
      <c r="BR643" s="74"/>
      <c r="BS643" s="74"/>
      <c r="BT643" s="74"/>
      <c r="BU643" s="74"/>
      <c r="BV643" s="74"/>
      <c r="BW643" s="74"/>
      <c r="BX643" s="74"/>
      <c r="BY643" s="74"/>
      <c r="BZ643" s="74"/>
    </row>
    <row r="644">
      <c r="L644" s="2"/>
      <c r="BM644" s="73"/>
      <c r="BN644" s="74"/>
      <c r="BO644" s="74"/>
      <c r="BP644" s="74"/>
      <c r="BQ644" s="74"/>
      <c r="BR644" s="74"/>
      <c r="BS644" s="74"/>
      <c r="BT644" s="74"/>
      <c r="BU644" s="74"/>
      <c r="BV644" s="74"/>
      <c r="BW644" s="74"/>
      <c r="BX644" s="74"/>
      <c r="BY644" s="74"/>
      <c r="BZ644" s="74"/>
    </row>
    <row r="645">
      <c r="L645" s="2"/>
      <c r="BM645" s="73"/>
      <c r="BN645" s="74"/>
      <c r="BO645" s="74"/>
      <c r="BP645" s="74"/>
      <c r="BQ645" s="74"/>
      <c r="BR645" s="74"/>
      <c r="BS645" s="74"/>
      <c r="BT645" s="74"/>
      <c r="BU645" s="74"/>
      <c r="BV645" s="74"/>
      <c r="BW645" s="74"/>
      <c r="BX645" s="74"/>
      <c r="BY645" s="74"/>
      <c r="BZ645" s="74"/>
    </row>
    <row r="646">
      <c r="L646" s="2"/>
      <c r="BM646" s="73"/>
      <c r="BN646" s="74"/>
      <c r="BO646" s="74"/>
      <c r="BP646" s="74"/>
      <c r="BQ646" s="74"/>
      <c r="BR646" s="74"/>
      <c r="BS646" s="74"/>
      <c r="BT646" s="74"/>
      <c r="BU646" s="74"/>
      <c r="BV646" s="74"/>
      <c r="BW646" s="74"/>
      <c r="BX646" s="74"/>
      <c r="BY646" s="74"/>
      <c r="BZ646" s="74"/>
    </row>
    <row r="647">
      <c r="L647" s="2"/>
      <c r="BM647" s="73"/>
      <c r="BN647" s="74"/>
      <c r="BO647" s="74"/>
      <c r="BP647" s="74"/>
      <c r="BQ647" s="74"/>
      <c r="BR647" s="74"/>
      <c r="BS647" s="74"/>
      <c r="BT647" s="74"/>
      <c r="BU647" s="74"/>
      <c r="BV647" s="74"/>
      <c r="BW647" s="74"/>
      <c r="BX647" s="74"/>
      <c r="BY647" s="74"/>
      <c r="BZ647" s="74"/>
    </row>
    <row r="648">
      <c r="L648" s="2"/>
      <c r="BM648" s="73"/>
      <c r="BN648" s="74"/>
      <c r="BO648" s="74"/>
      <c r="BP648" s="74"/>
      <c r="BQ648" s="74"/>
      <c r="BR648" s="74"/>
      <c r="BS648" s="74"/>
      <c r="BT648" s="74"/>
      <c r="BU648" s="74"/>
      <c r="BV648" s="74"/>
      <c r="BW648" s="74"/>
      <c r="BX648" s="74"/>
      <c r="BY648" s="74"/>
      <c r="BZ648" s="74"/>
    </row>
    <row r="649">
      <c r="L649" s="2"/>
      <c r="BM649" s="73"/>
      <c r="BN649" s="74"/>
      <c r="BO649" s="74"/>
      <c r="BP649" s="74"/>
      <c r="BQ649" s="74"/>
      <c r="BR649" s="74"/>
      <c r="BS649" s="74"/>
      <c r="BT649" s="74"/>
      <c r="BU649" s="74"/>
      <c r="BV649" s="74"/>
      <c r="BW649" s="74"/>
      <c r="BX649" s="74"/>
      <c r="BY649" s="74"/>
      <c r="BZ649" s="74"/>
    </row>
    <row r="650">
      <c r="L650" s="2"/>
      <c r="BM650" s="73"/>
      <c r="BN650" s="74"/>
      <c r="BO650" s="74"/>
      <c r="BP650" s="74"/>
      <c r="BQ650" s="74"/>
      <c r="BR650" s="74"/>
      <c r="BS650" s="74"/>
      <c r="BT650" s="74"/>
      <c r="BU650" s="74"/>
      <c r="BV650" s="74"/>
      <c r="BW650" s="74"/>
      <c r="BX650" s="74"/>
      <c r="BY650" s="74"/>
      <c r="BZ650" s="74"/>
    </row>
    <row r="651">
      <c r="L651" s="2"/>
      <c r="BM651" s="73"/>
      <c r="BN651" s="74"/>
      <c r="BO651" s="74"/>
      <c r="BP651" s="74"/>
      <c r="BQ651" s="74"/>
      <c r="BR651" s="74"/>
      <c r="BS651" s="74"/>
      <c r="BT651" s="74"/>
      <c r="BU651" s="74"/>
      <c r="BV651" s="74"/>
      <c r="BW651" s="74"/>
      <c r="BX651" s="74"/>
      <c r="BY651" s="74"/>
      <c r="BZ651" s="74"/>
    </row>
    <row r="652">
      <c r="L652" s="2"/>
      <c r="BM652" s="73"/>
      <c r="BN652" s="74"/>
      <c r="BO652" s="74"/>
      <c r="BP652" s="74"/>
      <c r="BQ652" s="74"/>
      <c r="BR652" s="74"/>
      <c r="BS652" s="74"/>
      <c r="BT652" s="74"/>
      <c r="BU652" s="74"/>
      <c r="BV652" s="74"/>
      <c r="BW652" s="74"/>
      <c r="BX652" s="74"/>
      <c r="BY652" s="74"/>
      <c r="BZ652" s="74"/>
    </row>
    <row r="653">
      <c r="L653" s="2"/>
      <c r="BM653" s="73"/>
      <c r="BN653" s="74"/>
      <c r="BO653" s="74"/>
      <c r="BP653" s="74"/>
      <c r="BQ653" s="74"/>
      <c r="BR653" s="74"/>
      <c r="BS653" s="74"/>
      <c r="BT653" s="74"/>
      <c r="BU653" s="74"/>
      <c r="BV653" s="74"/>
      <c r="BW653" s="74"/>
      <c r="BX653" s="74"/>
      <c r="BY653" s="74"/>
      <c r="BZ653" s="74"/>
    </row>
    <row r="654">
      <c r="L654" s="2"/>
      <c r="BM654" s="73"/>
      <c r="BN654" s="74"/>
      <c r="BO654" s="74"/>
      <c r="BP654" s="74"/>
      <c r="BQ654" s="74"/>
      <c r="BR654" s="74"/>
      <c r="BS654" s="74"/>
      <c r="BT654" s="74"/>
      <c r="BU654" s="74"/>
      <c r="BV654" s="74"/>
      <c r="BW654" s="74"/>
      <c r="BX654" s="74"/>
      <c r="BY654" s="74"/>
      <c r="BZ654" s="74"/>
    </row>
    <row r="655">
      <c r="L655" s="2"/>
      <c r="BM655" s="73"/>
      <c r="BN655" s="74"/>
      <c r="BO655" s="74"/>
      <c r="BP655" s="74"/>
      <c r="BQ655" s="74"/>
      <c r="BR655" s="74"/>
      <c r="BS655" s="74"/>
      <c r="BT655" s="74"/>
      <c r="BU655" s="74"/>
      <c r="BV655" s="74"/>
      <c r="BW655" s="74"/>
      <c r="BX655" s="74"/>
      <c r="BY655" s="74"/>
      <c r="BZ655" s="74"/>
    </row>
    <row r="656">
      <c r="L656" s="2"/>
      <c r="BM656" s="73"/>
      <c r="BN656" s="74"/>
      <c r="BO656" s="74"/>
      <c r="BP656" s="74"/>
      <c r="BQ656" s="74"/>
      <c r="BR656" s="74"/>
      <c r="BS656" s="74"/>
      <c r="BT656" s="74"/>
      <c r="BU656" s="74"/>
      <c r="BV656" s="74"/>
      <c r="BW656" s="74"/>
      <c r="BX656" s="74"/>
      <c r="BY656" s="74"/>
      <c r="BZ656" s="74"/>
    </row>
    <row r="657">
      <c r="L657" s="2"/>
      <c r="BM657" s="73"/>
      <c r="BN657" s="74"/>
      <c r="BO657" s="74"/>
      <c r="BP657" s="74"/>
      <c r="BQ657" s="74"/>
      <c r="BR657" s="74"/>
      <c r="BS657" s="74"/>
      <c r="BT657" s="74"/>
      <c r="BU657" s="74"/>
      <c r="BV657" s="74"/>
      <c r="BW657" s="74"/>
      <c r="BX657" s="74"/>
      <c r="BY657" s="74"/>
      <c r="BZ657" s="74"/>
    </row>
    <row r="658">
      <c r="L658" s="2"/>
      <c r="BM658" s="73"/>
      <c r="BN658" s="74"/>
      <c r="BO658" s="74"/>
      <c r="BP658" s="74"/>
      <c r="BQ658" s="74"/>
      <c r="BR658" s="74"/>
      <c r="BS658" s="74"/>
      <c r="BT658" s="74"/>
      <c r="BU658" s="74"/>
      <c r="BV658" s="74"/>
      <c r="BW658" s="74"/>
      <c r="BX658" s="74"/>
      <c r="BY658" s="74"/>
      <c r="BZ658" s="74"/>
    </row>
    <row r="659">
      <c r="L659" s="2"/>
      <c r="BM659" s="73"/>
      <c r="BN659" s="74"/>
      <c r="BO659" s="74"/>
      <c r="BP659" s="74"/>
      <c r="BQ659" s="74"/>
      <c r="BR659" s="74"/>
      <c r="BS659" s="74"/>
      <c r="BT659" s="74"/>
      <c r="BU659" s="74"/>
      <c r="BV659" s="74"/>
      <c r="BW659" s="74"/>
      <c r="BX659" s="74"/>
      <c r="BY659" s="74"/>
      <c r="BZ659" s="74"/>
    </row>
    <row r="660">
      <c r="L660" s="2"/>
      <c r="BM660" s="73"/>
      <c r="BN660" s="74"/>
      <c r="BO660" s="74"/>
      <c r="BP660" s="74"/>
      <c r="BQ660" s="74"/>
      <c r="BR660" s="74"/>
      <c r="BS660" s="74"/>
      <c r="BT660" s="74"/>
      <c r="BU660" s="74"/>
      <c r="BV660" s="74"/>
      <c r="BW660" s="74"/>
      <c r="BX660" s="74"/>
      <c r="BY660" s="74"/>
      <c r="BZ660" s="74"/>
    </row>
    <row r="661">
      <c r="L661" s="2"/>
      <c r="BM661" s="73"/>
      <c r="BN661" s="74"/>
      <c r="BO661" s="74"/>
      <c r="BP661" s="74"/>
      <c r="BQ661" s="74"/>
      <c r="BR661" s="74"/>
      <c r="BS661" s="74"/>
      <c r="BT661" s="74"/>
      <c r="BU661" s="74"/>
      <c r="BV661" s="74"/>
      <c r="BW661" s="74"/>
      <c r="BX661" s="74"/>
      <c r="BY661" s="74"/>
      <c r="BZ661" s="74"/>
    </row>
    <row r="662">
      <c r="L662" s="2"/>
      <c r="BM662" s="73"/>
      <c r="BN662" s="74"/>
      <c r="BO662" s="74"/>
      <c r="BP662" s="74"/>
      <c r="BQ662" s="74"/>
      <c r="BR662" s="74"/>
      <c r="BS662" s="74"/>
      <c r="BT662" s="74"/>
      <c r="BU662" s="74"/>
      <c r="BV662" s="74"/>
      <c r="BW662" s="74"/>
      <c r="BX662" s="74"/>
      <c r="BY662" s="74"/>
      <c r="BZ662" s="74"/>
    </row>
    <row r="663">
      <c r="L663" s="2"/>
      <c r="BM663" s="73"/>
      <c r="BN663" s="74"/>
      <c r="BO663" s="74"/>
      <c r="BP663" s="74"/>
      <c r="BQ663" s="74"/>
      <c r="BR663" s="74"/>
      <c r="BS663" s="74"/>
      <c r="BT663" s="74"/>
      <c r="BU663" s="74"/>
      <c r="BV663" s="74"/>
      <c r="BW663" s="74"/>
      <c r="BX663" s="74"/>
      <c r="BY663" s="74"/>
      <c r="BZ663" s="74"/>
    </row>
    <row r="664">
      <c r="L664" s="2"/>
      <c r="BM664" s="73"/>
      <c r="BN664" s="74"/>
      <c r="BO664" s="74"/>
      <c r="BP664" s="74"/>
      <c r="BQ664" s="74"/>
      <c r="BR664" s="74"/>
      <c r="BS664" s="74"/>
      <c r="BT664" s="74"/>
      <c r="BU664" s="74"/>
      <c r="BV664" s="74"/>
      <c r="BW664" s="74"/>
      <c r="BX664" s="74"/>
      <c r="BY664" s="74"/>
      <c r="BZ664" s="74"/>
    </row>
    <row r="665">
      <c r="L665" s="2"/>
      <c r="BM665" s="73"/>
      <c r="BN665" s="74"/>
      <c r="BO665" s="74"/>
      <c r="BP665" s="74"/>
      <c r="BQ665" s="74"/>
      <c r="BR665" s="74"/>
      <c r="BS665" s="74"/>
      <c r="BT665" s="74"/>
      <c r="BU665" s="74"/>
      <c r="BV665" s="74"/>
      <c r="BW665" s="74"/>
      <c r="BX665" s="74"/>
      <c r="BY665" s="74"/>
      <c r="BZ665" s="74"/>
    </row>
    <row r="666">
      <c r="L666" s="2"/>
      <c r="BM666" s="73"/>
      <c r="BN666" s="74"/>
      <c r="BO666" s="74"/>
      <c r="BP666" s="74"/>
      <c r="BQ666" s="74"/>
      <c r="BR666" s="74"/>
      <c r="BS666" s="74"/>
      <c r="BT666" s="74"/>
      <c r="BU666" s="74"/>
      <c r="BV666" s="74"/>
      <c r="BW666" s="74"/>
      <c r="BX666" s="74"/>
      <c r="BY666" s="74"/>
      <c r="BZ666" s="74"/>
    </row>
    <row r="667">
      <c r="L667" s="2"/>
      <c r="BM667" s="73"/>
      <c r="BN667" s="74"/>
      <c r="BO667" s="74"/>
      <c r="BP667" s="74"/>
      <c r="BQ667" s="74"/>
      <c r="BR667" s="74"/>
      <c r="BS667" s="74"/>
      <c r="BT667" s="74"/>
      <c r="BU667" s="74"/>
      <c r="BV667" s="74"/>
      <c r="BW667" s="74"/>
      <c r="BX667" s="74"/>
      <c r="BY667" s="74"/>
      <c r="BZ667" s="74"/>
    </row>
    <row r="668">
      <c r="L668" s="2"/>
      <c r="BM668" s="73"/>
      <c r="BN668" s="74"/>
      <c r="BO668" s="74"/>
      <c r="BP668" s="74"/>
      <c r="BQ668" s="74"/>
      <c r="BR668" s="74"/>
      <c r="BS668" s="74"/>
      <c r="BT668" s="74"/>
      <c r="BU668" s="74"/>
      <c r="BV668" s="74"/>
      <c r="BW668" s="74"/>
      <c r="BX668" s="74"/>
      <c r="BY668" s="74"/>
      <c r="BZ668" s="74"/>
    </row>
    <row r="669">
      <c r="L669" s="2"/>
      <c r="BM669" s="73"/>
      <c r="BN669" s="74"/>
      <c r="BO669" s="74"/>
      <c r="BP669" s="74"/>
      <c r="BQ669" s="74"/>
      <c r="BR669" s="74"/>
      <c r="BS669" s="74"/>
      <c r="BT669" s="74"/>
      <c r="BU669" s="74"/>
      <c r="BV669" s="74"/>
      <c r="BW669" s="74"/>
      <c r="BX669" s="74"/>
      <c r="BY669" s="74"/>
      <c r="BZ669" s="74"/>
    </row>
    <row r="670">
      <c r="L670" s="2"/>
      <c r="BM670" s="73"/>
      <c r="BN670" s="74"/>
      <c r="BO670" s="74"/>
      <c r="BP670" s="74"/>
      <c r="BQ670" s="74"/>
      <c r="BR670" s="74"/>
      <c r="BS670" s="74"/>
      <c r="BT670" s="74"/>
      <c r="BU670" s="74"/>
      <c r="BV670" s="74"/>
      <c r="BW670" s="74"/>
      <c r="BX670" s="74"/>
      <c r="BY670" s="74"/>
      <c r="BZ670" s="74"/>
    </row>
    <row r="671">
      <c r="L671" s="2"/>
      <c r="BM671" s="73"/>
      <c r="BN671" s="74"/>
      <c r="BO671" s="74"/>
      <c r="BP671" s="74"/>
      <c r="BQ671" s="74"/>
      <c r="BR671" s="74"/>
      <c r="BS671" s="74"/>
      <c r="BT671" s="74"/>
      <c r="BU671" s="74"/>
      <c r="BV671" s="74"/>
      <c r="BW671" s="74"/>
      <c r="BX671" s="74"/>
      <c r="BY671" s="74"/>
      <c r="BZ671" s="74"/>
    </row>
    <row r="672">
      <c r="L672" s="2"/>
      <c r="BM672" s="73"/>
      <c r="BN672" s="74"/>
      <c r="BO672" s="74"/>
      <c r="BP672" s="74"/>
      <c r="BQ672" s="74"/>
      <c r="BR672" s="74"/>
      <c r="BS672" s="74"/>
      <c r="BT672" s="74"/>
      <c r="BU672" s="74"/>
      <c r="BV672" s="74"/>
      <c r="BW672" s="74"/>
      <c r="BX672" s="74"/>
      <c r="BY672" s="74"/>
      <c r="BZ672" s="74"/>
    </row>
    <row r="673">
      <c r="L673" s="2"/>
      <c r="BM673" s="73"/>
      <c r="BN673" s="74"/>
      <c r="BO673" s="74"/>
      <c r="BP673" s="74"/>
      <c r="BQ673" s="74"/>
      <c r="BR673" s="74"/>
      <c r="BS673" s="74"/>
      <c r="BT673" s="74"/>
      <c r="BU673" s="74"/>
      <c r="BV673" s="74"/>
      <c r="BW673" s="74"/>
      <c r="BX673" s="74"/>
      <c r="BY673" s="74"/>
      <c r="BZ673" s="74"/>
    </row>
    <row r="674">
      <c r="L674" s="2"/>
      <c r="BM674" s="73"/>
      <c r="BN674" s="74"/>
      <c r="BO674" s="74"/>
      <c r="BP674" s="74"/>
      <c r="BQ674" s="74"/>
      <c r="BR674" s="74"/>
      <c r="BS674" s="74"/>
      <c r="BT674" s="74"/>
      <c r="BU674" s="74"/>
      <c r="BV674" s="74"/>
      <c r="BW674" s="74"/>
      <c r="BX674" s="74"/>
      <c r="BY674" s="74"/>
      <c r="BZ674" s="74"/>
    </row>
    <row r="675">
      <c r="L675" s="2"/>
      <c r="BM675" s="73"/>
      <c r="BN675" s="74"/>
      <c r="BO675" s="74"/>
      <c r="BP675" s="74"/>
      <c r="BQ675" s="74"/>
      <c r="BR675" s="74"/>
      <c r="BS675" s="74"/>
      <c r="BT675" s="74"/>
      <c r="BU675" s="74"/>
      <c r="BV675" s="74"/>
      <c r="BW675" s="74"/>
      <c r="BX675" s="74"/>
      <c r="BY675" s="74"/>
      <c r="BZ675" s="74"/>
    </row>
    <row r="676">
      <c r="L676" s="2"/>
      <c r="BM676" s="73"/>
      <c r="BN676" s="74"/>
      <c r="BO676" s="74"/>
      <c r="BP676" s="74"/>
      <c r="BQ676" s="74"/>
      <c r="BR676" s="74"/>
      <c r="BS676" s="74"/>
      <c r="BT676" s="74"/>
      <c r="BU676" s="74"/>
      <c r="BV676" s="74"/>
      <c r="BW676" s="74"/>
      <c r="BX676" s="74"/>
      <c r="BY676" s="74"/>
      <c r="BZ676" s="74"/>
    </row>
    <row r="677">
      <c r="L677" s="2"/>
      <c r="BM677" s="73"/>
      <c r="BN677" s="74"/>
      <c r="BO677" s="74"/>
      <c r="BP677" s="74"/>
      <c r="BQ677" s="74"/>
      <c r="BR677" s="74"/>
      <c r="BS677" s="74"/>
      <c r="BT677" s="74"/>
      <c r="BU677" s="74"/>
      <c r="BV677" s="74"/>
      <c r="BW677" s="74"/>
      <c r="BX677" s="74"/>
      <c r="BY677" s="74"/>
      <c r="BZ677" s="74"/>
    </row>
    <row r="678">
      <c r="L678" s="2"/>
      <c r="BM678" s="73"/>
      <c r="BN678" s="74"/>
      <c r="BO678" s="74"/>
      <c r="BP678" s="74"/>
      <c r="BQ678" s="74"/>
      <c r="BR678" s="74"/>
      <c r="BS678" s="74"/>
      <c r="BT678" s="74"/>
      <c r="BU678" s="74"/>
      <c r="BV678" s="74"/>
      <c r="BW678" s="74"/>
      <c r="BX678" s="74"/>
      <c r="BY678" s="74"/>
      <c r="BZ678" s="74"/>
    </row>
    <row r="679">
      <c r="L679" s="2"/>
      <c r="BM679" s="73"/>
      <c r="BN679" s="74"/>
      <c r="BO679" s="74"/>
      <c r="BP679" s="74"/>
      <c r="BQ679" s="74"/>
      <c r="BR679" s="74"/>
      <c r="BS679" s="74"/>
      <c r="BT679" s="74"/>
      <c r="BU679" s="74"/>
      <c r="BV679" s="74"/>
      <c r="BW679" s="74"/>
      <c r="BX679" s="74"/>
      <c r="BY679" s="74"/>
      <c r="BZ679" s="74"/>
    </row>
    <row r="680">
      <c r="L680" s="2"/>
      <c r="BM680" s="73"/>
      <c r="BN680" s="74"/>
      <c r="BO680" s="74"/>
      <c r="BP680" s="74"/>
      <c r="BQ680" s="74"/>
      <c r="BR680" s="74"/>
      <c r="BS680" s="74"/>
      <c r="BT680" s="74"/>
      <c r="BU680" s="74"/>
      <c r="BV680" s="74"/>
      <c r="BW680" s="74"/>
      <c r="BX680" s="74"/>
      <c r="BY680" s="74"/>
      <c r="BZ680" s="74"/>
    </row>
    <row r="681">
      <c r="L681" s="2"/>
      <c r="BM681" s="73"/>
      <c r="BN681" s="74"/>
      <c r="BO681" s="74"/>
      <c r="BP681" s="74"/>
      <c r="BQ681" s="74"/>
      <c r="BR681" s="74"/>
      <c r="BS681" s="74"/>
      <c r="BT681" s="74"/>
      <c r="BU681" s="74"/>
      <c r="BV681" s="74"/>
      <c r="BW681" s="74"/>
      <c r="BX681" s="74"/>
      <c r="BY681" s="74"/>
      <c r="BZ681" s="74"/>
    </row>
    <row r="682">
      <c r="L682" s="2"/>
      <c r="BM682" s="73"/>
      <c r="BN682" s="74"/>
      <c r="BO682" s="74"/>
      <c r="BP682" s="74"/>
      <c r="BQ682" s="74"/>
      <c r="BR682" s="74"/>
      <c r="BS682" s="74"/>
      <c r="BT682" s="74"/>
      <c r="BU682" s="74"/>
      <c r="BV682" s="74"/>
      <c r="BW682" s="74"/>
      <c r="BX682" s="74"/>
      <c r="BY682" s="74"/>
      <c r="BZ682" s="74"/>
    </row>
    <row r="683">
      <c r="L683" s="2"/>
      <c r="BM683" s="73"/>
      <c r="BN683" s="74"/>
      <c r="BO683" s="74"/>
      <c r="BP683" s="74"/>
      <c r="BQ683" s="74"/>
      <c r="BR683" s="74"/>
      <c r="BS683" s="74"/>
      <c r="BT683" s="74"/>
      <c r="BU683" s="74"/>
      <c r="BV683" s="74"/>
      <c r="BW683" s="74"/>
      <c r="BX683" s="74"/>
      <c r="BY683" s="74"/>
      <c r="BZ683" s="74"/>
    </row>
    <row r="684">
      <c r="L684" s="2"/>
      <c r="BM684" s="73"/>
      <c r="BN684" s="74"/>
      <c r="BO684" s="74"/>
      <c r="BP684" s="74"/>
      <c r="BQ684" s="74"/>
      <c r="BR684" s="74"/>
      <c r="BS684" s="74"/>
      <c r="BT684" s="74"/>
      <c r="BU684" s="74"/>
      <c r="BV684" s="74"/>
      <c r="BW684" s="74"/>
      <c r="BX684" s="74"/>
      <c r="BY684" s="74"/>
      <c r="BZ684" s="74"/>
    </row>
    <row r="685">
      <c r="L685" s="2"/>
      <c r="BM685" s="73"/>
      <c r="BN685" s="74"/>
      <c r="BO685" s="74"/>
      <c r="BP685" s="74"/>
      <c r="BQ685" s="74"/>
      <c r="BR685" s="74"/>
      <c r="BS685" s="74"/>
      <c r="BT685" s="74"/>
      <c r="BU685" s="74"/>
      <c r="BV685" s="74"/>
      <c r="BW685" s="74"/>
      <c r="BX685" s="74"/>
      <c r="BY685" s="74"/>
      <c r="BZ685" s="74"/>
    </row>
    <row r="686">
      <c r="L686" s="2"/>
      <c r="BM686" s="73"/>
      <c r="BN686" s="74"/>
      <c r="BO686" s="74"/>
      <c r="BP686" s="74"/>
      <c r="BQ686" s="74"/>
      <c r="BR686" s="74"/>
      <c r="BS686" s="74"/>
      <c r="BT686" s="74"/>
      <c r="BU686" s="74"/>
      <c r="BV686" s="74"/>
      <c r="BW686" s="74"/>
      <c r="BX686" s="74"/>
      <c r="BY686" s="74"/>
      <c r="BZ686" s="74"/>
    </row>
    <row r="687">
      <c r="L687" s="2"/>
      <c r="BM687" s="73"/>
      <c r="BN687" s="74"/>
      <c r="BO687" s="74"/>
      <c r="BP687" s="74"/>
      <c r="BQ687" s="74"/>
      <c r="BR687" s="74"/>
      <c r="BS687" s="74"/>
      <c r="BT687" s="74"/>
      <c r="BU687" s="74"/>
      <c r="BV687" s="74"/>
      <c r="BW687" s="74"/>
      <c r="BX687" s="74"/>
      <c r="BY687" s="74"/>
      <c r="BZ687" s="74"/>
    </row>
    <row r="688">
      <c r="L688" s="2"/>
      <c r="BM688" s="73"/>
      <c r="BN688" s="74"/>
      <c r="BO688" s="74"/>
      <c r="BP688" s="74"/>
      <c r="BQ688" s="74"/>
      <c r="BR688" s="74"/>
      <c r="BS688" s="74"/>
      <c r="BT688" s="74"/>
      <c r="BU688" s="74"/>
      <c r="BV688" s="74"/>
      <c r="BW688" s="74"/>
      <c r="BX688" s="74"/>
      <c r="BY688" s="74"/>
      <c r="BZ688" s="74"/>
    </row>
    <row r="689">
      <c r="L689" s="2"/>
      <c r="BM689" s="73"/>
      <c r="BN689" s="74"/>
      <c r="BO689" s="74"/>
      <c r="BP689" s="74"/>
      <c r="BQ689" s="74"/>
      <c r="BR689" s="74"/>
      <c r="BS689" s="74"/>
      <c r="BT689" s="74"/>
      <c r="BU689" s="74"/>
      <c r="BV689" s="74"/>
      <c r="BW689" s="74"/>
      <c r="BX689" s="74"/>
      <c r="BY689" s="74"/>
      <c r="BZ689" s="74"/>
    </row>
    <row r="690">
      <c r="L690" s="2"/>
      <c r="BM690" s="73"/>
      <c r="BN690" s="74"/>
      <c r="BO690" s="74"/>
      <c r="BP690" s="74"/>
      <c r="BQ690" s="74"/>
      <c r="BR690" s="74"/>
      <c r="BS690" s="74"/>
      <c r="BT690" s="74"/>
      <c r="BU690" s="74"/>
      <c r="BV690" s="74"/>
      <c r="BW690" s="74"/>
      <c r="BX690" s="74"/>
      <c r="BY690" s="74"/>
      <c r="BZ690" s="74"/>
    </row>
    <row r="691">
      <c r="L691" s="2"/>
      <c r="BM691" s="73"/>
      <c r="BN691" s="74"/>
      <c r="BO691" s="74"/>
      <c r="BP691" s="74"/>
      <c r="BQ691" s="74"/>
      <c r="BR691" s="74"/>
      <c r="BS691" s="74"/>
      <c r="BT691" s="74"/>
      <c r="BU691" s="74"/>
      <c r="BV691" s="74"/>
      <c r="BW691" s="74"/>
      <c r="BX691" s="74"/>
      <c r="BY691" s="74"/>
      <c r="BZ691" s="74"/>
    </row>
    <row r="692">
      <c r="L692" s="2"/>
      <c r="BM692" s="73"/>
      <c r="BN692" s="74"/>
      <c r="BO692" s="74"/>
      <c r="BP692" s="74"/>
      <c r="BQ692" s="74"/>
      <c r="BR692" s="74"/>
      <c r="BS692" s="74"/>
      <c r="BT692" s="74"/>
      <c r="BU692" s="74"/>
      <c r="BV692" s="74"/>
      <c r="BW692" s="74"/>
      <c r="BX692" s="74"/>
      <c r="BY692" s="74"/>
      <c r="BZ692" s="74"/>
    </row>
    <row r="693">
      <c r="L693" s="2"/>
      <c r="BM693" s="73"/>
      <c r="BN693" s="74"/>
      <c r="BO693" s="74"/>
      <c r="BP693" s="74"/>
      <c r="BQ693" s="74"/>
      <c r="BR693" s="74"/>
      <c r="BS693" s="74"/>
      <c r="BT693" s="74"/>
      <c r="BU693" s="74"/>
      <c r="BV693" s="74"/>
      <c r="BW693" s="74"/>
      <c r="BX693" s="74"/>
      <c r="BY693" s="74"/>
      <c r="BZ693" s="74"/>
    </row>
    <row r="694">
      <c r="L694" s="2"/>
      <c r="BM694" s="73"/>
      <c r="BN694" s="74"/>
      <c r="BO694" s="74"/>
      <c r="BP694" s="74"/>
      <c r="BQ694" s="74"/>
      <c r="BR694" s="74"/>
      <c r="BS694" s="74"/>
      <c r="BT694" s="74"/>
      <c r="BU694" s="74"/>
      <c r="BV694" s="74"/>
      <c r="BW694" s="74"/>
      <c r="BX694" s="74"/>
      <c r="BY694" s="74"/>
      <c r="BZ694" s="74"/>
    </row>
    <row r="695">
      <c r="L695" s="2"/>
      <c r="BM695" s="73"/>
      <c r="BN695" s="74"/>
      <c r="BO695" s="74"/>
      <c r="BP695" s="74"/>
      <c r="BQ695" s="74"/>
      <c r="BR695" s="74"/>
      <c r="BS695" s="74"/>
      <c r="BT695" s="74"/>
      <c r="BU695" s="74"/>
      <c r="BV695" s="74"/>
      <c r="BW695" s="74"/>
      <c r="BX695" s="74"/>
      <c r="BY695" s="74"/>
      <c r="BZ695" s="74"/>
    </row>
    <row r="696">
      <c r="L696" s="2"/>
      <c r="BM696" s="73"/>
      <c r="BN696" s="74"/>
      <c r="BO696" s="74"/>
      <c r="BP696" s="74"/>
      <c r="BQ696" s="74"/>
      <c r="BR696" s="74"/>
      <c r="BS696" s="74"/>
      <c r="BT696" s="74"/>
      <c r="BU696" s="74"/>
      <c r="BV696" s="74"/>
      <c r="BW696" s="74"/>
      <c r="BX696" s="74"/>
      <c r="BY696" s="74"/>
      <c r="BZ696" s="74"/>
    </row>
    <row r="697">
      <c r="L697" s="2"/>
      <c r="BM697" s="73"/>
      <c r="BN697" s="74"/>
      <c r="BO697" s="74"/>
      <c r="BP697" s="74"/>
      <c r="BQ697" s="74"/>
      <c r="BR697" s="74"/>
      <c r="BS697" s="74"/>
      <c r="BT697" s="74"/>
      <c r="BU697" s="74"/>
      <c r="BV697" s="74"/>
      <c r="BW697" s="74"/>
      <c r="BX697" s="74"/>
      <c r="BY697" s="74"/>
      <c r="BZ697" s="74"/>
    </row>
    <row r="698">
      <c r="L698" s="2"/>
      <c r="BM698" s="73"/>
      <c r="BN698" s="74"/>
      <c r="BO698" s="74"/>
      <c r="BP698" s="74"/>
      <c r="BQ698" s="74"/>
      <c r="BR698" s="74"/>
      <c r="BS698" s="74"/>
      <c r="BT698" s="74"/>
      <c r="BU698" s="74"/>
      <c r="BV698" s="74"/>
      <c r="BW698" s="74"/>
      <c r="BX698" s="74"/>
      <c r="BY698" s="74"/>
      <c r="BZ698" s="74"/>
    </row>
    <row r="699">
      <c r="L699" s="2"/>
      <c r="BM699" s="73"/>
      <c r="BN699" s="74"/>
      <c r="BO699" s="74"/>
      <c r="BP699" s="74"/>
      <c r="BQ699" s="74"/>
      <c r="BR699" s="74"/>
      <c r="BS699" s="74"/>
      <c r="BT699" s="74"/>
      <c r="BU699" s="74"/>
      <c r="BV699" s="74"/>
      <c r="BW699" s="74"/>
      <c r="BX699" s="74"/>
      <c r="BY699" s="74"/>
      <c r="BZ699" s="74"/>
    </row>
    <row r="700">
      <c r="L700" s="2"/>
      <c r="BM700" s="73"/>
      <c r="BN700" s="74"/>
      <c r="BO700" s="74"/>
      <c r="BP700" s="74"/>
      <c r="BQ700" s="74"/>
      <c r="BR700" s="74"/>
      <c r="BS700" s="74"/>
      <c r="BT700" s="74"/>
      <c r="BU700" s="74"/>
      <c r="BV700" s="74"/>
      <c r="BW700" s="74"/>
      <c r="BX700" s="74"/>
      <c r="BY700" s="74"/>
      <c r="BZ700" s="74"/>
    </row>
    <row r="701">
      <c r="L701" s="2"/>
      <c r="BM701" s="73"/>
      <c r="BN701" s="74"/>
      <c r="BO701" s="74"/>
      <c r="BP701" s="74"/>
      <c r="BQ701" s="74"/>
      <c r="BR701" s="74"/>
      <c r="BS701" s="74"/>
      <c r="BT701" s="74"/>
      <c r="BU701" s="74"/>
      <c r="BV701" s="74"/>
      <c r="BW701" s="74"/>
      <c r="BX701" s="74"/>
      <c r="BY701" s="74"/>
      <c r="BZ701" s="74"/>
    </row>
    <row r="702">
      <c r="L702" s="2"/>
      <c r="BM702" s="73"/>
      <c r="BN702" s="74"/>
      <c r="BO702" s="74"/>
      <c r="BP702" s="74"/>
      <c r="BQ702" s="74"/>
      <c r="BR702" s="74"/>
      <c r="BS702" s="74"/>
      <c r="BT702" s="74"/>
      <c r="BU702" s="74"/>
      <c r="BV702" s="74"/>
      <c r="BW702" s="74"/>
      <c r="BX702" s="74"/>
      <c r="BY702" s="74"/>
      <c r="BZ702" s="74"/>
    </row>
    <row r="703">
      <c r="L703" s="2"/>
      <c r="BM703" s="73"/>
      <c r="BN703" s="74"/>
      <c r="BO703" s="74"/>
      <c r="BP703" s="74"/>
      <c r="BQ703" s="74"/>
      <c r="BR703" s="74"/>
      <c r="BS703" s="74"/>
      <c r="BT703" s="74"/>
      <c r="BU703" s="74"/>
      <c r="BV703" s="74"/>
      <c r="BW703" s="74"/>
      <c r="BX703" s="74"/>
      <c r="BY703" s="74"/>
      <c r="BZ703" s="74"/>
    </row>
    <row r="704">
      <c r="L704" s="2"/>
      <c r="BM704" s="73"/>
      <c r="BN704" s="74"/>
      <c r="BO704" s="74"/>
      <c r="BP704" s="74"/>
      <c r="BQ704" s="74"/>
      <c r="BR704" s="74"/>
      <c r="BS704" s="74"/>
      <c r="BT704" s="74"/>
      <c r="BU704" s="74"/>
      <c r="BV704" s="74"/>
      <c r="BW704" s="74"/>
      <c r="BX704" s="74"/>
      <c r="BY704" s="74"/>
      <c r="BZ704" s="74"/>
    </row>
    <row r="705">
      <c r="L705" s="2"/>
      <c r="BM705" s="73"/>
      <c r="BN705" s="74"/>
      <c r="BO705" s="74"/>
      <c r="BP705" s="74"/>
      <c r="BQ705" s="74"/>
      <c r="BR705" s="74"/>
      <c r="BS705" s="74"/>
      <c r="BT705" s="74"/>
      <c r="BU705" s="74"/>
      <c r="BV705" s="74"/>
      <c r="BW705" s="74"/>
      <c r="BX705" s="74"/>
      <c r="BY705" s="74"/>
      <c r="BZ705" s="74"/>
    </row>
    <row r="706">
      <c r="L706" s="2"/>
      <c r="BM706" s="73"/>
      <c r="BN706" s="74"/>
      <c r="BO706" s="74"/>
      <c r="BP706" s="74"/>
      <c r="BQ706" s="74"/>
      <c r="BR706" s="74"/>
      <c r="BS706" s="74"/>
      <c r="BT706" s="74"/>
      <c r="BU706" s="74"/>
      <c r="BV706" s="74"/>
      <c r="BW706" s="74"/>
      <c r="BX706" s="74"/>
      <c r="BY706" s="74"/>
      <c r="BZ706" s="74"/>
    </row>
    <row r="707">
      <c r="L707" s="2"/>
      <c r="BM707" s="73"/>
      <c r="BN707" s="74"/>
      <c r="BO707" s="74"/>
      <c r="BP707" s="74"/>
      <c r="BQ707" s="74"/>
      <c r="BR707" s="74"/>
      <c r="BS707" s="74"/>
      <c r="BT707" s="74"/>
      <c r="BU707" s="74"/>
      <c r="BV707" s="74"/>
      <c r="BW707" s="74"/>
      <c r="BX707" s="74"/>
      <c r="BY707" s="74"/>
      <c r="BZ707" s="74"/>
    </row>
    <row r="708">
      <c r="L708" s="2"/>
      <c r="BM708" s="73"/>
      <c r="BN708" s="74"/>
      <c r="BO708" s="74"/>
      <c r="BP708" s="74"/>
      <c r="BQ708" s="74"/>
      <c r="BR708" s="74"/>
      <c r="BS708" s="74"/>
      <c r="BT708" s="74"/>
      <c r="BU708" s="74"/>
      <c r="BV708" s="74"/>
      <c r="BW708" s="74"/>
      <c r="BX708" s="74"/>
      <c r="BY708" s="74"/>
      <c r="BZ708" s="74"/>
    </row>
    <row r="709">
      <c r="L709" s="2"/>
      <c r="BM709" s="73"/>
      <c r="BN709" s="74"/>
      <c r="BO709" s="74"/>
      <c r="BP709" s="74"/>
      <c r="BQ709" s="74"/>
      <c r="BR709" s="74"/>
      <c r="BS709" s="74"/>
      <c r="BT709" s="74"/>
      <c r="BU709" s="74"/>
      <c r="BV709" s="74"/>
      <c r="BW709" s="74"/>
      <c r="BX709" s="74"/>
      <c r="BY709" s="74"/>
      <c r="BZ709" s="74"/>
    </row>
    <row r="710">
      <c r="L710" s="2"/>
      <c r="BM710" s="73"/>
      <c r="BN710" s="74"/>
      <c r="BO710" s="74"/>
      <c r="BP710" s="74"/>
      <c r="BQ710" s="74"/>
      <c r="BR710" s="74"/>
      <c r="BS710" s="74"/>
      <c r="BT710" s="74"/>
      <c r="BU710" s="74"/>
      <c r="BV710" s="74"/>
      <c r="BW710" s="74"/>
      <c r="BX710" s="74"/>
      <c r="BY710" s="74"/>
      <c r="BZ710" s="74"/>
    </row>
    <row r="711">
      <c r="L711" s="2"/>
      <c r="BM711" s="73"/>
      <c r="BN711" s="74"/>
      <c r="BO711" s="74"/>
      <c r="BP711" s="74"/>
      <c r="BQ711" s="74"/>
      <c r="BR711" s="74"/>
      <c r="BS711" s="74"/>
      <c r="BT711" s="74"/>
      <c r="BU711" s="74"/>
      <c r="BV711" s="74"/>
      <c r="BW711" s="74"/>
      <c r="BX711" s="74"/>
      <c r="BY711" s="74"/>
      <c r="BZ711" s="74"/>
    </row>
    <row r="712">
      <c r="L712" s="2"/>
      <c r="BM712" s="73"/>
      <c r="BN712" s="74"/>
      <c r="BO712" s="74"/>
      <c r="BP712" s="74"/>
      <c r="BQ712" s="74"/>
      <c r="BR712" s="74"/>
      <c r="BS712" s="74"/>
      <c r="BT712" s="74"/>
      <c r="BU712" s="74"/>
      <c r="BV712" s="74"/>
      <c r="BW712" s="74"/>
      <c r="BX712" s="74"/>
      <c r="BY712" s="74"/>
      <c r="BZ712" s="74"/>
    </row>
    <row r="713">
      <c r="L713" s="2"/>
      <c r="BM713" s="73"/>
      <c r="BN713" s="74"/>
      <c r="BO713" s="74"/>
      <c r="BP713" s="74"/>
      <c r="BQ713" s="74"/>
      <c r="BR713" s="74"/>
      <c r="BS713" s="74"/>
      <c r="BT713" s="74"/>
      <c r="BU713" s="74"/>
      <c r="BV713" s="74"/>
      <c r="BW713" s="74"/>
      <c r="BX713" s="74"/>
      <c r="BY713" s="74"/>
      <c r="BZ713" s="74"/>
    </row>
    <row r="714">
      <c r="L714" s="2"/>
      <c r="BM714" s="73"/>
      <c r="BN714" s="74"/>
      <c r="BO714" s="74"/>
      <c r="BP714" s="74"/>
      <c r="BQ714" s="74"/>
      <c r="BR714" s="74"/>
      <c r="BS714" s="74"/>
      <c r="BT714" s="74"/>
      <c r="BU714" s="74"/>
      <c r="BV714" s="74"/>
      <c r="BW714" s="74"/>
      <c r="BX714" s="74"/>
      <c r="BY714" s="74"/>
      <c r="BZ714" s="74"/>
    </row>
    <row r="715">
      <c r="L715" s="2"/>
      <c r="BM715" s="73"/>
      <c r="BN715" s="74"/>
      <c r="BO715" s="74"/>
      <c r="BP715" s="74"/>
      <c r="BQ715" s="74"/>
      <c r="BR715" s="74"/>
      <c r="BS715" s="74"/>
      <c r="BT715" s="74"/>
      <c r="BU715" s="74"/>
      <c r="BV715" s="74"/>
      <c r="BW715" s="74"/>
      <c r="BX715" s="74"/>
      <c r="BY715" s="74"/>
      <c r="BZ715" s="74"/>
    </row>
    <row r="716">
      <c r="L716" s="2"/>
      <c r="BM716" s="73"/>
      <c r="BN716" s="74"/>
      <c r="BO716" s="74"/>
      <c r="BP716" s="74"/>
      <c r="BQ716" s="74"/>
      <c r="BR716" s="74"/>
      <c r="BS716" s="74"/>
      <c r="BT716" s="74"/>
      <c r="BU716" s="74"/>
      <c r="BV716" s="74"/>
      <c r="BW716" s="74"/>
      <c r="BX716" s="74"/>
      <c r="BY716" s="74"/>
      <c r="BZ716" s="74"/>
    </row>
    <row r="717">
      <c r="L717" s="2"/>
      <c r="BM717" s="73"/>
      <c r="BN717" s="74"/>
      <c r="BO717" s="74"/>
      <c r="BP717" s="74"/>
      <c r="BQ717" s="74"/>
      <c r="BR717" s="74"/>
      <c r="BS717" s="74"/>
      <c r="BT717" s="74"/>
      <c r="BU717" s="74"/>
      <c r="BV717" s="74"/>
      <c r="BW717" s="74"/>
      <c r="BX717" s="74"/>
      <c r="BY717" s="74"/>
      <c r="BZ717" s="74"/>
    </row>
    <row r="718">
      <c r="L718" s="2"/>
      <c r="BM718" s="73"/>
      <c r="BN718" s="74"/>
      <c r="BO718" s="74"/>
      <c r="BP718" s="74"/>
      <c r="BQ718" s="74"/>
      <c r="BR718" s="74"/>
      <c r="BS718" s="74"/>
      <c r="BT718" s="74"/>
      <c r="BU718" s="74"/>
      <c r="BV718" s="74"/>
      <c r="BW718" s="74"/>
      <c r="BX718" s="74"/>
      <c r="BY718" s="74"/>
      <c r="BZ718" s="74"/>
    </row>
    <row r="719">
      <c r="L719" s="2"/>
      <c r="BM719" s="73"/>
      <c r="BN719" s="74"/>
      <c r="BO719" s="74"/>
      <c r="BP719" s="74"/>
      <c r="BQ719" s="74"/>
      <c r="BR719" s="74"/>
      <c r="BS719" s="74"/>
      <c r="BT719" s="74"/>
      <c r="BU719" s="74"/>
      <c r="BV719" s="74"/>
      <c r="BW719" s="74"/>
      <c r="BX719" s="74"/>
      <c r="BY719" s="74"/>
      <c r="BZ719" s="74"/>
    </row>
    <row r="720">
      <c r="L720" s="2"/>
      <c r="BM720" s="73"/>
      <c r="BN720" s="74"/>
      <c r="BO720" s="74"/>
      <c r="BP720" s="74"/>
      <c r="BQ720" s="74"/>
      <c r="BR720" s="74"/>
      <c r="BS720" s="74"/>
      <c r="BT720" s="74"/>
      <c r="BU720" s="74"/>
      <c r="BV720" s="74"/>
      <c r="BW720" s="74"/>
      <c r="BX720" s="74"/>
      <c r="BY720" s="74"/>
      <c r="BZ720" s="74"/>
    </row>
    <row r="721">
      <c r="L721" s="2"/>
      <c r="BM721" s="73"/>
      <c r="BN721" s="74"/>
      <c r="BO721" s="74"/>
      <c r="BP721" s="74"/>
      <c r="BQ721" s="74"/>
      <c r="BR721" s="74"/>
      <c r="BS721" s="74"/>
      <c r="BT721" s="74"/>
      <c r="BU721" s="74"/>
      <c r="BV721" s="74"/>
      <c r="BW721" s="74"/>
      <c r="BX721" s="74"/>
      <c r="BY721" s="74"/>
      <c r="BZ721" s="74"/>
    </row>
    <row r="722">
      <c r="L722" s="2"/>
      <c r="BM722" s="73"/>
      <c r="BN722" s="74"/>
      <c r="BO722" s="74"/>
      <c r="BP722" s="74"/>
      <c r="BQ722" s="74"/>
      <c r="BR722" s="74"/>
      <c r="BS722" s="74"/>
      <c r="BT722" s="74"/>
      <c r="BU722" s="74"/>
      <c r="BV722" s="74"/>
      <c r="BW722" s="74"/>
      <c r="BX722" s="74"/>
      <c r="BY722" s="74"/>
      <c r="BZ722" s="74"/>
    </row>
    <row r="723">
      <c r="L723" s="2"/>
      <c r="BM723" s="73"/>
      <c r="BN723" s="74"/>
      <c r="BO723" s="74"/>
      <c r="BP723" s="74"/>
      <c r="BQ723" s="74"/>
      <c r="BR723" s="74"/>
      <c r="BS723" s="74"/>
      <c r="BT723" s="74"/>
      <c r="BU723" s="74"/>
      <c r="BV723" s="74"/>
      <c r="BW723" s="74"/>
      <c r="BX723" s="74"/>
      <c r="BY723" s="74"/>
      <c r="BZ723" s="74"/>
    </row>
    <row r="724">
      <c r="L724" s="2"/>
      <c r="BM724" s="73"/>
      <c r="BN724" s="74"/>
      <c r="BO724" s="74"/>
      <c r="BP724" s="74"/>
      <c r="BQ724" s="74"/>
      <c r="BR724" s="74"/>
      <c r="BS724" s="74"/>
      <c r="BT724" s="74"/>
      <c r="BU724" s="74"/>
      <c r="BV724" s="74"/>
      <c r="BW724" s="74"/>
      <c r="BX724" s="74"/>
      <c r="BY724" s="74"/>
      <c r="BZ724" s="74"/>
    </row>
    <row r="725">
      <c r="L725" s="2"/>
      <c r="BM725" s="73"/>
      <c r="BN725" s="74"/>
      <c r="BO725" s="74"/>
      <c r="BP725" s="74"/>
      <c r="BQ725" s="74"/>
      <c r="BR725" s="74"/>
      <c r="BS725" s="74"/>
      <c r="BT725" s="74"/>
      <c r="BU725" s="74"/>
      <c r="BV725" s="74"/>
      <c r="BW725" s="74"/>
      <c r="BX725" s="74"/>
      <c r="BY725" s="74"/>
      <c r="BZ725" s="74"/>
    </row>
    <row r="726">
      <c r="L726" s="2"/>
      <c r="BM726" s="73"/>
      <c r="BN726" s="74"/>
      <c r="BO726" s="74"/>
      <c r="BP726" s="74"/>
      <c r="BQ726" s="74"/>
      <c r="BR726" s="74"/>
      <c r="BS726" s="74"/>
      <c r="BT726" s="74"/>
      <c r="BU726" s="74"/>
      <c r="BV726" s="74"/>
      <c r="BW726" s="74"/>
      <c r="BX726" s="74"/>
      <c r="BY726" s="74"/>
      <c r="BZ726" s="74"/>
    </row>
    <row r="727">
      <c r="L727" s="2"/>
      <c r="BM727" s="73"/>
      <c r="BN727" s="74"/>
      <c r="BO727" s="74"/>
      <c r="BP727" s="74"/>
      <c r="BQ727" s="74"/>
      <c r="BR727" s="74"/>
      <c r="BS727" s="74"/>
      <c r="BT727" s="74"/>
      <c r="BU727" s="74"/>
      <c r="BV727" s="74"/>
      <c r="BW727" s="74"/>
      <c r="BX727" s="74"/>
      <c r="BY727" s="74"/>
      <c r="BZ727" s="74"/>
    </row>
    <row r="728">
      <c r="L728" s="2"/>
      <c r="BM728" s="73"/>
      <c r="BN728" s="74"/>
      <c r="BO728" s="74"/>
      <c r="BP728" s="74"/>
      <c r="BQ728" s="74"/>
      <c r="BR728" s="74"/>
      <c r="BS728" s="74"/>
      <c r="BT728" s="74"/>
      <c r="BU728" s="74"/>
      <c r="BV728" s="74"/>
      <c r="BW728" s="74"/>
      <c r="BX728" s="74"/>
      <c r="BY728" s="74"/>
      <c r="BZ728" s="74"/>
    </row>
    <row r="729">
      <c r="L729" s="2"/>
      <c r="BM729" s="73"/>
      <c r="BN729" s="74"/>
      <c r="BO729" s="74"/>
      <c r="BP729" s="74"/>
      <c r="BQ729" s="74"/>
      <c r="BR729" s="74"/>
      <c r="BS729" s="74"/>
      <c r="BT729" s="74"/>
      <c r="BU729" s="74"/>
      <c r="BV729" s="74"/>
      <c r="BW729" s="74"/>
      <c r="BX729" s="74"/>
      <c r="BY729" s="74"/>
      <c r="BZ729" s="74"/>
    </row>
    <row r="730">
      <c r="L730" s="2"/>
      <c r="BM730" s="73"/>
      <c r="BN730" s="74"/>
      <c r="BO730" s="74"/>
      <c r="BP730" s="74"/>
      <c r="BQ730" s="74"/>
      <c r="BR730" s="74"/>
      <c r="BS730" s="74"/>
      <c r="BT730" s="74"/>
      <c r="BU730" s="74"/>
      <c r="BV730" s="74"/>
      <c r="BW730" s="74"/>
      <c r="BX730" s="74"/>
      <c r="BY730" s="74"/>
      <c r="BZ730" s="74"/>
    </row>
    <row r="731">
      <c r="L731" s="2"/>
      <c r="BM731" s="73"/>
      <c r="BN731" s="74"/>
      <c r="BO731" s="74"/>
      <c r="BP731" s="74"/>
      <c r="BQ731" s="74"/>
      <c r="BR731" s="74"/>
      <c r="BS731" s="74"/>
      <c r="BT731" s="74"/>
      <c r="BU731" s="74"/>
      <c r="BV731" s="74"/>
      <c r="BW731" s="74"/>
      <c r="BX731" s="74"/>
      <c r="BY731" s="74"/>
      <c r="BZ731" s="74"/>
    </row>
    <row r="732">
      <c r="L732" s="2"/>
      <c r="BM732" s="73"/>
      <c r="BN732" s="74"/>
      <c r="BO732" s="74"/>
      <c r="BP732" s="74"/>
      <c r="BQ732" s="74"/>
      <c r="BR732" s="74"/>
      <c r="BS732" s="74"/>
      <c r="BT732" s="74"/>
      <c r="BU732" s="74"/>
      <c r="BV732" s="74"/>
      <c r="BW732" s="74"/>
      <c r="BX732" s="74"/>
      <c r="BY732" s="74"/>
      <c r="BZ732" s="74"/>
    </row>
    <row r="733">
      <c r="L733" s="2"/>
      <c r="BM733" s="73"/>
      <c r="BN733" s="74"/>
      <c r="BO733" s="74"/>
      <c r="BP733" s="74"/>
      <c r="BQ733" s="74"/>
      <c r="BR733" s="74"/>
      <c r="BS733" s="74"/>
      <c r="BT733" s="74"/>
      <c r="BU733" s="74"/>
      <c r="BV733" s="74"/>
      <c r="BW733" s="74"/>
      <c r="BX733" s="74"/>
      <c r="BY733" s="74"/>
      <c r="BZ733" s="74"/>
    </row>
    <row r="734">
      <c r="L734" s="2"/>
      <c r="BM734" s="73"/>
      <c r="BN734" s="74"/>
      <c r="BO734" s="74"/>
      <c r="BP734" s="74"/>
      <c r="BQ734" s="74"/>
      <c r="BR734" s="74"/>
      <c r="BS734" s="74"/>
      <c r="BT734" s="74"/>
      <c r="BU734" s="74"/>
      <c r="BV734" s="74"/>
      <c r="BW734" s="74"/>
      <c r="BX734" s="74"/>
      <c r="BY734" s="74"/>
      <c r="BZ734" s="74"/>
    </row>
    <row r="735">
      <c r="L735" s="2"/>
      <c r="BM735" s="73"/>
      <c r="BN735" s="74"/>
      <c r="BO735" s="74"/>
      <c r="BP735" s="74"/>
      <c r="BQ735" s="74"/>
      <c r="BR735" s="74"/>
      <c r="BS735" s="74"/>
      <c r="BT735" s="74"/>
      <c r="BU735" s="74"/>
      <c r="BV735" s="74"/>
      <c r="BW735" s="74"/>
      <c r="BX735" s="74"/>
      <c r="BY735" s="74"/>
      <c r="BZ735" s="74"/>
    </row>
    <row r="736">
      <c r="L736" s="2"/>
      <c r="BM736" s="73"/>
      <c r="BN736" s="74"/>
      <c r="BO736" s="74"/>
      <c r="BP736" s="74"/>
      <c r="BQ736" s="74"/>
      <c r="BR736" s="74"/>
      <c r="BS736" s="74"/>
      <c r="BT736" s="74"/>
      <c r="BU736" s="74"/>
      <c r="BV736" s="74"/>
      <c r="BW736" s="74"/>
      <c r="BX736" s="74"/>
      <c r="BY736" s="74"/>
      <c r="BZ736" s="74"/>
    </row>
    <row r="737">
      <c r="L737" s="2"/>
      <c r="BM737" s="73"/>
      <c r="BN737" s="74"/>
      <c r="BO737" s="74"/>
      <c r="BP737" s="74"/>
      <c r="BQ737" s="74"/>
      <c r="BR737" s="74"/>
      <c r="BS737" s="74"/>
      <c r="BT737" s="74"/>
      <c r="BU737" s="74"/>
      <c r="BV737" s="74"/>
      <c r="BW737" s="74"/>
      <c r="BX737" s="74"/>
      <c r="BY737" s="74"/>
      <c r="BZ737" s="74"/>
    </row>
    <row r="738">
      <c r="L738" s="2"/>
      <c r="BM738" s="73"/>
      <c r="BN738" s="74"/>
      <c r="BO738" s="74"/>
      <c r="BP738" s="74"/>
      <c r="BQ738" s="74"/>
      <c r="BR738" s="74"/>
      <c r="BS738" s="74"/>
      <c r="BT738" s="74"/>
      <c r="BU738" s="74"/>
      <c r="BV738" s="74"/>
      <c r="BW738" s="74"/>
      <c r="BX738" s="74"/>
      <c r="BY738" s="74"/>
      <c r="BZ738" s="74"/>
    </row>
    <row r="739">
      <c r="L739" s="2"/>
      <c r="BM739" s="73"/>
      <c r="BN739" s="74"/>
      <c r="BO739" s="74"/>
      <c r="BP739" s="74"/>
      <c r="BQ739" s="74"/>
      <c r="BR739" s="74"/>
      <c r="BS739" s="74"/>
      <c r="BT739" s="74"/>
      <c r="BU739" s="74"/>
      <c r="BV739" s="74"/>
      <c r="BW739" s="74"/>
      <c r="BX739" s="74"/>
      <c r="BY739" s="74"/>
      <c r="BZ739" s="74"/>
    </row>
    <row r="740">
      <c r="L740" s="2"/>
      <c r="BM740" s="73"/>
      <c r="BN740" s="74"/>
      <c r="BO740" s="74"/>
      <c r="BP740" s="74"/>
      <c r="BQ740" s="74"/>
      <c r="BR740" s="74"/>
      <c r="BS740" s="74"/>
      <c r="BT740" s="74"/>
      <c r="BU740" s="74"/>
      <c r="BV740" s="74"/>
      <c r="BW740" s="74"/>
      <c r="BX740" s="74"/>
      <c r="BY740" s="74"/>
      <c r="BZ740" s="74"/>
    </row>
    <row r="741">
      <c r="L741" s="2"/>
      <c r="BM741" s="73"/>
      <c r="BN741" s="74"/>
      <c r="BO741" s="74"/>
      <c r="BP741" s="74"/>
      <c r="BQ741" s="74"/>
      <c r="BR741" s="74"/>
      <c r="BS741" s="74"/>
      <c r="BT741" s="74"/>
      <c r="BU741" s="74"/>
      <c r="BV741" s="74"/>
      <c r="BW741" s="74"/>
      <c r="BX741" s="74"/>
      <c r="BY741" s="74"/>
      <c r="BZ741" s="74"/>
    </row>
    <row r="742">
      <c r="L742" s="2"/>
      <c r="BM742" s="73"/>
      <c r="BN742" s="74"/>
      <c r="BO742" s="74"/>
      <c r="BP742" s="74"/>
      <c r="BQ742" s="74"/>
      <c r="BR742" s="74"/>
      <c r="BS742" s="74"/>
      <c r="BT742" s="74"/>
      <c r="BU742" s="74"/>
      <c r="BV742" s="74"/>
      <c r="BW742" s="74"/>
      <c r="BX742" s="74"/>
      <c r="BY742" s="74"/>
      <c r="BZ742" s="74"/>
    </row>
    <row r="743">
      <c r="L743" s="2"/>
      <c r="BM743" s="73"/>
      <c r="BN743" s="74"/>
      <c r="BO743" s="74"/>
      <c r="BP743" s="74"/>
      <c r="BQ743" s="74"/>
      <c r="BR743" s="74"/>
      <c r="BS743" s="74"/>
      <c r="BT743" s="74"/>
      <c r="BU743" s="74"/>
      <c r="BV743" s="74"/>
      <c r="BW743" s="74"/>
      <c r="BX743" s="74"/>
      <c r="BY743" s="74"/>
      <c r="BZ743" s="74"/>
    </row>
    <row r="744">
      <c r="L744" s="2"/>
      <c r="BM744" s="73"/>
      <c r="BN744" s="74"/>
      <c r="BO744" s="74"/>
      <c r="BP744" s="74"/>
      <c r="BQ744" s="74"/>
      <c r="BR744" s="74"/>
      <c r="BS744" s="74"/>
      <c r="BT744" s="74"/>
      <c r="BU744" s="74"/>
      <c r="BV744" s="74"/>
      <c r="BW744" s="74"/>
      <c r="BX744" s="74"/>
      <c r="BY744" s="74"/>
      <c r="BZ744" s="74"/>
    </row>
    <row r="745">
      <c r="L745" s="2"/>
      <c r="BM745" s="73"/>
      <c r="BN745" s="74"/>
      <c r="BO745" s="74"/>
      <c r="BP745" s="74"/>
      <c r="BQ745" s="74"/>
      <c r="BR745" s="74"/>
      <c r="BS745" s="74"/>
      <c r="BT745" s="74"/>
      <c r="BU745" s="74"/>
      <c r="BV745" s="74"/>
      <c r="BW745" s="74"/>
      <c r="BX745" s="74"/>
      <c r="BY745" s="74"/>
      <c r="BZ745" s="74"/>
    </row>
    <row r="746">
      <c r="L746" s="2"/>
      <c r="BM746" s="73"/>
      <c r="BN746" s="74"/>
      <c r="BO746" s="74"/>
      <c r="BP746" s="74"/>
      <c r="BQ746" s="74"/>
      <c r="BR746" s="74"/>
      <c r="BS746" s="74"/>
      <c r="BT746" s="74"/>
      <c r="BU746" s="74"/>
      <c r="BV746" s="74"/>
      <c r="BW746" s="74"/>
      <c r="BX746" s="74"/>
      <c r="BY746" s="74"/>
      <c r="BZ746" s="74"/>
    </row>
    <row r="747">
      <c r="L747" s="2"/>
      <c r="BM747" s="73"/>
      <c r="BN747" s="74"/>
      <c r="BO747" s="74"/>
      <c r="BP747" s="74"/>
      <c r="BQ747" s="74"/>
      <c r="BR747" s="74"/>
      <c r="BS747" s="74"/>
      <c r="BT747" s="74"/>
      <c r="BU747" s="74"/>
      <c r="BV747" s="74"/>
      <c r="BW747" s="74"/>
      <c r="BX747" s="74"/>
      <c r="BY747" s="74"/>
      <c r="BZ747" s="74"/>
    </row>
    <row r="748">
      <c r="L748" s="2"/>
      <c r="BM748" s="73"/>
      <c r="BN748" s="74"/>
      <c r="BO748" s="74"/>
      <c r="BP748" s="74"/>
      <c r="BQ748" s="74"/>
      <c r="BR748" s="74"/>
      <c r="BS748" s="74"/>
      <c r="BT748" s="74"/>
      <c r="BU748" s="74"/>
      <c r="BV748" s="74"/>
      <c r="BW748" s="74"/>
      <c r="BX748" s="74"/>
      <c r="BY748" s="74"/>
      <c r="BZ748" s="74"/>
    </row>
    <row r="749">
      <c r="L749" s="2"/>
      <c r="BM749" s="73"/>
      <c r="BN749" s="74"/>
      <c r="BO749" s="74"/>
      <c r="BP749" s="74"/>
      <c r="BQ749" s="74"/>
      <c r="BR749" s="74"/>
      <c r="BS749" s="74"/>
      <c r="BT749" s="74"/>
      <c r="BU749" s="74"/>
      <c r="BV749" s="74"/>
      <c r="BW749" s="74"/>
      <c r="BX749" s="74"/>
      <c r="BY749" s="74"/>
      <c r="BZ749" s="74"/>
    </row>
    <row r="750">
      <c r="L750" s="2"/>
      <c r="BM750" s="73"/>
      <c r="BN750" s="74"/>
      <c r="BO750" s="74"/>
      <c r="BP750" s="74"/>
      <c r="BQ750" s="74"/>
      <c r="BR750" s="74"/>
      <c r="BS750" s="74"/>
      <c r="BT750" s="74"/>
      <c r="BU750" s="74"/>
      <c r="BV750" s="74"/>
      <c r="BW750" s="74"/>
      <c r="BX750" s="74"/>
      <c r="BY750" s="74"/>
      <c r="BZ750" s="74"/>
    </row>
    <row r="751">
      <c r="L751" s="2"/>
      <c r="BM751" s="73"/>
      <c r="BN751" s="74"/>
      <c r="BO751" s="74"/>
      <c r="BP751" s="74"/>
      <c r="BQ751" s="74"/>
      <c r="BR751" s="74"/>
      <c r="BS751" s="74"/>
      <c r="BT751" s="74"/>
      <c r="BU751" s="74"/>
      <c r="BV751" s="74"/>
      <c r="BW751" s="74"/>
      <c r="BX751" s="74"/>
      <c r="BY751" s="74"/>
      <c r="BZ751" s="74"/>
    </row>
    <row r="752">
      <c r="L752" s="2"/>
      <c r="BM752" s="73"/>
      <c r="BN752" s="74"/>
      <c r="BO752" s="74"/>
      <c r="BP752" s="74"/>
      <c r="BQ752" s="74"/>
      <c r="BR752" s="74"/>
      <c r="BS752" s="74"/>
      <c r="BT752" s="74"/>
      <c r="BU752" s="74"/>
      <c r="BV752" s="74"/>
      <c r="BW752" s="74"/>
      <c r="BX752" s="74"/>
      <c r="BY752" s="74"/>
      <c r="BZ752" s="74"/>
    </row>
    <row r="753">
      <c r="L753" s="2"/>
      <c r="BM753" s="73"/>
      <c r="BN753" s="74"/>
      <c r="BO753" s="74"/>
      <c r="BP753" s="74"/>
      <c r="BQ753" s="74"/>
      <c r="BR753" s="74"/>
      <c r="BS753" s="74"/>
      <c r="BT753" s="74"/>
      <c r="BU753" s="74"/>
      <c r="BV753" s="74"/>
      <c r="BW753" s="74"/>
      <c r="BX753" s="74"/>
      <c r="BY753" s="74"/>
      <c r="BZ753" s="74"/>
    </row>
    <row r="754">
      <c r="L754" s="2"/>
      <c r="BM754" s="73"/>
      <c r="BN754" s="74"/>
      <c r="BO754" s="74"/>
      <c r="BP754" s="74"/>
      <c r="BQ754" s="74"/>
      <c r="BR754" s="74"/>
      <c r="BS754" s="74"/>
      <c r="BT754" s="74"/>
      <c r="BU754" s="74"/>
      <c r="BV754" s="74"/>
      <c r="BW754" s="74"/>
      <c r="BX754" s="74"/>
      <c r="BY754" s="74"/>
      <c r="BZ754" s="74"/>
    </row>
    <row r="755">
      <c r="L755" s="2"/>
      <c r="BM755" s="73"/>
      <c r="BN755" s="74"/>
      <c r="BO755" s="74"/>
      <c r="BP755" s="74"/>
      <c r="BQ755" s="74"/>
      <c r="BR755" s="74"/>
      <c r="BS755" s="74"/>
      <c r="BT755" s="74"/>
      <c r="BU755" s="74"/>
      <c r="BV755" s="74"/>
      <c r="BW755" s="74"/>
      <c r="BX755" s="74"/>
      <c r="BY755" s="74"/>
      <c r="BZ755" s="74"/>
    </row>
    <row r="756">
      <c r="L756" s="2"/>
      <c r="BM756" s="73"/>
      <c r="BN756" s="74"/>
      <c r="BO756" s="74"/>
      <c r="BP756" s="74"/>
      <c r="BQ756" s="74"/>
      <c r="BR756" s="74"/>
      <c r="BS756" s="74"/>
      <c r="BT756" s="74"/>
      <c r="BU756" s="74"/>
      <c r="BV756" s="74"/>
      <c r="BW756" s="74"/>
      <c r="BX756" s="74"/>
      <c r="BY756" s="74"/>
      <c r="BZ756" s="74"/>
    </row>
    <row r="757">
      <c r="L757" s="2"/>
      <c r="BM757" s="73"/>
      <c r="BN757" s="74"/>
      <c r="BO757" s="74"/>
      <c r="BP757" s="74"/>
      <c r="BQ757" s="74"/>
      <c r="BR757" s="74"/>
      <c r="BS757" s="74"/>
      <c r="BT757" s="74"/>
      <c r="BU757" s="74"/>
      <c r="BV757" s="74"/>
      <c r="BW757" s="74"/>
      <c r="BX757" s="74"/>
      <c r="BY757" s="74"/>
      <c r="BZ757" s="74"/>
    </row>
    <row r="758">
      <c r="L758" s="2"/>
      <c r="BM758" s="73"/>
      <c r="BN758" s="74"/>
      <c r="BO758" s="74"/>
      <c r="BP758" s="74"/>
      <c r="BQ758" s="74"/>
      <c r="BR758" s="74"/>
      <c r="BS758" s="74"/>
      <c r="BT758" s="74"/>
      <c r="BU758" s="74"/>
      <c r="BV758" s="74"/>
      <c r="BW758" s="74"/>
      <c r="BX758" s="74"/>
      <c r="BY758" s="74"/>
      <c r="BZ758" s="74"/>
    </row>
    <row r="759">
      <c r="L759" s="2"/>
      <c r="BM759" s="73"/>
      <c r="BN759" s="74"/>
      <c r="BO759" s="74"/>
      <c r="BP759" s="74"/>
      <c r="BQ759" s="74"/>
      <c r="BR759" s="74"/>
      <c r="BS759" s="74"/>
      <c r="BT759" s="74"/>
      <c r="BU759" s="74"/>
      <c r="BV759" s="74"/>
      <c r="BW759" s="74"/>
      <c r="BX759" s="74"/>
      <c r="BY759" s="74"/>
      <c r="BZ759" s="74"/>
    </row>
    <row r="760">
      <c r="L760" s="2"/>
      <c r="BM760" s="73"/>
      <c r="BN760" s="74"/>
      <c r="BO760" s="74"/>
      <c r="BP760" s="74"/>
      <c r="BQ760" s="74"/>
      <c r="BR760" s="74"/>
      <c r="BS760" s="74"/>
      <c r="BT760" s="74"/>
      <c r="BU760" s="74"/>
      <c r="BV760" s="74"/>
      <c r="BW760" s="74"/>
      <c r="BX760" s="74"/>
      <c r="BY760" s="74"/>
      <c r="BZ760" s="74"/>
    </row>
    <row r="761">
      <c r="L761" s="2"/>
      <c r="BM761" s="73"/>
      <c r="BN761" s="74"/>
      <c r="BO761" s="74"/>
      <c r="BP761" s="74"/>
      <c r="BQ761" s="74"/>
      <c r="BR761" s="74"/>
      <c r="BS761" s="74"/>
      <c r="BT761" s="74"/>
      <c r="BU761" s="74"/>
      <c r="BV761" s="74"/>
      <c r="BW761" s="74"/>
      <c r="BX761" s="74"/>
      <c r="BY761" s="74"/>
      <c r="BZ761" s="74"/>
    </row>
    <row r="762">
      <c r="L762" s="2"/>
      <c r="BM762" s="73"/>
      <c r="BN762" s="74"/>
      <c r="BO762" s="74"/>
      <c r="BP762" s="74"/>
      <c r="BQ762" s="74"/>
      <c r="BR762" s="74"/>
      <c r="BS762" s="74"/>
      <c r="BT762" s="74"/>
      <c r="BU762" s="74"/>
      <c r="BV762" s="74"/>
      <c r="BW762" s="74"/>
      <c r="BX762" s="74"/>
      <c r="BY762" s="74"/>
      <c r="BZ762" s="74"/>
    </row>
    <row r="763">
      <c r="L763" s="2"/>
      <c r="BM763" s="73"/>
      <c r="BN763" s="74"/>
      <c r="BO763" s="74"/>
      <c r="BP763" s="74"/>
      <c r="BQ763" s="74"/>
      <c r="BR763" s="74"/>
      <c r="BS763" s="74"/>
      <c r="BT763" s="74"/>
      <c r="BU763" s="74"/>
      <c r="BV763" s="74"/>
      <c r="BW763" s="74"/>
      <c r="BX763" s="74"/>
      <c r="BY763" s="74"/>
      <c r="BZ763" s="74"/>
    </row>
    <row r="764">
      <c r="L764" s="2"/>
      <c r="BM764" s="73"/>
      <c r="BN764" s="74"/>
      <c r="BO764" s="74"/>
      <c r="BP764" s="74"/>
      <c r="BQ764" s="74"/>
      <c r="BR764" s="74"/>
      <c r="BS764" s="74"/>
      <c r="BT764" s="74"/>
      <c r="BU764" s="74"/>
      <c r="BV764" s="74"/>
      <c r="BW764" s="74"/>
      <c r="BX764" s="74"/>
      <c r="BY764" s="74"/>
      <c r="BZ764" s="74"/>
    </row>
    <row r="765">
      <c r="L765" s="2"/>
      <c r="BM765" s="73"/>
      <c r="BN765" s="74"/>
      <c r="BO765" s="74"/>
      <c r="BP765" s="74"/>
      <c r="BQ765" s="74"/>
      <c r="BR765" s="74"/>
      <c r="BS765" s="74"/>
      <c r="BT765" s="74"/>
      <c r="BU765" s="74"/>
      <c r="BV765" s="74"/>
      <c r="BW765" s="74"/>
      <c r="BX765" s="74"/>
      <c r="BY765" s="74"/>
      <c r="BZ765" s="74"/>
    </row>
    <row r="766">
      <c r="L766" s="2"/>
      <c r="BM766" s="73"/>
      <c r="BN766" s="74"/>
      <c r="BO766" s="74"/>
      <c r="BP766" s="74"/>
      <c r="BQ766" s="74"/>
      <c r="BR766" s="74"/>
      <c r="BS766" s="74"/>
      <c r="BT766" s="74"/>
      <c r="BU766" s="74"/>
      <c r="BV766" s="74"/>
      <c r="BW766" s="74"/>
      <c r="BX766" s="74"/>
      <c r="BY766" s="74"/>
      <c r="BZ766" s="74"/>
    </row>
    <row r="767">
      <c r="L767" s="2"/>
      <c r="BM767" s="73"/>
      <c r="BN767" s="74"/>
      <c r="BO767" s="74"/>
      <c r="BP767" s="74"/>
      <c r="BQ767" s="74"/>
      <c r="BR767" s="74"/>
      <c r="BS767" s="74"/>
      <c r="BT767" s="74"/>
      <c r="BU767" s="74"/>
      <c r="BV767" s="74"/>
      <c r="BW767" s="74"/>
      <c r="BX767" s="74"/>
      <c r="BY767" s="74"/>
      <c r="BZ767" s="74"/>
    </row>
    <row r="768">
      <c r="L768" s="2"/>
      <c r="BM768" s="73"/>
      <c r="BN768" s="74"/>
      <c r="BO768" s="74"/>
      <c r="BP768" s="74"/>
      <c r="BQ768" s="74"/>
      <c r="BR768" s="74"/>
      <c r="BS768" s="74"/>
      <c r="BT768" s="74"/>
      <c r="BU768" s="74"/>
      <c r="BV768" s="74"/>
      <c r="BW768" s="74"/>
      <c r="BX768" s="74"/>
      <c r="BY768" s="74"/>
      <c r="BZ768" s="74"/>
    </row>
    <row r="769">
      <c r="L769" s="2"/>
      <c r="BM769" s="73"/>
      <c r="BN769" s="74"/>
      <c r="BO769" s="74"/>
      <c r="BP769" s="74"/>
      <c r="BQ769" s="74"/>
      <c r="BR769" s="74"/>
      <c r="BS769" s="74"/>
      <c r="BT769" s="74"/>
      <c r="BU769" s="74"/>
      <c r="BV769" s="74"/>
      <c r="BW769" s="74"/>
      <c r="BX769" s="74"/>
      <c r="BY769" s="74"/>
      <c r="BZ769" s="74"/>
    </row>
    <row r="770">
      <c r="L770" s="2"/>
      <c r="BM770" s="73"/>
      <c r="BN770" s="74"/>
      <c r="BO770" s="74"/>
      <c r="BP770" s="74"/>
      <c r="BQ770" s="74"/>
      <c r="BR770" s="74"/>
      <c r="BS770" s="74"/>
      <c r="BT770" s="74"/>
      <c r="BU770" s="74"/>
      <c r="BV770" s="74"/>
      <c r="BW770" s="74"/>
      <c r="BX770" s="74"/>
      <c r="BY770" s="74"/>
      <c r="BZ770" s="74"/>
    </row>
    <row r="771">
      <c r="L771" s="2"/>
      <c r="BM771" s="73"/>
      <c r="BN771" s="74"/>
      <c r="BO771" s="74"/>
      <c r="BP771" s="74"/>
      <c r="BQ771" s="74"/>
      <c r="BR771" s="74"/>
      <c r="BS771" s="74"/>
      <c r="BT771" s="74"/>
      <c r="BU771" s="74"/>
      <c r="BV771" s="74"/>
      <c r="BW771" s="74"/>
      <c r="BX771" s="74"/>
      <c r="BY771" s="74"/>
      <c r="BZ771" s="74"/>
    </row>
    <row r="772">
      <c r="L772" s="2"/>
      <c r="BM772" s="73"/>
      <c r="BN772" s="74"/>
      <c r="BO772" s="74"/>
      <c r="BP772" s="74"/>
      <c r="BQ772" s="74"/>
      <c r="BR772" s="74"/>
      <c r="BS772" s="74"/>
      <c r="BT772" s="74"/>
      <c r="BU772" s="74"/>
      <c r="BV772" s="74"/>
      <c r="BW772" s="74"/>
      <c r="BX772" s="74"/>
      <c r="BY772" s="74"/>
      <c r="BZ772" s="74"/>
    </row>
    <row r="773">
      <c r="L773" s="2"/>
      <c r="BM773" s="73"/>
      <c r="BN773" s="74"/>
      <c r="BO773" s="74"/>
      <c r="BP773" s="74"/>
      <c r="BQ773" s="74"/>
      <c r="BR773" s="74"/>
      <c r="BS773" s="74"/>
      <c r="BT773" s="74"/>
      <c r="BU773" s="74"/>
      <c r="BV773" s="74"/>
      <c r="BW773" s="74"/>
      <c r="BX773" s="74"/>
      <c r="BY773" s="74"/>
      <c r="BZ773" s="74"/>
    </row>
    <row r="774">
      <c r="L774" s="2"/>
      <c r="BM774" s="73"/>
      <c r="BN774" s="74"/>
      <c r="BO774" s="74"/>
      <c r="BP774" s="74"/>
      <c r="BQ774" s="74"/>
      <c r="BR774" s="74"/>
      <c r="BS774" s="74"/>
      <c r="BT774" s="74"/>
      <c r="BU774" s="74"/>
      <c r="BV774" s="74"/>
      <c r="BW774" s="74"/>
      <c r="BX774" s="74"/>
      <c r="BY774" s="74"/>
      <c r="BZ774" s="74"/>
    </row>
    <row r="775">
      <c r="L775" s="2"/>
      <c r="BM775" s="73"/>
      <c r="BN775" s="74"/>
      <c r="BO775" s="74"/>
      <c r="BP775" s="74"/>
      <c r="BQ775" s="74"/>
      <c r="BR775" s="74"/>
      <c r="BS775" s="74"/>
      <c r="BT775" s="74"/>
      <c r="BU775" s="74"/>
      <c r="BV775" s="74"/>
      <c r="BW775" s="74"/>
      <c r="BX775" s="74"/>
      <c r="BY775" s="74"/>
      <c r="BZ775" s="74"/>
    </row>
    <row r="776">
      <c r="L776" s="2"/>
      <c r="BM776" s="73"/>
      <c r="BN776" s="74"/>
      <c r="BO776" s="74"/>
      <c r="BP776" s="74"/>
      <c r="BQ776" s="74"/>
      <c r="BR776" s="74"/>
      <c r="BS776" s="74"/>
      <c r="BT776" s="74"/>
      <c r="BU776" s="74"/>
      <c r="BV776" s="74"/>
      <c r="BW776" s="74"/>
      <c r="BX776" s="74"/>
      <c r="BY776" s="74"/>
      <c r="BZ776" s="74"/>
    </row>
    <row r="777">
      <c r="L777" s="2"/>
      <c r="BM777" s="73"/>
      <c r="BN777" s="74"/>
      <c r="BO777" s="74"/>
      <c r="BP777" s="74"/>
      <c r="BQ777" s="74"/>
      <c r="BR777" s="74"/>
      <c r="BS777" s="74"/>
      <c r="BT777" s="74"/>
      <c r="BU777" s="74"/>
      <c r="BV777" s="74"/>
      <c r="BW777" s="74"/>
      <c r="BX777" s="74"/>
      <c r="BY777" s="74"/>
      <c r="BZ777" s="74"/>
    </row>
    <row r="778">
      <c r="L778" s="2"/>
      <c r="BM778" s="73"/>
      <c r="BN778" s="74"/>
      <c r="BO778" s="74"/>
      <c r="BP778" s="74"/>
      <c r="BQ778" s="74"/>
      <c r="BR778" s="74"/>
      <c r="BS778" s="74"/>
      <c r="BT778" s="74"/>
      <c r="BU778" s="74"/>
      <c r="BV778" s="74"/>
      <c r="BW778" s="74"/>
      <c r="BX778" s="74"/>
      <c r="BY778" s="74"/>
      <c r="BZ778" s="74"/>
    </row>
    <row r="779">
      <c r="L779" s="2"/>
      <c r="BM779" s="73"/>
      <c r="BN779" s="74"/>
      <c r="BO779" s="74"/>
      <c r="BP779" s="74"/>
      <c r="BQ779" s="74"/>
      <c r="BR779" s="74"/>
      <c r="BS779" s="74"/>
      <c r="BT779" s="74"/>
      <c r="BU779" s="74"/>
      <c r="BV779" s="74"/>
      <c r="BW779" s="74"/>
      <c r="BX779" s="74"/>
      <c r="BY779" s="74"/>
      <c r="BZ779" s="74"/>
    </row>
    <row r="780">
      <c r="L780" s="2"/>
      <c r="BM780" s="73"/>
      <c r="BN780" s="74"/>
      <c r="BO780" s="74"/>
      <c r="BP780" s="74"/>
      <c r="BQ780" s="74"/>
      <c r="BR780" s="74"/>
      <c r="BS780" s="74"/>
      <c r="BT780" s="74"/>
      <c r="BU780" s="74"/>
      <c r="BV780" s="74"/>
      <c r="BW780" s="74"/>
      <c r="BX780" s="74"/>
      <c r="BY780" s="74"/>
      <c r="BZ780" s="74"/>
    </row>
    <row r="781">
      <c r="L781" s="2"/>
      <c r="BM781" s="73"/>
      <c r="BN781" s="74"/>
      <c r="BO781" s="74"/>
      <c r="BP781" s="74"/>
      <c r="BQ781" s="74"/>
      <c r="BR781" s="74"/>
      <c r="BS781" s="74"/>
      <c r="BT781" s="74"/>
      <c r="BU781" s="74"/>
      <c r="BV781" s="74"/>
      <c r="BW781" s="74"/>
      <c r="BX781" s="74"/>
      <c r="BY781" s="74"/>
      <c r="BZ781" s="74"/>
    </row>
    <row r="782">
      <c r="L782" s="2"/>
      <c r="BM782" s="73"/>
      <c r="BN782" s="74"/>
      <c r="BO782" s="74"/>
      <c r="BP782" s="74"/>
      <c r="BQ782" s="74"/>
      <c r="BR782" s="74"/>
      <c r="BS782" s="74"/>
      <c r="BT782" s="74"/>
      <c r="BU782" s="74"/>
      <c r="BV782" s="74"/>
      <c r="BW782" s="74"/>
      <c r="BX782" s="74"/>
      <c r="BY782" s="74"/>
      <c r="BZ782" s="74"/>
    </row>
    <row r="783">
      <c r="L783" s="2"/>
      <c r="BM783" s="73"/>
      <c r="BN783" s="74"/>
      <c r="BO783" s="74"/>
      <c r="BP783" s="74"/>
      <c r="BQ783" s="74"/>
      <c r="BR783" s="74"/>
      <c r="BS783" s="74"/>
      <c r="BT783" s="74"/>
      <c r="BU783" s="74"/>
      <c r="BV783" s="74"/>
      <c r="BW783" s="74"/>
      <c r="BX783" s="74"/>
      <c r="BY783" s="74"/>
      <c r="BZ783" s="74"/>
    </row>
    <row r="784">
      <c r="L784" s="2"/>
      <c r="BM784" s="73"/>
      <c r="BN784" s="74"/>
      <c r="BO784" s="74"/>
      <c r="BP784" s="74"/>
      <c r="BQ784" s="74"/>
      <c r="BR784" s="74"/>
      <c r="BS784" s="74"/>
      <c r="BT784" s="74"/>
      <c r="BU784" s="74"/>
      <c r="BV784" s="74"/>
      <c r="BW784" s="74"/>
      <c r="BX784" s="74"/>
      <c r="BY784" s="74"/>
      <c r="BZ784" s="74"/>
    </row>
    <row r="785">
      <c r="L785" s="2"/>
      <c r="BM785" s="73"/>
      <c r="BN785" s="74"/>
      <c r="BO785" s="74"/>
      <c r="BP785" s="74"/>
      <c r="BQ785" s="74"/>
      <c r="BR785" s="74"/>
      <c r="BS785" s="74"/>
      <c r="BT785" s="74"/>
      <c r="BU785" s="74"/>
      <c r="BV785" s="74"/>
      <c r="BW785" s="74"/>
      <c r="BX785" s="74"/>
      <c r="BY785" s="74"/>
      <c r="BZ785" s="74"/>
    </row>
    <row r="786">
      <c r="L786" s="2"/>
      <c r="BM786" s="73"/>
      <c r="BN786" s="74"/>
      <c r="BO786" s="74"/>
      <c r="BP786" s="74"/>
      <c r="BQ786" s="74"/>
      <c r="BR786" s="74"/>
      <c r="BS786" s="74"/>
      <c r="BT786" s="74"/>
      <c r="BU786" s="74"/>
      <c r="BV786" s="74"/>
      <c r="BW786" s="74"/>
      <c r="BX786" s="74"/>
      <c r="BY786" s="74"/>
      <c r="BZ786" s="74"/>
    </row>
    <row r="787">
      <c r="L787" s="2"/>
      <c r="BM787" s="73"/>
      <c r="BN787" s="74"/>
      <c r="BO787" s="74"/>
      <c r="BP787" s="74"/>
      <c r="BQ787" s="74"/>
      <c r="BR787" s="74"/>
      <c r="BS787" s="74"/>
      <c r="BT787" s="74"/>
      <c r="BU787" s="74"/>
      <c r="BV787" s="74"/>
      <c r="BW787" s="74"/>
      <c r="BX787" s="74"/>
      <c r="BY787" s="74"/>
      <c r="BZ787" s="74"/>
    </row>
    <row r="788">
      <c r="L788" s="2"/>
      <c r="BM788" s="73"/>
      <c r="BN788" s="74"/>
      <c r="BO788" s="74"/>
      <c r="BP788" s="74"/>
      <c r="BQ788" s="74"/>
      <c r="BR788" s="74"/>
      <c r="BS788" s="74"/>
      <c r="BT788" s="74"/>
      <c r="BU788" s="74"/>
      <c r="BV788" s="74"/>
      <c r="BW788" s="74"/>
      <c r="BX788" s="74"/>
      <c r="BY788" s="74"/>
      <c r="BZ788" s="74"/>
    </row>
    <row r="789">
      <c r="L789" s="2"/>
      <c r="BM789" s="73"/>
      <c r="BN789" s="74"/>
      <c r="BO789" s="74"/>
      <c r="BP789" s="74"/>
      <c r="BQ789" s="74"/>
      <c r="BR789" s="74"/>
      <c r="BS789" s="74"/>
      <c r="BT789" s="74"/>
      <c r="BU789" s="74"/>
      <c r="BV789" s="74"/>
      <c r="BW789" s="74"/>
      <c r="BX789" s="74"/>
      <c r="BY789" s="74"/>
      <c r="BZ789" s="74"/>
    </row>
    <row r="790">
      <c r="L790" s="2"/>
      <c r="BM790" s="73"/>
      <c r="BN790" s="74"/>
      <c r="BO790" s="74"/>
      <c r="BP790" s="74"/>
      <c r="BQ790" s="74"/>
      <c r="BR790" s="74"/>
      <c r="BS790" s="74"/>
      <c r="BT790" s="74"/>
      <c r="BU790" s="74"/>
      <c r="BV790" s="74"/>
      <c r="BW790" s="74"/>
      <c r="BX790" s="74"/>
      <c r="BY790" s="74"/>
      <c r="BZ790" s="74"/>
    </row>
    <row r="791">
      <c r="L791" s="2"/>
      <c r="BM791" s="73"/>
      <c r="BN791" s="74"/>
      <c r="BO791" s="74"/>
      <c r="BP791" s="74"/>
      <c r="BQ791" s="74"/>
      <c r="BR791" s="74"/>
      <c r="BS791" s="74"/>
      <c r="BT791" s="74"/>
      <c r="BU791" s="74"/>
      <c r="BV791" s="74"/>
      <c r="BW791" s="74"/>
      <c r="BX791" s="74"/>
      <c r="BY791" s="74"/>
      <c r="BZ791" s="74"/>
    </row>
    <row r="792">
      <c r="L792" s="2"/>
      <c r="BM792" s="73"/>
      <c r="BN792" s="74"/>
      <c r="BO792" s="74"/>
      <c r="BP792" s="74"/>
      <c r="BQ792" s="74"/>
      <c r="BR792" s="74"/>
      <c r="BS792" s="74"/>
      <c r="BT792" s="74"/>
      <c r="BU792" s="74"/>
      <c r="BV792" s="74"/>
      <c r="BW792" s="74"/>
      <c r="BX792" s="74"/>
      <c r="BY792" s="74"/>
      <c r="BZ792" s="74"/>
    </row>
    <row r="793">
      <c r="L793" s="2"/>
      <c r="BM793" s="73"/>
      <c r="BN793" s="74"/>
      <c r="BO793" s="74"/>
      <c r="BP793" s="74"/>
      <c r="BQ793" s="74"/>
      <c r="BR793" s="74"/>
      <c r="BS793" s="74"/>
      <c r="BT793" s="74"/>
      <c r="BU793" s="74"/>
      <c r="BV793" s="74"/>
      <c r="BW793" s="74"/>
      <c r="BX793" s="74"/>
      <c r="BY793" s="74"/>
      <c r="BZ793" s="74"/>
    </row>
    <row r="794">
      <c r="L794" s="2"/>
      <c r="BM794" s="73"/>
      <c r="BN794" s="74"/>
      <c r="BO794" s="74"/>
      <c r="BP794" s="74"/>
      <c r="BQ794" s="74"/>
      <c r="BR794" s="74"/>
      <c r="BS794" s="74"/>
      <c r="BT794" s="74"/>
      <c r="BU794" s="74"/>
      <c r="BV794" s="74"/>
      <c r="BW794" s="74"/>
      <c r="BX794" s="74"/>
      <c r="BY794" s="74"/>
      <c r="BZ794" s="74"/>
    </row>
    <row r="795">
      <c r="L795" s="2"/>
      <c r="BM795" s="73"/>
      <c r="BN795" s="74"/>
      <c r="BO795" s="74"/>
      <c r="BP795" s="74"/>
      <c r="BQ795" s="74"/>
      <c r="BR795" s="74"/>
      <c r="BS795" s="74"/>
      <c r="BT795" s="74"/>
      <c r="BU795" s="74"/>
      <c r="BV795" s="74"/>
      <c r="BW795" s="74"/>
      <c r="BX795" s="74"/>
      <c r="BY795" s="74"/>
      <c r="BZ795" s="74"/>
    </row>
    <row r="796">
      <c r="L796" s="2"/>
      <c r="BM796" s="73"/>
      <c r="BN796" s="74"/>
      <c r="BO796" s="74"/>
      <c r="BP796" s="74"/>
      <c r="BQ796" s="74"/>
      <c r="BR796" s="74"/>
      <c r="BS796" s="74"/>
      <c r="BT796" s="74"/>
      <c r="BU796" s="74"/>
      <c r="BV796" s="74"/>
      <c r="BW796" s="74"/>
      <c r="BX796" s="74"/>
      <c r="BY796" s="74"/>
      <c r="BZ796" s="74"/>
    </row>
    <row r="797">
      <c r="L797" s="2"/>
      <c r="BM797" s="73"/>
      <c r="BN797" s="74"/>
      <c r="BO797" s="74"/>
      <c r="BP797" s="74"/>
      <c r="BQ797" s="74"/>
      <c r="BR797" s="74"/>
      <c r="BS797" s="74"/>
      <c r="BT797" s="74"/>
      <c r="BU797" s="74"/>
      <c r="BV797" s="74"/>
      <c r="BW797" s="74"/>
      <c r="BX797" s="74"/>
      <c r="BY797" s="74"/>
      <c r="BZ797" s="74"/>
    </row>
    <row r="798">
      <c r="L798" s="2"/>
      <c r="BM798" s="73"/>
      <c r="BN798" s="74"/>
      <c r="BO798" s="74"/>
      <c r="BP798" s="74"/>
      <c r="BQ798" s="74"/>
      <c r="BR798" s="74"/>
      <c r="BS798" s="74"/>
      <c r="BT798" s="74"/>
      <c r="BU798" s="74"/>
      <c r="BV798" s="74"/>
      <c r="BW798" s="74"/>
      <c r="BX798" s="74"/>
      <c r="BY798" s="74"/>
      <c r="BZ798" s="74"/>
    </row>
    <row r="799">
      <c r="L799" s="2"/>
      <c r="BM799" s="73"/>
      <c r="BN799" s="74"/>
      <c r="BO799" s="74"/>
      <c r="BP799" s="74"/>
      <c r="BQ799" s="74"/>
      <c r="BR799" s="74"/>
      <c r="BS799" s="74"/>
      <c r="BT799" s="74"/>
      <c r="BU799" s="74"/>
      <c r="BV799" s="74"/>
      <c r="BW799" s="74"/>
      <c r="BX799" s="74"/>
      <c r="BY799" s="74"/>
      <c r="BZ799" s="74"/>
    </row>
    <row r="800">
      <c r="L800" s="2"/>
      <c r="BM800" s="73"/>
      <c r="BN800" s="74"/>
      <c r="BO800" s="74"/>
      <c r="BP800" s="74"/>
      <c r="BQ800" s="74"/>
      <c r="BR800" s="74"/>
      <c r="BS800" s="74"/>
      <c r="BT800" s="74"/>
      <c r="BU800" s="74"/>
      <c r="BV800" s="74"/>
      <c r="BW800" s="74"/>
      <c r="BX800" s="74"/>
      <c r="BY800" s="74"/>
      <c r="BZ800" s="74"/>
    </row>
    <row r="801">
      <c r="L801" s="2"/>
      <c r="BM801" s="73"/>
      <c r="BN801" s="74"/>
      <c r="BO801" s="74"/>
      <c r="BP801" s="74"/>
      <c r="BQ801" s="74"/>
      <c r="BR801" s="74"/>
      <c r="BS801" s="74"/>
      <c r="BT801" s="74"/>
      <c r="BU801" s="74"/>
      <c r="BV801" s="74"/>
      <c r="BW801" s="74"/>
      <c r="BX801" s="74"/>
      <c r="BY801" s="74"/>
      <c r="BZ801" s="74"/>
    </row>
    <row r="802">
      <c r="L802" s="2"/>
      <c r="BM802" s="73"/>
      <c r="BN802" s="74"/>
      <c r="BO802" s="74"/>
      <c r="BP802" s="74"/>
      <c r="BQ802" s="74"/>
      <c r="BR802" s="74"/>
      <c r="BS802" s="74"/>
      <c r="BT802" s="74"/>
      <c r="BU802" s="74"/>
      <c r="BV802" s="74"/>
      <c r="BW802" s="74"/>
      <c r="BX802" s="74"/>
      <c r="BY802" s="74"/>
      <c r="BZ802" s="74"/>
    </row>
    <row r="803">
      <c r="L803" s="2"/>
      <c r="BM803" s="73"/>
      <c r="BN803" s="74"/>
      <c r="BO803" s="74"/>
      <c r="BP803" s="74"/>
      <c r="BQ803" s="74"/>
      <c r="BR803" s="74"/>
      <c r="BS803" s="74"/>
      <c r="BT803" s="74"/>
      <c r="BU803" s="74"/>
      <c r="BV803" s="74"/>
      <c r="BW803" s="74"/>
      <c r="BX803" s="74"/>
      <c r="BY803" s="74"/>
      <c r="BZ803" s="74"/>
    </row>
    <row r="804">
      <c r="L804" s="2"/>
      <c r="BM804" s="73"/>
      <c r="BN804" s="74"/>
      <c r="BO804" s="74"/>
      <c r="BP804" s="74"/>
      <c r="BQ804" s="74"/>
      <c r="BR804" s="74"/>
      <c r="BS804" s="74"/>
      <c r="BT804" s="74"/>
      <c r="BU804" s="74"/>
      <c r="BV804" s="74"/>
      <c r="BW804" s="74"/>
      <c r="BX804" s="74"/>
      <c r="BY804" s="74"/>
      <c r="BZ804" s="74"/>
    </row>
    <row r="805">
      <c r="L805" s="2"/>
      <c r="BM805" s="73"/>
      <c r="BN805" s="74"/>
      <c r="BO805" s="74"/>
      <c r="BP805" s="74"/>
      <c r="BQ805" s="74"/>
      <c r="BR805" s="74"/>
      <c r="BS805" s="74"/>
      <c r="BT805" s="74"/>
      <c r="BU805" s="74"/>
      <c r="BV805" s="74"/>
      <c r="BW805" s="74"/>
      <c r="BX805" s="74"/>
      <c r="BY805" s="74"/>
      <c r="BZ805" s="74"/>
    </row>
    <row r="806">
      <c r="L806" s="2"/>
      <c r="BM806" s="73"/>
      <c r="BN806" s="74"/>
      <c r="BO806" s="74"/>
      <c r="BP806" s="74"/>
      <c r="BQ806" s="74"/>
      <c r="BR806" s="74"/>
      <c r="BS806" s="74"/>
      <c r="BT806" s="74"/>
      <c r="BU806" s="74"/>
      <c r="BV806" s="74"/>
      <c r="BW806" s="74"/>
      <c r="BX806" s="74"/>
      <c r="BY806" s="74"/>
      <c r="BZ806" s="74"/>
    </row>
    <row r="807">
      <c r="L807" s="2"/>
      <c r="BM807" s="73"/>
      <c r="BN807" s="74"/>
      <c r="BO807" s="74"/>
      <c r="BP807" s="74"/>
      <c r="BQ807" s="74"/>
      <c r="BR807" s="74"/>
      <c r="BS807" s="74"/>
      <c r="BT807" s="74"/>
      <c r="BU807" s="74"/>
      <c r="BV807" s="74"/>
      <c r="BW807" s="74"/>
      <c r="BX807" s="74"/>
      <c r="BY807" s="74"/>
      <c r="BZ807" s="74"/>
    </row>
    <row r="808">
      <c r="L808" s="2"/>
      <c r="BM808" s="73"/>
      <c r="BN808" s="74"/>
      <c r="BO808" s="74"/>
      <c r="BP808" s="74"/>
      <c r="BQ808" s="74"/>
      <c r="BR808" s="74"/>
      <c r="BS808" s="74"/>
      <c r="BT808" s="74"/>
      <c r="BU808" s="74"/>
      <c r="BV808" s="74"/>
      <c r="BW808" s="74"/>
      <c r="BX808" s="74"/>
      <c r="BY808" s="74"/>
      <c r="BZ808" s="74"/>
    </row>
    <row r="809">
      <c r="L809" s="2"/>
      <c r="BM809" s="73"/>
      <c r="BN809" s="74"/>
      <c r="BO809" s="74"/>
      <c r="BP809" s="74"/>
      <c r="BQ809" s="74"/>
      <c r="BR809" s="74"/>
      <c r="BS809" s="74"/>
      <c r="BT809" s="74"/>
      <c r="BU809" s="74"/>
      <c r="BV809" s="74"/>
      <c r="BW809" s="74"/>
      <c r="BX809" s="74"/>
      <c r="BY809" s="74"/>
      <c r="BZ809" s="74"/>
    </row>
    <row r="810">
      <c r="L810" s="2"/>
      <c r="BM810" s="73"/>
      <c r="BN810" s="74"/>
      <c r="BO810" s="74"/>
      <c r="BP810" s="74"/>
      <c r="BQ810" s="74"/>
      <c r="BR810" s="74"/>
      <c r="BS810" s="74"/>
      <c r="BT810" s="74"/>
      <c r="BU810" s="74"/>
      <c r="BV810" s="74"/>
      <c r="BW810" s="74"/>
      <c r="BX810" s="74"/>
      <c r="BY810" s="74"/>
      <c r="BZ810" s="74"/>
    </row>
    <row r="811">
      <c r="L811" s="2"/>
      <c r="BM811" s="73"/>
      <c r="BN811" s="74"/>
      <c r="BO811" s="74"/>
      <c r="BP811" s="74"/>
      <c r="BQ811" s="74"/>
      <c r="BR811" s="74"/>
      <c r="BS811" s="74"/>
      <c r="BT811" s="74"/>
      <c r="BU811" s="74"/>
      <c r="BV811" s="74"/>
      <c r="BW811" s="74"/>
      <c r="BX811" s="74"/>
      <c r="BY811" s="74"/>
      <c r="BZ811" s="74"/>
    </row>
    <row r="812">
      <c r="L812" s="2"/>
      <c r="BM812" s="73"/>
      <c r="BN812" s="74"/>
      <c r="BO812" s="74"/>
      <c r="BP812" s="74"/>
      <c r="BQ812" s="74"/>
      <c r="BR812" s="74"/>
      <c r="BS812" s="74"/>
      <c r="BT812" s="74"/>
      <c r="BU812" s="74"/>
      <c r="BV812" s="74"/>
      <c r="BW812" s="74"/>
      <c r="BX812" s="74"/>
      <c r="BY812" s="74"/>
      <c r="BZ812" s="74"/>
    </row>
    <row r="813">
      <c r="L813" s="2"/>
      <c r="BM813" s="73"/>
      <c r="BN813" s="74"/>
      <c r="BO813" s="74"/>
      <c r="BP813" s="74"/>
      <c r="BQ813" s="74"/>
      <c r="BR813" s="74"/>
      <c r="BS813" s="74"/>
      <c r="BT813" s="74"/>
      <c r="BU813" s="74"/>
      <c r="BV813" s="74"/>
      <c r="BW813" s="74"/>
      <c r="BX813" s="74"/>
      <c r="BY813" s="74"/>
      <c r="BZ813" s="74"/>
    </row>
    <row r="814">
      <c r="L814" s="2"/>
      <c r="BM814" s="73"/>
      <c r="BN814" s="74"/>
      <c r="BO814" s="74"/>
      <c r="BP814" s="74"/>
      <c r="BQ814" s="74"/>
      <c r="BR814" s="74"/>
      <c r="BS814" s="74"/>
      <c r="BT814" s="74"/>
      <c r="BU814" s="74"/>
      <c r="BV814" s="74"/>
      <c r="BW814" s="74"/>
      <c r="BX814" s="74"/>
      <c r="BY814" s="74"/>
      <c r="BZ814" s="74"/>
    </row>
    <row r="815">
      <c r="L815" s="2"/>
      <c r="BM815" s="73"/>
      <c r="BN815" s="74"/>
      <c r="BO815" s="74"/>
      <c r="BP815" s="74"/>
      <c r="BQ815" s="74"/>
      <c r="BR815" s="74"/>
      <c r="BS815" s="74"/>
      <c r="BT815" s="74"/>
      <c r="BU815" s="74"/>
      <c r="BV815" s="74"/>
      <c r="BW815" s="74"/>
      <c r="BX815" s="74"/>
      <c r="BY815" s="74"/>
      <c r="BZ815" s="74"/>
    </row>
    <row r="816">
      <c r="L816" s="2"/>
      <c r="BM816" s="73"/>
      <c r="BN816" s="74"/>
      <c r="BO816" s="74"/>
      <c r="BP816" s="74"/>
      <c r="BQ816" s="74"/>
      <c r="BR816" s="74"/>
      <c r="BS816" s="74"/>
      <c r="BT816" s="74"/>
      <c r="BU816" s="74"/>
      <c r="BV816" s="74"/>
      <c r="BW816" s="74"/>
      <c r="BX816" s="74"/>
      <c r="BY816" s="74"/>
      <c r="BZ816" s="74"/>
    </row>
    <row r="817">
      <c r="L817" s="2"/>
      <c r="BM817" s="73"/>
      <c r="BN817" s="74"/>
      <c r="BO817" s="74"/>
      <c r="BP817" s="74"/>
      <c r="BQ817" s="74"/>
      <c r="BR817" s="74"/>
      <c r="BS817" s="74"/>
      <c r="BT817" s="74"/>
      <c r="BU817" s="74"/>
      <c r="BV817" s="74"/>
      <c r="BW817" s="74"/>
      <c r="BX817" s="74"/>
      <c r="BY817" s="74"/>
      <c r="BZ817" s="74"/>
    </row>
    <row r="818">
      <c r="L818" s="2"/>
      <c r="BM818" s="73"/>
      <c r="BN818" s="74"/>
      <c r="BO818" s="74"/>
      <c r="BP818" s="74"/>
      <c r="BQ818" s="74"/>
      <c r="BR818" s="74"/>
      <c r="BS818" s="74"/>
      <c r="BT818" s="74"/>
      <c r="BU818" s="74"/>
      <c r="BV818" s="74"/>
      <c r="BW818" s="74"/>
      <c r="BX818" s="74"/>
      <c r="BY818" s="74"/>
      <c r="BZ818" s="74"/>
    </row>
    <row r="819">
      <c r="L819" s="2"/>
      <c r="BM819" s="73"/>
      <c r="BN819" s="74"/>
      <c r="BO819" s="74"/>
      <c r="BP819" s="74"/>
      <c r="BQ819" s="74"/>
      <c r="BR819" s="74"/>
      <c r="BS819" s="74"/>
      <c r="BT819" s="74"/>
      <c r="BU819" s="74"/>
      <c r="BV819" s="74"/>
      <c r="BW819" s="74"/>
      <c r="BX819" s="74"/>
      <c r="BY819" s="74"/>
      <c r="BZ819" s="74"/>
    </row>
    <row r="820">
      <c r="L820" s="2"/>
      <c r="BM820" s="73"/>
      <c r="BN820" s="74"/>
      <c r="BO820" s="74"/>
      <c r="BP820" s="74"/>
      <c r="BQ820" s="74"/>
      <c r="BR820" s="74"/>
      <c r="BS820" s="74"/>
      <c r="BT820" s="74"/>
      <c r="BU820" s="74"/>
      <c r="BV820" s="74"/>
      <c r="BW820" s="74"/>
      <c r="BX820" s="74"/>
      <c r="BY820" s="74"/>
      <c r="BZ820" s="74"/>
    </row>
    <row r="821">
      <c r="L821" s="2"/>
      <c r="BM821" s="73"/>
      <c r="BN821" s="74"/>
      <c r="BO821" s="74"/>
      <c r="BP821" s="74"/>
      <c r="BQ821" s="74"/>
      <c r="BR821" s="74"/>
      <c r="BS821" s="74"/>
      <c r="BT821" s="74"/>
      <c r="BU821" s="74"/>
      <c r="BV821" s="74"/>
      <c r="BW821" s="74"/>
      <c r="BX821" s="74"/>
      <c r="BY821" s="74"/>
      <c r="BZ821" s="74"/>
    </row>
    <row r="822">
      <c r="L822" s="2"/>
      <c r="BM822" s="73"/>
      <c r="BN822" s="74"/>
      <c r="BO822" s="74"/>
      <c r="BP822" s="74"/>
      <c r="BQ822" s="74"/>
      <c r="BR822" s="74"/>
      <c r="BS822" s="74"/>
      <c r="BT822" s="74"/>
      <c r="BU822" s="74"/>
      <c r="BV822" s="74"/>
      <c r="BW822" s="74"/>
      <c r="BX822" s="74"/>
      <c r="BY822" s="74"/>
      <c r="BZ822" s="74"/>
    </row>
    <row r="823">
      <c r="L823" s="2"/>
      <c r="BM823" s="73"/>
      <c r="BN823" s="74"/>
      <c r="BO823" s="74"/>
      <c r="BP823" s="74"/>
      <c r="BQ823" s="74"/>
      <c r="BR823" s="74"/>
      <c r="BS823" s="74"/>
      <c r="BT823" s="74"/>
      <c r="BU823" s="74"/>
      <c r="BV823" s="74"/>
      <c r="BW823" s="74"/>
      <c r="BX823" s="74"/>
      <c r="BY823" s="74"/>
      <c r="BZ823" s="74"/>
    </row>
    <row r="824">
      <c r="L824" s="2"/>
      <c r="BM824" s="73"/>
      <c r="BN824" s="74"/>
      <c r="BO824" s="74"/>
      <c r="BP824" s="74"/>
      <c r="BQ824" s="74"/>
      <c r="BR824" s="74"/>
      <c r="BS824" s="74"/>
      <c r="BT824" s="74"/>
      <c r="BU824" s="74"/>
      <c r="BV824" s="74"/>
      <c r="BW824" s="74"/>
      <c r="BX824" s="74"/>
      <c r="BY824" s="74"/>
      <c r="BZ824" s="74"/>
    </row>
    <row r="825">
      <c r="L825" s="2"/>
      <c r="BM825" s="73"/>
      <c r="BN825" s="74"/>
      <c r="BO825" s="74"/>
      <c r="BP825" s="74"/>
      <c r="BQ825" s="74"/>
      <c r="BR825" s="74"/>
      <c r="BS825" s="74"/>
      <c r="BT825" s="74"/>
      <c r="BU825" s="74"/>
      <c r="BV825" s="74"/>
      <c r="BW825" s="74"/>
      <c r="BX825" s="74"/>
      <c r="BY825" s="74"/>
      <c r="BZ825" s="74"/>
    </row>
    <row r="826">
      <c r="L826" s="2"/>
      <c r="BM826" s="73"/>
      <c r="BN826" s="74"/>
      <c r="BO826" s="74"/>
      <c r="BP826" s="74"/>
      <c r="BQ826" s="74"/>
      <c r="BR826" s="74"/>
      <c r="BS826" s="74"/>
      <c r="BT826" s="74"/>
      <c r="BU826" s="74"/>
      <c r="BV826" s="74"/>
      <c r="BW826" s="74"/>
      <c r="BX826" s="74"/>
      <c r="BY826" s="74"/>
      <c r="BZ826" s="74"/>
    </row>
    <row r="827">
      <c r="L827" s="2"/>
      <c r="BM827" s="73"/>
      <c r="BN827" s="74"/>
      <c r="BO827" s="74"/>
      <c r="BP827" s="74"/>
      <c r="BQ827" s="74"/>
      <c r="BR827" s="74"/>
      <c r="BS827" s="74"/>
      <c r="BT827" s="74"/>
      <c r="BU827" s="74"/>
      <c r="BV827" s="74"/>
      <c r="BW827" s="74"/>
      <c r="BX827" s="74"/>
      <c r="BY827" s="74"/>
      <c r="BZ827" s="74"/>
    </row>
    <row r="828">
      <c r="L828" s="2"/>
      <c r="BM828" s="73"/>
      <c r="BN828" s="74"/>
      <c r="BO828" s="74"/>
      <c r="BP828" s="74"/>
      <c r="BQ828" s="74"/>
      <c r="BR828" s="74"/>
      <c r="BS828" s="74"/>
      <c r="BT828" s="74"/>
      <c r="BU828" s="74"/>
      <c r="BV828" s="74"/>
      <c r="BW828" s="74"/>
      <c r="BX828" s="74"/>
      <c r="BY828" s="74"/>
      <c r="BZ828" s="74"/>
    </row>
    <row r="829">
      <c r="L829" s="2"/>
      <c r="BM829" s="73"/>
      <c r="BN829" s="74"/>
      <c r="BO829" s="74"/>
      <c r="BP829" s="74"/>
      <c r="BQ829" s="74"/>
      <c r="BR829" s="74"/>
      <c r="BS829" s="74"/>
      <c r="BT829" s="74"/>
      <c r="BU829" s="74"/>
      <c r="BV829" s="74"/>
      <c r="BW829" s="74"/>
      <c r="BX829" s="74"/>
      <c r="BY829" s="74"/>
      <c r="BZ829" s="74"/>
    </row>
    <row r="830">
      <c r="L830" s="2"/>
      <c r="BM830" s="73"/>
      <c r="BN830" s="74"/>
      <c r="BO830" s="74"/>
      <c r="BP830" s="74"/>
      <c r="BQ830" s="74"/>
      <c r="BR830" s="74"/>
      <c r="BS830" s="74"/>
      <c r="BT830" s="74"/>
      <c r="BU830" s="74"/>
      <c r="BV830" s="74"/>
      <c r="BW830" s="74"/>
      <c r="BX830" s="74"/>
      <c r="BY830" s="74"/>
      <c r="BZ830" s="74"/>
    </row>
    <row r="831">
      <c r="L831" s="2"/>
      <c r="BM831" s="73"/>
      <c r="BN831" s="74"/>
      <c r="BO831" s="74"/>
      <c r="BP831" s="74"/>
      <c r="BQ831" s="74"/>
      <c r="BR831" s="74"/>
      <c r="BS831" s="74"/>
      <c r="BT831" s="74"/>
      <c r="BU831" s="74"/>
      <c r="BV831" s="74"/>
      <c r="BW831" s="74"/>
      <c r="BX831" s="74"/>
      <c r="BY831" s="74"/>
      <c r="BZ831" s="74"/>
    </row>
    <row r="832">
      <c r="L832" s="2"/>
      <c r="BM832" s="73"/>
      <c r="BN832" s="74"/>
      <c r="BO832" s="74"/>
      <c r="BP832" s="74"/>
      <c r="BQ832" s="74"/>
      <c r="BR832" s="74"/>
      <c r="BS832" s="74"/>
      <c r="BT832" s="74"/>
      <c r="BU832" s="74"/>
      <c r="BV832" s="74"/>
      <c r="BW832" s="74"/>
      <c r="BX832" s="74"/>
      <c r="BY832" s="74"/>
      <c r="BZ832" s="74"/>
    </row>
    <row r="833">
      <c r="L833" s="2"/>
      <c r="BM833" s="73"/>
      <c r="BN833" s="74"/>
      <c r="BO833" s="74"/>
      <c r="BP833" s="74"/>
      <c r="BQ833" s="74"/>
      <c r="BR833" s="74"/>
      <c r="BS833" s="74"/>
      <c r="BT833" s="74"/>
      <c r="BU833" s="74"/>
      <c r="BV833" s="74"/>
      <c r="BW833" s="74"/>
      <c r="BX833" s="74"/>
      <c r="BY833" s="74"/>
      <c r="BZ833" s="74"/>
    </row>
    <row r="834">
      <c r="L834" s="2"/>
      <c r="BM834" s="73"/>
      <c r="BN834" s="74"/>
      <c r="BO834" s="74"/>
      <c r="BP834" s="74"/>
      <c r="BQ834" s="74"/>
      <c r="BR834" s="74"/>
      <c r="BS834" s="74"/>
      <c r="BT834" s="74"/>
      <c r="BU834" s="74"/>
      <c r="BV834" s="74"/>
      <c r="BW834" s="74"/>
      <c r="BX834" s="74"/>
      <c r="BY834" s="74"/>
      <c r="BZ834" s="74"/>
    </row>
    <row r="835">
      <c r="L835" s="2"/>
      <c r="BM835" s="73"/>
      <c r="BN835" s="74"/>
      <c r="BO835" s="74"/>
      <c r="BP835" s="74"/>
      <c r="BQ835" s="74"/>
      <c r="BR835" s="74"/>
      <c r="BS835" s="74"/>
      <c r="BT835" s="74"/>
      <c r="BU835" s="74"/>
      <c r="BV835" s="74"/>
      <c r="BW835" s="74"/>
      <c r="BX835" s="74"/>
      <c r="BY835" s="74"/>
      <c r="BZ835" s="74"/>
    </row>
    <row r="836">
      <c r="L836" s="2"/>
      <c r="BM836" s="73"/>
      <c r="BN836" s="74"/>
      <c r="BO836" s="74"/>
      <c r="BP836" s="74"/>
      <c r="BQ836" s="74"/>
      <c r="BR836" s="74"/>
      <c r="BS836" s="74"/>
      <c r="BT836" s="74"/>
      <c r="BU836" s="74"/>
      <c r="BV836" s="74"/>
      <c r="BW836" s="74"/>
      <c r="BX836" s="74"/>
      <c r="BY836" s="74"/>
      <c r="BZ836" s="74"/>
    </row>
    <row r="837">
      <c r="L837" s="2"/>
      <c r="BM837" s="73"/>
      <c r="BN837" s="74"/>
      <c r="BO837" s="74"/>
      <c r="BP837" s="74"/>
      <c r="BQ837" s="74"/>
      <c r="BR837" s="74"/>
      <c r="BS837" s="74"/>
      <c r="BT837" s="74"/>
      <c r="BU837" s="74"/>
      <c r="BV837" s="74"/>
      <c r="BW837" s="74"/>
      <c r="BX837" s="74"/>
      <c r="BY837" s="74"/>
      <c r="BZ837" s="74"/>
    </row>
    <row r="838">
      <c r="L838" s="2"/>
      <c r="BM838" s="73"/>
      <c r="BN838" s="74"/>
      <c r="BO838" s="74"/>
      <c r="BP838" s="74"/>
      <c r="BQ838" s="74"/>
      <c r="BR838" s="74"/>
      <c r="BS838" s="74"/>
      <c r="BT838" s="74"/>
      <c r="BU838" s="74"/>
      <c r="BV838" s="74"/>
      <c r="BW838" s="74"/>
      <c r="BX838" s="74"/>
      <c r="BY838" s="74"/>
      <c r="BZ838" s="74"/>
    </row>
    <row r="839">
      <c r="L839" s="2"/>
      <c r="BM839" s="73"/>
      <c r="BN839" s="74"/>
      <c r="BO839" s="74"/>
      <c r="BP839" s="74"/>
      <c r="BQ839" s="74"/>
      <c r="BR839" s="74"/>
      <c r="BS839" s="74"/>
      <c r="BT839" s="74"/>
      <c r="BU839" s="74"/>
      <c r="BV839" s="74"/>
      <c r="BW839" s="74"/>
      <c r="BX839" s="74"/>
      <c r="BY839" s="74"/>
      <c r="BZ839" s="74"/>
    </row>
    <row r="840">
      <c r="L840" s="2"/>
      <c r="BM840" s="73"/>
      <c r="BN840" s="74"/>
      <c r="BO840" s="74"/>
      <c r="BP840" s="74"/>
      <c r="BQ840" s="74"/>
      <c r="BR840" s="74"/>
      <c r="BS840" s="74"/>
      <c r="BT840" s="74"/>
      <c r="BU840" s="74"/>
      <c r="BV840" s="74"/>
      <c r="BW840" s="74"/>
      <c r="BX840" s="74"/>
      <c r="BY840" s="74"/>
      <c r="BZ840" s="74"/>
    </row>
    <row r="841">
      <c r="L841" s="2"/>
      <c r="BM841" s="73"/>
      <c r="BN841" s="74"/>
      <c r="BO841" s="74"/>
      <c r="BP841" s="74"/>
      <c r="BQ841" s="74"/>
      <c r="BR841" s="74"/>
      <c r="BS841" s="74"/>
      <c r="BT841" s="74"/>
      <c r="BU841" s="74"/>
      <c r="BV841" s="74"/>
      <c r="BW841" s="74"/>
      <c r="BX841" s="74"/>
      <c r="BY841" s="74"/>
      <c r="BZ841" s="74"/>
    </row>
    <row r="842">
      <c r="L842" s="2"/>
      <c r="BM842" s="73"/>
      <c r="BN842" s="74"/>
      <c r="BO842" s="74"/>
      <c r="BP842" s="74"/>
      <c r="BQ842" s="74"/>
      <c r="BR842" s="74"/>
      <c r="BS842" s="74"/>
      <c r="BT842" s="74"/>
      <c r="BU842" s="74"/>
      <c r="BV842" s="74"/>
      <c r="BW842" s="74"/>
      <c r="BX842" s="74"/>
      <c r="BY842" s="74"/>
      <c r="BZ842" s="74"/>
    </row>
    <row r="843">
      <c r="L843" s="2"/>
      <c r="BM843" s="73"/>
      <c r="BN843" s="74"/>
      <c r="BO843" s="74"/>
      <c r="BP843" s="74"/>
      <c r="BQ843" s="74"/>
      <c r="BR843" s="74"/>
      <c r="BS843" s="74"/>
      <c r="BT843" s="74"/>
      <c r="BU843" s="74"/>
      <c r="BV843" s="74"/>
      <c r="BW843" s="74"/>
      <c r="BX843" s="74"/>
      <c r="BY843" s="74"/>
      <c r="BZ843" s="74"/>
    </row>
    <row r="844">
      <c r="L844" s="2"/>
      <c r="BM844" s="73"/>
      <c r="BN844" s="74"/>
      <c r="BO844" s="74"/>
      <c r="BP844" s="74"/>
      <c r="BQ844" s="74"/>
      <c r="BR844" s="74"/>
      <c r="BS844" s="74"/>
      <c r="BT844" s="74"/>
      <c r="BU844" s="74"/>
      <c r="BV844" s="74"/>
      <c r="BW844" s="74"/>
      <c r="BX844" s="74"/>
      <c r="BY844" s="74"/>
      <c r="BZ844" s="74"/>
    </row>
    <row r="845">
      <c r="L845" s="2"/>
      <c r="BM845" s="73"/>
      <c r="BN845" s="74"/>
      <c r="BO845" s="74"/>
      <c r="BP845" s="74"/>
      <c r="BQ845" s="74"/>
      <c r="BR845" s="74"/>
      <c r="BS845" s="74"/>
      <c r="BT845" s="74"/>
      <c r="BU845" s="74"/>
      <c r="BV845" s="74"/>
      <c r="BW845" s="74"/>
      <c r="BX845" s="74"/>
      <c r="BY845" s="74"/>
      <c r="BZ845" s="74"/>
    </row>
    <row r="846">
      <c r="L846" s="2"/>
      <c r="BM846" s="73"/>
      <c r="BN846" s="74"/>
      <c r="BO846" s="74"/>
      <c r="BP846" s="74"/>
      <c r="BQ846" s="74"/>
      <c r="BR846" s="74"/>
      <c r="BS846" s="74"/>
      <c r="BT846" s="74"/>
      <c r="BU846" s="74"/>
      <c r="BV846" s="74"/>
      <c r="BW846" s="74"/>
      <c r="BX846" s="74"/>
      <c r="BY846" s="74"/>
      <c r="BZ846" s="74"/>
    </row>
    <row r="847">
      <c r="L847" s="2"/>
      <c r="BM847" s="73"/>
      <c r="BN847" s="74"/>
      <c r="BO847" s="74"/>
      <c r="BP847" s="74"/>
      <c r="BQ847" s="74"/>
      <c r="BR847" s="74"/>
      <c r="BS847" s="74"/>
      <c r="BT847" s="74"/>
      <c r="BU847" s="74"/>
      <c r="BV847" s="74"/>
      <c r="BW847" s="74"/>
      <c r="BX847" s="74"/>
      <c r="BY847" s="74"/>
      <c r="BZ847" s="74"/>
    </row>
    <row r="848">
      <c r="L848" s="2"/>
      <c r="BM848" s="73"/>
      <c r="BN848" s="74"/>
      <c r="BO848" s="74"/>
      <c r="BP848" s="74"/>
      <c r="BQ848" s="74"/>
      <c r="BR848" s="74"/>
      <c r="BS848" s="74"/>
      <c r="BT848" s="74"/>
      <c r="BU848" s="74"/>
      <c r="BV848" s="74"/>
      <c r="BW848" s="74"/>
      <c r="BX848" s="74"/>
      <c r="BY848" s="74"/>
      <c r="BZ848" s="74"/>
    </row>
    <row r="849">
      <c r="L849" s="2"/>
      <c r="BM849" s="73"/>
      <c r="BN849" s="74"/>
      <c r="BO849" s="74"/>
      <c r="BP849" s="74"/>
      <c r="BQ849" s="74"/>
      <c r="BR849" s="74"/>
      <c r="BS849" s="74"/>
      <c r="BT849" s="74"/>
      <c r="BU849" s="74"/>
      <c r="BV849" s="74"/>
      <c r="BW849" s="74"/>
      <c r="BX849" s="74"/>
      <c r="BY849" s="74"/>
      <c r="BZ849" s="74"/>
    </row>
    <row r="850">
      <c r="L850" s="2"/>
      <c r="BM850" s="73"/>
      <c r="BN850" s="74"/>
      <c r="BO850" s="74"/>
      <c r="BP850" s="74"/>
      <c r="BQ850" s="74"/>
      <c r="BR850" s="74"/>
      <c r="BS850" s="74"/>
      <c r="BT850" s="74"/>
      <c r="BU850" s="74"/>
      <c r="BV850" s="74"/>
      <c r="BW850" s="74"/>
      <c r="BX850" s="74"/>
      <c r="BY850" s="74"/>
      <c r="BZ850" s="74"/>
    </row>
    <row r="851">
      <c r="L851" s="2"/>
      <c r="BM851" s="73"/>
      <c r="BN851" s="74"/>
      <c r="BO851" s="74"/>
      <c r="BP851" s="74"/>
      <c r="BQ851" s="74"/>
      <c r="BR851" s="74"/>
      <c r="BS851" s="74"/>
      <c r="BT851" s="74"/>
      <c r="BU851" s="74"/>
      <c r="BV851" s="74"/>
      <c r="BW851" s="74"/>
      <c r="BX851" s="74"/>
      <c r="BY851" s="74"/>
      <c r="BZ851" s="74"/>
    </row>
    <row r="852">
      <c r="L852" s="2"/>
      <c r="BM852" s="73"/>
      <c r="BN852" s="74"/>
      <c r="BO852" s="74"/>
      <c r="BP852" s="74"/>
      <c r="BQ852" s="74"/>
      <c r="BR852" s="74"/>
      <c r="BS852" s="74"/>
      <c r="BT852" s="74"/>
      <c r="BU852" s="74"/>
      <c r="BV852" s="74"/>
      <c r="BW852" s="74"/>
      <c r="BX852" s="74"/>
      <c r="BY852" s="74"/>
      <c r="BZ852" s="74"/>
    </row>
    <row r="853">
      <c r="L853" s="2"/>
      <c r="BM853" s="73"/>
      <c r="BN853" s="74"/>
      <c r="BO853" s="74"/>
      <c r="BP853" s="74"/>
      <c r="BQ853" s="74"/>
      <c r="BR853" s="74"/>
      <c r="BS853" s="74"/>
      <c r="BT853" s="74"/>
      <c r="BU853" s="74"/>
      <c r="BV853" s="74"/>
      <c r="BW853" s="74"/>
      <c r="BX853" s="74"/>
      <c r="BY853" s="74"/>
      <c r="BZ853" s="74"/>
    </row>
    <row r="854">
      <c r="L854" s="2"/>
      <c r="BM854" s="73"/>
      <c r="BN854" s="74"/>
      <c r="BO854" s="74"/>
      <c r="BP854" s="74"/>
      <c r="BQ854" s="74"/>
      <c r="BR854" s="74"/>
      <c r="BS854" s="74"/>
      <c r="BT854" s="74"/>
      <c r="BU854" s="74"/>
      <c r="BV854" s="74"/>
      <c r="BW854" s="74"/>
      <c r="BX854" s="74"/>
      <c r="BY854" s="74"/>
      <c r="BZ854" s="74"/>
    </row>
    <row r="855">
      <c r="L855" s="2"/>
      <c r="BM855" s="73"/>
      <c r="BN855" s="74"/>
      <c r="BO855" s="74"/>
      <c r="BP855" s="74"/>
      <c r="BQ855" s="74"/>
      <c r="BR855" s="74"/>
      <c r="BS855" s="74"/>
      <c r="BT855" s="74"/>
      <c r="BU855" s="74"/>
      <c r="BV855" s="74"/>
      <c r="BW855" s="74"/>
      <c r="BX855" s="74"/>
      <c r="BY855" s="74"/>
      <c r="BZ855" s="74"/>
    </row>
    <row r="856">
      <c r="L856" s="2"/>
      <c r="BM856" s="73"/>
      <c r="BN856" s="74"/>
      <c r="BO856" s="74"/>
      <c r="BP856" s="74"/>
      <c r="BQ856" s="74"/>
      <c r="BR856" s="74"/>
      <c r="BS856" s="74"/>
      <c r="BT856" s="74"/>
      <c r="BU856" s="74"/>
      <c r="BV856" s="74"/>
      <c r="BW856" s="74"/>
      <c r="BX856" s="74"/>
      <c r="BY856" s="74"/>
      <c r="BZ856" s="74"/>
    </row>
    <row r="857">
      <c r="L857" s="2"/>
      <c r="BM857" s="73"/>
      <c r="BN857" s="74"/>
      <c r="BO857" s="74"/>
      <c r="BP857" s="74"/>
      <c r="BQ857" s="74"/>
      <c r="BR857" s="74"/>
      <c r="BS857" s="74"/>
      <c r="BT857" s="74"/>
      <c r="BU857" s="74"/>
      <c r="BV857" s="74"/>
      <c r="BW857" s="74"/>
      <c r="BX857" s="74"/>
      <c r="BY857" s="74"/>
      <c r="BZ857" s="74"/>
    </row>
    <row r="858">
      <c r="L858" s="2"/>
      <c r="BM858" s="73"/>
      <c r="BN858" s="74"/>
      <c r="BO858" s="74"/>
      <c r="BP858" s="74"/>
      <c r="BQ858" s="74"/>
      <c r="BR858" s="74"/>
      <c r="BS858" s="74"/>
      <c r="BT858" s="74"/>
      <c r="BU858" s="74"/>
      <c r="BV858" s="74"/>
      <c r="BW858" s="74"/>
      <c r="BX858" s="74"/>
      <c r="BY858" s="74"/>
      <c r="BZ858" s="74"/>
    </row>
    <row r="859">
      <c r="L859" s="2"/>
      <c r="BM859" s="73"/>
      <c r="BN859" s="74"/>
      <c r="BO859" s="74"/>
      <c r="BP859" s="74"/>
      <c r="BQ859" s="74"/>
      <c r="BR859" s="74"/>
      <c r="BS859" s="74"/>
      <c r="BT859" s="74"/>
      <c r="BU859" s="74"/>
      <c r="BV859" s="74"/>
      <c r="BW859" s="74"/>
      <c r="BX859" s="74"/>
      <c r="BY859" s="74"/>
      <c r="BZ859" s="74"/>
    </row>
    <row r="860">
      <c r="L860" s="2"/>
      <c r="BM860" s="73"/>
      <c r="BN860" s="74"/>
      <c r="BO860" s="74"/>
      <c r="BP860" s="74"/>
      <c r="BQ860" s="74"/>
      <c r="BR860" s="74"/>
      <c r="BS860" s="74"/>
      <c r="BT860" s="74"/>
      <c r="BU860" s="74"/>
      <c r="BV860" s="74"/>
      <c r="BW860" s="74"/>
      <c r="BX860" s="74"/>
      <c r="BY860" s="74"/>
      <c r="BZ860" s="74"/>
    </row>
    <row r="861">
      <c r="L861" s="2"/>
      <c r="BM861" s="73"/>
      <c r="BN861" s="74"/>
      <c r="BO861" s="74"/>
      <c r="BP861" s="74"/>
      <c r="BQ861" s="74"/>
      <c r="BR861" s="74"/>
      <c r="BS861" s="74"/>
      <c r="BT861" s="74"/>
      <c r="BU861" s="74"/>
      <c r="BV861" s="74"/>
      <c r="BW861" s="74"/>
      <c r="BX861" s="74"/>
      <c r="BY861" s="74"/>
      <c r="BZ861" s="74"/>
    </row>
    <row r="862">
      <c r="L862" s="2"/>
      <c r="BM862" s="73"/>
      <c r="BN862" s="74"/>
      <c r="BO862" s="74"/>
      <c r="BP862" s="74"/>
      <c r="BQ862" s="74"/>
      <c r="BR862" s="74"/>
      <c r="BS862" s="74"/>
      <c r="BT862" s="74"/>
      <c r="BU862" s="74"/>
      <c r="BV862" s="74"/>
      <c r="BW862" s="74"/>
      <c r="BX862" s="74"/>
      <c r="BY862" s="74"/>
      <c r="BZ862" s="74"/>
    </row>
    <row r="863">
      <c r="L863" s="2"/>
      <c r="BM863" s="73"/>
      <c r="BN863" s="74"/>
      <c r="BO863" s="74"/>
      <c r="BP863" s="74"/>
      <c r="BQ863" s="74"/>
      <c r="BR863" s="74"/>
      <c r="BS863" s="74"/>
      <c r="BT863" s="74"/>
      <c r="BU863" s="74"/>
      <c r="BV863" s="74"/>
      <c r="BW863" s="74"/>
      <c r="BX863" s="74"/>
      <c r="BY863" s="74"/>
      <c r="BZ863" s="74"/>
    </row>
    <row r="864">
      <c r="L864" s="2"/>
      <c r="BM864" s="73"/>
      <c r="BN864" s="74"/>
      <c r="BO864" s="74"/>
      <c r="BP864" s="74"/>
      <c r="BQ864" s="74"/>
      <c r="BR864" s="74"/>
      <c r="BS864" s="74"/>
      <c r="BT864" s="74"/>
      <c r="BU864" s="74"/>
      <c r="BV864" s="74"/>
      <c r="BW864" s="74"/>
      <c r="BX864" s="74"/>
      <c r="BY864" s="74"/>
      <c r="BZ864" s="74"/>
    </row>
    <row r="865">
      <c r="L865" s="2"/>
      <c r="BM865" s="73"/>
      <c r="BN865" s="74"/>
      <c r="BO865" s="74"/>
      <c r="BP865" s="74"/>
      <c r="BQ865" s="74"/>
      <c r="BR865" s="74"/>
      <c r="BS865" s="74"/>
      <c r="BT865" s="74"/>
      <c r="BU865" s="74"/>
      <c r="BV865" s="74"/>
      <c r="BW865" s="74"/>
      <c r="BX865" s="74"/>
      <c r="BY865" s="74"/>
      <c r="BZ865" s="74"/>
    </row>
    <row r="866">
      <c r="L866" s="2"/>
      <c r="BM866" s="73"/>
      <c r="BN866" s="74"/>
      <c r="BO866" s="74"/>
      <c r="BP866" s="74"/>
      <c r="BQ866" s="74"/>
      <c r="BR866" s="74"/>
      <c r="BS866" s="74"/>
      <c r="BT866" s="74"/>
      <c r="BU866" s="74"/>
      <c r="BV866" s="74"/>
      <c r="BW866" s="74"/>
      <c r="BX866" s="74"/>
      <c r="BY866" s="74"/>
      <c r="BZ866" s="74"/>
    </row>
    <row r="867">
      <c r="L867" s="2"/>
      <c r="BM867" s="73"/>
      <c r="BN867" s="74"/>
      <c r="BO867" s="74"/>
      <c r="BP867" s="74"/>
      <c r="BQ867" s="74"/>
      <c r="BR867" s="74"/>
      <c r="BS867" s="74"/>
      <c r="BT867" s="74"/>
      <c r="BU867" s="74"/>
      <c r="BV867" s="74"/>
      <c r="BW867" s="74"/>
      <c r="BX867" s="74"/>
      <c r="BY867" s="74"/>
      <c r="BZ867" s="74"/>
    </row>
    <row r="868">
      <c r="L868" s="2"/>
      <c r="BM868" s="73"/>
      <c r="BN868" s="74"/>
      <c r="BO868" s="74"/>
      <c r="BP868" s="74"/>
      <c r="BQ868" s="74"/>
      <c r="BR868" s="74"/>
      <c r="BS868" s="74"/>
      <c r="BT868" s="74"/>
      <c r="BU868" s="74"/>
      <c r="BV868" s="74"/>
      <c r="BW868" s="74"/>
      <c r="BX868" s="74"/>
      <c r="BY868" s="74"/>
      <c r="BZ868" s="74"/>
    </row>
    <row r="869">
      <c r="L869" s="2"/>
      <c r="BM869" s="73"/>
      <c r="BN869" s="74"/>
      <c r="BO869" s="74"/>
      <c r="BP869" s="74"/>
      <c r="BQ869" s="74"/>
      <c r="BR869" s="74"/>
      <c r="BS869" s="74"/>
      <c r="BT869" s="74"/>
      <c r="BU869" s="74"/>
      <c r="BV869" s="74"/>
      <c r="BW869" s="74"/>
      <c r="BX869" s="74"/>
      <c r="BY869" s="74"/>
      <c r="BZ869" s="74"/>
    </row>
    <row r="870">
      <c r="L870" s="2"/>
      <c r="BM870" s="73"/>
      <c r="BN870" s="74"/>
      <c r="BO870" s="74"/>
      <c r="BP870" s="74"/>
      <c r="BQ870" s="74"/>
      <c r="BR870" s="74"/>
      <c r="BS870" s="74"/>
      <c r="BT870" s="74"/>
      <c r="BU870" s="74"/>
      <c r="BV870" s="74"/>
      <c r="BW870" s="74"/>
      <c r="BX870" s="74"/>
      <c r="BY870" s="74"/>
      <c r="BZ870" s="74"/>
    </row>
    <row r="871">
      <c r="L871" s="2"/>
      <c r="BM871" s="73"/>
      <c r="BN871" s="74"/>
      <c r="BO871" s="74"/>
      <c r="BP871" s="74"/>
      <c r="BQ871" s="74"/>
      <c r="BR871" s="74"/>
      <c r="BS871" s="74"/>
      <c r="BT871" s="74"/>
      <c r="BU871" s="74"/>
      <c r="BV871" s="74"/>
      <c r="BW871" s="74"/>
      <c r="BX871" s="74"/>
      <c r="BY871" s="74"/>
      <c r="BZ871" s="74"/>
    </row>
    <row r="872">
      <c r="L872" s="2"/>
      <c r="BM872" s="73"/>
      <c r="BN872" s="74"/>
      <c r="BO872" s="74"/>
      <c r="BP872" s="74"/>
      <c r="BQ872" s="74"/>
      <c r="BR872" s="74"/>
      <c r="BS872" s="74"/>
      <c r="BT872" s="74"/>
      <c r="BU872" s="74"/>
      <c r="BV872" s="74"/>
      <c r="BW872" s="74"/>
      <c r="BX872" s="74"/>
      <c r="BY872" s="74"/>
      <c r="BZ872" s="74"/>
    </row>
    <row r="873">
      <c r="L873" s="2"/>
      <c r="BM873" s="73"/>
      <c r="BN873" s="74"/>
      <c r="BO873" s="74"/>
      <c r="BP873" s="74"/>
      <c r="BQ873" s="74"/>
      <c r="BR873" s="74"/>
      <c r="BS873" s="74"/>
      <c r="BT873" s="74"/>
      <c r="BU873" s="74"/>
      <c r="BV873" s="74"/>
      <c r="BW873" s="74"/>
      <c r="BX873" s="74"/>
      <c r="BY873" s="74"/>
      <c r="BZ873" s="74"/>
    </row>
    <row r="874">
      <c r="L874" s="2"/>
      <c r="BM874" s="73"/>
      <c r="BN874" s="74"/>
      <c r="BO874" s="74"/>
      <c r="BP874" s="74"/>
      <c r="BQ874" s="74"/>
      <c r="BR874" s="74"/>
      <c r="BS874" s="74"/>
      <c r="BT874" s="74"/>
      <c r="BU874" s="74"/>
      <c r="BV874" s="74"/>
      <c r="BW874" s="74"/>
      <c r="BX874" s="74"/>
      <c r="BY874" s="74"/>
      <c r="BZ874" s="74"/>
    </row>
    <row r="875">
      <c r="L875" s="2"/>
      <c r="BM875" s="73"/>
      <c r="BN875" s="74"/>
      <c r="BO875" s="74"/>
      <c r="BP875" s="74"/>
      <c r="BQ875" s="74"/>
      <c r="BR875" s="74"/>
      <c r="BS875" s="74"/>
      <c r="BT875" s="74"/>
      <c r="BU875" s="74"/>
      <c r="BV875" s="74"/>
      <c r="BW875" s="74"/>
      <c r="BX875" s="74"/>
      <c r="BY875" s="74"/>
      <c r="BZ875" s="74"/>
    </row>
    <row r="876">
      <c r="L876" s="2"/>
      <c r="BM876" s="73"/>
      <c r="BN876" s="74"/>
      <c r="BO876" s="74"/>
      <c r="BP876" s="74"/>
      <c r="BQ876" s="74"/>
      <c r="BR876" s="74"/>
      <c r="BS876" s="74"/>
      <c r="BT876" s="74"/>
      <c r="BU876" s="74"/>
      <c r="BV876" s="74"/>
      <c r="BW876" s="74"/>
      <c r="BX876" s="74"/>
      <c r="BY876" s="74"/>
      <c r="BZ876" s="74"/>
    </row>
    <row r="877">
      <c r="L877" s="2"/>
      <c r="BM877" s="73"/>
      <c r="BN877" s="74"/>
      <c r="BO877" s="74"/>
      <c r="BP877" s="74"/>
      <c r="BQ877" s="74"/>
      <c r="BR877" s="74"/>
      <c r="BS877" s="74"/>
      <c r="BT877" s="74"/>
      <c r="BU877" s="74"/>
      <c r="BV877" s="74"/>
      <c r="BW877" s="74"/>
      <c r="BX877" s="74"/>
      <c r="BY877" s="74"/>
      <c r="BZ877" s="74"/>
    </row>
    <row r="878">
      <c r="L878" s="2"/>
      <c r="BM878" s="73"/>
      <c r="BN878" s="74"/>
      <c r="BO878" s="74"/>
      <c r="BP878" s="74"/>
      <c r="BQ878" s="74"/>
      <c r="BR878" s="74"/>
      <c r="BS878" s="74"/>
      <c r="BT878" s="74"/>
      <c r="BU878" s="74"/>
      <c r="BV878" s="74"/>
      <c r="BW878" s="74"/>
      <c r="BX878" s="74"/>
      <c r="BY878" s="74"/>
      <c r="BZ878" s="74"/>
    </row>
    <row r="879">
      <c r="L879" s="2"/>
      <c r="BM879" s="73"/>
      <c r="BN879" s="74"/>
      <c r="BO879" s="74"/>
      <c r="BP879" s="74"/>
      <c r="BQ879" s="74"/>
      <c r="BR879" s="74"/>
      <c r="BS879" s="74"/>
      <c r="BT879" s="74"/>
      <c r="BU879" s="74"/>
      <c r="BV879" s="74"/>
      <c r="BW879" s="74"/>
      <c r="BX879" s="74"/>
      <c r="BY879" s="74"/>
      <c r="BZ879" s="74"/>
    </row>
    <row r="880">
      <c r="L880" s="2"/>
      <c r="BM880" s="73"/>
      <c r="BN880" s="74"/>
      <c r="BO880" s="74"/>
      <c r="BP880" s="74"/>
      <c r="BQ880" s="74"/>
      <c r="BR880" s="74"/>
      <c r="BS880" s="74"/>
      <c r="BT880" s="74"/>
      <c r="BU880" s="74"/>
      <c r="BV880" s="74"/>
      <c r="BW880" s="74"/>
      <c r="BX880" s="74"/>
      <c r="BY880" s="74"/>
      <c r="BZ880" s="74"/>
    </row>
    <row r="881">
      <c r="L881" s="2"/>
      <c r="BM881" s="73"/>
      <c r="BN881" s="74"/>
      <c r="BO881" s="74"/>
      <c r="BP881" s="74"/>
      <c r="BQ881" s="74"/>
      <c r="BR881" s="74"/>
      <c r="BS881" s="74"/>
      <c r="BT881" s="74"/>
      <c r="BU881" s="74"/>
      <c r="BV881" s="74"/>
      <c r="BW881" s="74"/>
      <c r="BX881" s="74"/>
      <c r="BY881" s="74"/>
      <c r="BZ881" s="74"/>
    </row>
    <row r="882">
      <c r="L882" s="2"/>
      <c r="BM882" s="73"/>
      <c r="BN882" s="74"/>
      <c r="BO882" s="74"/>
      <c r="BP882" s="74"/>
      <c r="BQ882" s="74"/>
      <c r="BR882" s="74"/>
      <c r="BS882" s="74"/>
      <c r="BT882" s="74"/>
      <c r="BU882" s="74"/>
      <c r="BV882" s="74"/>
      <c r="BW882" s="74"/>
      <c r="BX882" s="74"/>
      <c r="BY882" s="74"/>
      <c r="BZ882" s="74"/>
    </row>
    <row r="883">
      <c r="L883" s="2"/>
      <c r="BM883" s="73"/>
      <c r="BN883" s="74"/>
      <c r="BO883" s="74"/>
      <c r="BP883" s="74"/>
      <c r="BQ883" s="74"/>
      <c r="BR883" s="74"/>
      <c r="BS883" s="74"/>
      <c r="BT883" s="74"/>
      <c r="BU883" s="74"/>
      <c r="BV883" s="74"/>
      <c r="BW883" s="74"/>
      <c r="BX883" s="74"/>
      <c r="BY883" s="74"/>
      <c r="BZ883" s="74"/>
    </row>
    <row r="884">
      <c r="L884" s="2"/>
      <c r="BM884" s="73"/>
      <c r="BN884" s="74"/>
      <c r="BO884" s="74"/>
      <c r="BP884" s="74"/>
      <c r="BQ884" s="74"/>
      <c r="BR884" s="74"/>
      <c r="BS884" s="74"/>
      <c r="BT884" s="74"/>
      <c r="BU884" s="74"/>
      <c r="BV884" s="74"/>
      <c r="BW884" s="74"/>
      <c r="BX884" s="74"/>
      <c r="BY884" s="74"/>
      <c r="BZ884" s="74"/>
    </row>
    <row r="885">
      <c r="L885" s="2"/>
      <c r="BM885" s="73"/>
      <c r="BN885" s="74"/>
      <c r="BO885" s="74"/>
      <c r="BP885" s="74"/>
      <c r="BQ885" s="74"/>
      <c r="BR885" s="74"/>
      <c r="BS885" s="74"/>
      <c r="BT885" s="74"/>
      <c r="BU885" s="74"/>
      <c r="BV885" s="74"/>
      <c r="BW885" s="74"/>
      <c r="BX885" s="74"/>
      <c r="BY885" s="74"/>
      <c r="BZ885" s="74"/>
    </row>
    <row r="886">
      <c r="L886" s="2"/>
      <c r="BM886" s="73"/>
      <c r="BN886" s="74"/>
      <c r="BO886" s="74"/>
      <c r="BP886" s="74"/>
      <c r="BQ886" s="74"/>
      <c r="BR886" s="74"/>
      <c r="BS886" s="74"/>
      <c r="BT886" s="74"/>
      <c r="BU886" s="74"/>
      <c r="BV886" s="74"/>
      <c r="BW886" s="74"/>
      <c r="BX886" s="74"/>
      <c r="BY886" s="74"/>
      <c r="BZ886" s="74"/>
    </row>
    <row r="887">
      <c r="L887" s="2"/>
      <c r="BM887" s="73"/>
      <c r="BN887" s="74"/>
      <c r="BO887" s="74"/>
      <c r="BP887" s="74"/>
      <c r="BQ887" s="74"/>
      <c r="BR887" s="74"/>
      <c r="BS887" s="74"/>
      <c r="BT887" s="74"/>
      <c r="BU887" s="74"/>
      <c r="BV887" s="74"/>
      <c r="BW887" s="74"/>
      <c r="BX887" s="74"/>
      <c r="BY887" s="74"/>
      <c r="BZ887" s="74"/>
    </row>
    <row r="888">
      <c r="L888" s="2"/>
      <c r="BM888" s="73"/>
      <c r="BN888" s="74"/>
      <c r="BO888" s="74"/>
      <c r="BP888" s="74"/>
      <c r="BQ888" s="74"/>
      <c r="BR888" s="74"/>
      <c r="BS888" s="74"/>
      <c r="BT888" s="74"/>
      <c r="BU888" s="74"/>
      <c r="BV888" s="74"/>
      <c r="BW888" s="74"/>
      <c r="BX888" s="74"/>
      <c r="BY888" s="74"/>
      <c r="BZ888" s="74"/>
    </row>
    <row r="889">
      <c r="L889" s="2"/>
      <c r="BM889" s="73"/>
      <c r="BN889" s="74"/>
      <c r="BO889" s="74"/>
      <c r="BP889" s="74"/>
      <c r="BQ889" s="74"/>
      <c r="BR889" s="74"/>
      <c r="BS889" s="74"/>
      <c r="BT889" s="74"/>
      <c r="BU889" s="74"/>
      <c r="BV889" s="74"/>
      <c r="BW889" s="74"/>
      <c r="BX889" s="74"/>
      <c r="BY889" s="74"/>
      <c r="BZ889" s="74"/>
    </row>
    <row r="890">
      <c r="L890" s="2"/>
      <c r="BM890" s="73"/>
      <c r="BN890" s="74"/>
      <c r="BO890" s="74"/>
      <c r="BP890" s="74"/>
      <c r="BQ890" s="74"/>
      <c r="BR890" s="74"/>
      <c r="BS890" s="74"/>
      <c r="BT890" s="74"/>
      <c r="BU890" s="74"/>
      <c r="BV890" s="74"/>
      <c r="BW890" s="74"/>
      <c r="BX890" s="74"/>
      <c r="BY890" s="74"/>
      <c r="BZ890" s="74"/>
    </row>
    <row r="891">
      <c r="L891" s="2"/>
      <c r="BM891" s="73"/>
      <c r="BN891" s="74"/>
      <c r="BO891" s="74"/>
      <c r="BP891" s="74"/>
      <c r="BQ891" s="74"/>
      <c r="BR891" s="74"/>
      <c r="BS891" s="74"/>
      <c r="BT891" s="74"/>
      <c r="BU891" s="74"/>
      <c r="BV891" s="74"/>
      <c r="BW891" s="74"/>
      <c r="BX891" s="74"/>
      <c r="BY891" s="74"/>
      <c r="BZ891" s="74"/>
    </row>
    <row r="892">
      <c r="L892" s="2"/>
      <c r="BM892" s="73"/>
      <c r="BN892" s="74"/>
      <c r="BO892" s="74"/>
      <c r="BP892" s="74"/>
      <c r="BQ892" s="74"/>
      <c r="BR892" s="74"/>
      <c r="BS892" s="74"/>
      <c r="BT892" s="74"/>
      <c r="BU892" s="74"/>
      <c r="BV892" s="74"/>
      <c r="BW892" s="74"/>
      <c r="BX892" s="74"/>
      <c r="BY892" s="74"/>
      <c r="BZ892" s="74"/>
    </row>
    <row r="893">
      <c r="L893" s="2"/>
      <c r="BM893" s="73"/>
      <c r="BN893" s="74"/>
      <c r="BO893" s="74"/>
      <c r="BP893" s="74"/>
      <c r="BQ893" s="74"/>
      <c r="BR893" s="74"/>
      <c r="BS893" s="74"/>
      <c r="BT893" s="74"/>
      <c r="BU893" s="74"/>
      <c r="BV893" s="74"/>
      <c r="BW893" s="74"/>
      <c r="BX893" s="74"/>
      <c r="BY893" s="74"/>
      <c r="BZ893" s="74"/>
    </row>
    <row r="894">
      <c r="L894" s="2"/>
      <c r="BM894" s="73"/>
      <c r="BN894" s="74"/>
      <c r="BO894" s="74"/>
      <c r="BP894" s="74"/>
      <c r="BQ894" s="74"/>
      <c r="BR894" s="74"/>
      <c r="BS894" s="74"/>
      <c r="BT894" s="74"/>
      <c r="BU894" s="74"/>
      <c r="BV894" s="74"/>
      <c r="BW894" s="74"/>
      <c r="BX894" s="74"/>
      <c r="BY894" s="74"/>
      <c r="BZ894" s="74"/>
    </row>
    <row r="895">
      <c r="L895" s="2"/>
      <c r="BM895" s="73"/>
      <c r="BN895" s="74"/>
      <c r="BO895" s="74"/>
      <c r="BP895" s="74"/>
      <c r="BQ895" s="74"/>
      <c r="BR895" s="74"/>
      <c r="BS895" s="74"/>
      <c r="BT895" s="74"/>
      <c r="BU895" s="74"/>
      <c r="BV895" s="74"/>
      <c r="BW895" s="74"/>
      <c r="BX895" s="74"/>
      <c r="BY895" s="74"/>
      <c r="BZ895" s="74"/>
    </row>
    <row r="896">
      <c r="L896" s="2"/>
      <c r="BM896" s="73"/>
      <c r="BN896" s="74"/>
      <c r="BO896" s="74"/>
      <c r="BP896" s="74"/>
      <c r="BQ896" s="74"/>
      <c r="BR896" s="74"/>
      <c r="BS896" s="74"/>
      <c r="BT896" s="74"/>
      <c r="BU896" s="74"/>
      <c r="BV896" s="74"/>
      <c r="BW896" s="74"/>
      <c r="BX896" s="74"/>
      <c r="BY896" s="74"/>
      <c r="BZ896" s="74"/>
    </row>
    <row r="897">
      <c r="L897" s="2"/>
      <c r="BM897" s="73"/>
      <c r="BN897" s="74"/>
      <c r="BO897" s="74"/>
      <c r="BP897" s="74"/>
      <c r="BQ897" s="74"/>
      <c r="BR897" s="74"/>
      <c r="BS897" s="74"/>
      <c r="BT897" s="74"/>
      <c r="BU897" s="74"/>
      <c r="BV897" s="74"/>
      <c r="BW897" s="74"/>
      <c r="BX897" s="74"/>
      <c r="BY897" s="74"/>
      <c r="BZ897" s="74"/>
    </row>
    <row r="898">
      <c r="L898" s="2"/>
      <c r="BM898" s="73"/>
      <c r="BN898" s="74"/>
      <c r="BO898" s="74"/>
      <c r="BP898" s="74"/>
      <c r="BQ898" s="74"/>
      <c r="BR898" s="74"/>
      <c r="BS898" s="74"/>
      <c r="BT898" s="74"/>
      <c r="BU898" s="74"/>
      <c r="BV898" s="74"/>
      <c r="BW898" s="74"/>
      <c r="BX898" s="74"/>
      <c r="BY898" s="74"/>
      <c r="BZ898" s="74"/>
    </row>
    <row r="899">
      <c r="L899" s="2"/>
      <c r="BM899" s="73"/>
      <c r="BN899" s="74"/>
      <c r="BO899" s="74"/>
      <c r="BP899" s="74"/>
      <c r="BQ899" s="74"/>
      <c r="BR899" s="74"/>
      <c r="BS899" s="74"/>
      <c r="BT899" s="74"/>
      <c r="BU899" s="74"/>
      <c r="BV899" s="74"/>
      <c r="BW899" s="74"/>
      <c r="BX899" s="74"/>
      <c r="BY899" s="74"/>
      <c r="BZ899" s="74"/>
    </row>
    <row r="900">
      <c r="L900" s="2"/>
      <c r="BM900" s="73"/>
      <c r="BN900" s="74"/>
      <c r="BO900" s="74"/>
      <c r="BP900" s="74"/>
      <c r="BQ900" s="74"/>
      <c r="BR900" s="74"/>
      <c r="BS900" s="74"/>
      <c r="BT900" s="74"/>
      <c r="BU900" s="74"/>
      <c r="BV900" s="74"/>
      <c r="BW900" s="74"/>
      <c r="BX900" s="74"/>
      <c r="BY900" s="74"/>
      <c r="BZ900" s="74"/>
    </row>
    <row r="901">
      <c r="L901" s="2"/>
      <c r="BM901" s="73"/>
      <c r="BN901" s="74"/>
      <c r="BO901" s="74"/>
      <c r="BP901" s="74"/>
      <c r="BQ901" s="74"/>
      <c r="BR901" s="74"/>
      <c r="BS901" s="74"/>
      <c r="BT901" s="74"/>
      <c r="BU901" s="74"/>
      <c r="BV901" s="74"/>
      <c r="BW901" s="74"/>
      <c r="BX901" s="74"/>
      <c r="BY901" s="74"/>
      <c r="BZ901" s="74"/>
    </row>
    <row r="902">
      <c r="L902" s="2"/>
      <c r="BM902" s="73"/>
      <c r="BN902" s="74"/>
      <c r="BO902" s="74"/>
      <c r="BP902" s="74"/>
      <c r="BQ902" s="74"/>
      <c r="BR902" s="74"/>
      <c r="BS902" s="74"/>
      <c r="BT902" s="74"/>
      <c r="BU902" s="74"/>
      <c r="BV902" s="74"/>
      <c r="BW902" s="74"/>
      <c r="BX902" s="74"/>
      <c r="BY902" s="74"/>
      <c r="BZ902" s="74"/>
    </row>
    <row r="903">
      <c r="L903" s="2"/>
      <c r="BM903" s="73"/>
      <c r="BN903" s="74"/>
      <c r="BO903" s="74"/>
      <c r="BP903" s="74"/>
      <c r="BQ903" s="74"/>
      <c r="BR903" s="74"/>
      <c r="BS903" s="74"/>
      <c r="BT903" s="74"/>
      <c r="BU903" s="74"/>
      <c r="BV903" s="74"/>
      <c r="BW903" s="74"/>
      <c r="BX903" s="74"/>
      <c r="BY903" s="74"/>
      <c r="BZ903" s="74"/>
    </row>
    <row r="904">
      <c r="L904" s="2"/>
      <c r="BM904" s="73"/>
      <c r="BN904" s="74"/>
      <c r="BO904" s="74"/>
      <c r="BP904" s="74"/>
      <c r="BQ904" s="74"/>
      <c r="BR904" s="74"/>
      <c r="BS904" s="74"/>
      <c r="BT904" s="74"/>
      <c r="BU904" s="74"/>
      <c r="BV904" s="74"/>
      <c r="BW904" s="74"/>
      <c r="BX904" s="74"/>
      <c r="BY904" s="74"/>
      <c r="BZ904" s="74"/>
    </row>
    <row r="905">
      <c r="L905" s="2"/>
      <c r="BM905" s="73"/>
      <c r="BN905" s="74"/>
      <c r="BO905" s="74"/>
      <c r="BP905" s="74"/>
      <c r="BQ905" s="74"/>
      <c r="BR905" s="74"/>
      <c r="BS905" s="74"/>
      <c r="BT905" s="74"/>
      <c r="BU905" s="74"/>
      <c r="BV905" s="74"/>
      <c r="BW905" s="74"/>
      <c r="BX905" s="74"/>
      <c r="BY905" s="74"/>
      <c r="BZ905" s="74"/>
    </row>
    <row r="906">
      <c r="L906" s="2"/>
      <c r="BM906" s="73"/>
      <c r="BN906" s="74"/>
      <c r="BO906" s="74"/>
      <c r="BP906" s="74"/>
      <c r="BQ906" s="74"/>
      <c r="BR906" s="74"/>
      <c r="BS906" s="74"/>
      <c r="BT906" s="74"/>
      <c r="BU906" s="74"/>
      <c r="BV906" s="74"/>
      <c r="BW906" s="74"/>
      <c r="BX906" s="74"/>
      <c r="BY906" s="74"/>
      <c r="BZ906" s="74"/>
    </row>
    <row r="907">
      <c r="L907" s="2"/>
      <c r="BM907" s="73"/>
      <c r="BN907" s="74"/>
      <c r="BO907" s="74"/>
      <c r="BP907" s="74"/>
      <c r="BQ907" s="74"/>
      <c r="BR907" s="74"/>
      <c r="BS907" s="74"/>
      <c r="BT907" s="74"/>
      <c r="BU907" s="74"/>
      <c r="BV907" s="74"/>
      <c r="BW907" s="74"/>
      <c r="BX907" s="74"/>
      <c r="BY907" s="74"/>
      <c r="BZ907" s="74"/>
    </row>
    <row r="908">
      <c r="L908" s="2"/>
      <c r="BM908" s="73"/>
      <c r="BN908" s="74"/>
      <c r="BO908" s="74"/>
      <c r="BP908" s="74"/>
      <c r="BQ908" s="74"/>
      <c r="BR908" s="74"/>
      <c r="BS908" s="74"/>
      <c r="BT908" s="74"/>
      <c r="BU908" s="74"/>
      <c r="BV908" s="74"/>
      <c r="BW908" s="74"/>
      <c r="BX908" s="74"/>
      <c r="BY908" s="74"/>
      <c r="BZ908" s="74"/>
    </row>
    <row r="909">
      <c r="L909" s="2"/>
      <c r="BM909" s="73"/>
      <c r="BN909" s="74"/>
      <c r="BO909" s="74"/>
      <c r="BP909" s="74"/>
      <c r="BQ909" s="74"/>
      <c r="BR909" s="74"/>
      <c r="BS909" s="74"/>
      <c r="BT909" s="74"/>
      <c r="BU909" s="74"/>
      <c r="BV909" s="74"/>
      <c r="BW909" s="74"/>
      <c r="BX909" s="74"/>
      <c r="BY909" s="74"/>
      <c r="BZ909" s="74"/>
    </row>
    <row r="910">
      <c r="L910" s="2"/>
      <c r="BM910" s="73"/>
      <c r="BN910" s="74"/>
      <c r="BO910" s="74"/>
      <c r="BP910" s="74"/>
      <c r="BQ910" s="74"/>
      <c r="BR910" s="74"/>
      <c r="BS910" s="74"/>
      <c r="BT910" s="74"/>
      <c r="BU910" s="74"/>
      <c r="BV910" s="74"/>
      <c r="BW910" s="74"/>
      <c r="BX910" s="74"/>
      <c r="BY910" s="74"/>
      <c r="BZ910" s="74"/>
    </row>
    <row r="911">
      <c r="L911" s="2"/>
      <c r="BM911" s="73"/>
      <c r="BN911" s="74"/>
      <c r="BO911" s="74"/>
      <c r="BP911" s="74"/>
      <c r="BQ911" s="74"/>
      <c r="BR911" s="74"/>
      <c r="BS911" s="74"/>
      <c r="BT911" s="74"/>
      <c r="BU911" s="74"/>
      <c r="BV911" s="74"/>
      <c r="BW911" s="74"/>
      <c r="BX911" s="74"/>
      <c r="BY911" s="74"/>
      <c r="BZ911" s="74"/>
    </row>
    <row r="912">
      <c r="L912" s="2"/>
      <c r="BM912" s="73"/>
      <c r="BN912" s="74"/>
      <c r="BO912" s="74"/>
      <c r="BP912" s="74"/>
      <c r="BQ912" s="74"/>
      <c r="BR912" s="74"/>
      <c r="BS912" s="74"/>
      <c r="BT912" s="74"/>
      <c r="BU912" s="74"/>
      <c r="BV912" s="74"/>
      <c r="BW912" s="74"/>
      <c r="BX912" s="74"/>
      <c r="BY912" s="74"/>
      <c r="BZ912" s="74"/>
    </row>
    <row r="913">
      <c r="L913" s="2"/>
      <c r="BM913" s="73"/>
      <c r="BN913" s="74"/>
      <c r="BO913" s="74"/>
      <c r="BP913" s="74"/>
      <c r="BQ913" s="74"/>
      <c r="BR913" s="74"/>
      <c r="BS913" s="74"/>
      <c r="BT913" s="74"/>
      <c r="BU913" s="74"/>
      <c r="BV913" s="74"/>
      <c r="BW913" s="74"/>
      <c r="BX913" s="74"/>
      <c r="BY913" s="74"/>
      <c r="BZ913" s="74"/>
    </row>
    <row r="914">
      <c r="L914" s="2"/>
      <c r="BM914" s="73"/>
      <c r="BN914" s="74"/>
      <c r="BO914" s="74"/>
      <c r="BP914" s="74"/>
      <c r="BQ914" s="74"/>
      <c r="BR914" s="74"/>
      <c r="BS914" s="74"/>
      <c r="BT914" s="74"/>
      <c r="BU914" s="74"/>
      <c r="BV914" s="74"/>
      <c r="BW914" s="74"/>
      <c r="BX914" s="74"/>
      <c r="BY914" s="74"/>
      <c r="BZ914" s="74"/>
    </row>
    <row r="915">
      <c r="L915" s="2"/>
      <c r="BM915" s="73"/>
      <c r="BN915" s="74"/>
      <c r="BO915" s="74"/>
      <c r="BP915" s="74"/>
      <c r="BQ915" s="74"/>
      <c r="BR915" s="74"/>
      <c r="BS915" s="74"/>
      <c r="BT915" s="74"/>
      <c r="BU915" s="74"/>
      <c r="BV915" s="74"/>
      <c r="BW915" s="74"/>
      <c r="BX915" s="74"/>
      <c r="BY915" s="74"/>
      <c r="BZ915" s="74"/>
    </row>
    <row r="916">
      <c r="L916" s="2"/>
      <c r="BM916" s="73"/>
      <c r="BN916" s="74"/>
      <c r="BO916" s="74"/>
      <c r="BP916" s="74"/>
      <c r="BQ916" s="74"/>
      <c r="BR916" s="74"/>
      <c r="BS916" s="74"/>
      <c r="BT916" s="74"/>
      <c r="BU916" s="74"/>
      <c r="BV916" s="74"/>
      <c r="BW916" s="74"/>
      <c r="BX916" s="74"/>
      <c r="BY916" s="74"/>
      <c r="BZ916" s="74"/>
    </row>
    <row r="917">
      <c r="L917" s="2"/>
      <c r="BM917" s="73"/>
      <c r="BN917" s="74"/>
      <c r="BO917" s="74"/>
      <c r="BP917" s="74"/>
      <c r="BQ917" s="74"/>
      <c r="BR917" s="74"/>
      <c r="BS917" s="74"/>
      <c r="BT917" s="74"/>
      <c r="BU917" s="74"/>
      <c r="BV917" s="74"/>
      <c r="BW917" s="74"/>
      <c r="BX917" s="74"/>
      <c r="BY917" s="74"/>
      <c r="BZ917" s="74"/>
    </row>
    <row r="918">
      <c r="L918" s="2"/>
      <c r="BM918" s="73"/>
      <c r="BN918" s="74"/>
      <c r="BO918" s="74"/>
      <c r="BP918" s="74"/>
      <c r="BQ918" s="74"/>
      <c r="BR918" s="74"/>
      <c r="BS918" s="74"/>
      <c r="BT918" s="74"/>
      <c r="BU918" s="74"/>
      <c r="BV918" s="74"/>
      <c r="BW918" s="74"/>
      <c r="BX918" s="74"/>
      <c r="BY918" s="74"/>
      <c r="BZ918" s="74"/>
    </row>
    <row r="919">
      <c r="L919" s="2"/>
      <c r="BM919" s="73"/>
      <c r="BN919" s="74"/>
      <c r="BO919" s="74"/>
      <c r="BP919" s="74"/>
      <c r="BQ919" s="74"/>
      <c r="BR919" s="74"/>
      <c r="BS919" s="74"/>
      <c r="BT919" s="74"/>
      <c r="BU919" s="74"/>
      <c r="BV919" s="74"/>
      <c r="BW919" s="74"/>
      <c r="BX919" s="74"/>
      <c r="BY919" s="74"/>
      <c r="BZ919" s="74"/>
    </row>
    <row r="920">
      <c r="L920" s="2"/>
      <c r="BM920" s="73"/>
      <c r="BN920" s="74"/>
      <c r="BO920" s="74"/>
      <c r="BP920" s="74"/>
      <c r="BQ920" s="74"/>
      <c r="BR920" s="74"/>
      <c r="BS920" s="74"/>
      <c r="BT920" s="74"/>
      <c r="BU920" s="74"/>
      <c r="BV920" s="74"/>
      <c r="BW920" s="74"/>
      <c r="BX920" s="74"/>
      <c r="BY920" s="74"/>
      <c r="BZ920" s="74"/>
    </row>
    <row r="921">
      <c r="L921" s="2"/>
      <c r="BM921" s="73"/>
      <c r="BN921" s="74"/>
      <c r="BO921" s="74"/>
      <c r="BP921" s="74"/>
      <c r="BQ921" s="74"/>
      <c r="BR921" s="74"/>
      <c r="BS921" s="74"/>
      <c r="BT921" s="74"/>
      <c r="BU921" s="74"/>
      <c r="BV921" s="74"/>
      <c r="BW921" s="74"/>
      <c r="BX921" s="74"/>
      <c r="BY921" s="74"/>
      <c r="BZ921" s="74"/>
    </row>
    <row r="922">
      <c r="L922" s="2"/>
      <c r="BM922" s="73"/>
      <c r="BN922" s="74"/>
      <c r="BO922" s="74"/>
      <c r="BP922" s="74"/>
      <c r="BQ922" s="74"/>
      <c r="BR922" s="74"/>
      <c r="BS922" s="74"/>
      <c r="BT922" s="74"/>
      <c r="BU922" s="74"/>
      <c r="BV922" s="74"/>
      <c r="BW922" s="74"/>
      <c r="BX922" s="74"/>
      <c r="BY922" s="74"/>
      <c r="BZ922" s="74"/>
    </row>
    <row r="923">
      <c r="L923" s="2"/>
      <c r="BM923" s="73"/>
      <c r="BN923" s="74"/>
      <c r="BO923" s="74"/>
      <c r="BP923" s="74"/>
      <c r="BQ923" s="74"/>
      <c r="BR923" s="74"/>
      <c r="BS923" s="74"/>
      <c r="BT923" s="74"/>
      <c r="BU923" s="74"/>
      <c r="BV923" s="74"/>
      <c r="BW923" s="74"/>
      <c r="BX923" s="74"/>
      <c r="BY923" s="74"/>
      <c r="BZ923" s="74"/>
    </row>
    <row r="924">
      <c r="L924" s="2"/>
      <c r="BM924" s="73"/>
      <c r="BN924" s="74"/>
      <c r="BO924" s="74"/>
      <c r="BP924" s="74"/>
      <c r="BQ924" s="74"/>
      <c r="BR924" s="74"/>
      <c r="BS924" s="74"/>
      <c r="BT924" s="74"/>
      <c r="BU924" s="74"/>
      <c r="BV924" s="74"/>
      <c r="BW924" s="74"/>
      <c r="BX924" s="74"/>
      <c r="BY924" s="74"/>
      <c r="BZ924" s="74"/>
    </row>
    <row r="925">
      <c r="L925" s="2"/>
      <c r="BM925" s="73"/>
      <c r="BN925" s="74"/>
      <c r="BO925" s="74"/>
      <c r="BP925" s="74"/>
      <c r="BQ925" s="74"/>
      <c r="BR925" s="74"/>
      <c r="BS925" s="74"/>
      <c r="BT925" s="74"/>
      <c r="BU925" s="74"/>
      <c r="BV925" s="74"/>
      <c r="BW925" s="74"/>
      <c r="BX925" s="74"/>
      <c r="BY925" s="74"/>
      <c r="BZ925" s="74"/>
    </row>
    <row r="926">
      <c r="L926" s="2"/>
      <c r="BM926" s="73"/>
      <c r="BN926" s="74"/>
      <c r="BO926" s="74"/>
      <c r="BP926" s="74"/>
      <c r="BQ926" s="74"/>
      <c r="BR926" s="74"/>
      <c r="BS926" s="74"/>
      <c r="BT926" s="74"/>
      <c r="BU926" s="74"/>
      <c r="BV926" s="74"/>
      <c r="BW926" s="74"/>
      <c r="BX926" s="74"/>
      <c r="BY926" s="74"/>
      <c r="BZ926" s="74"/>
    </row>
    <row r="927">
      <c r="L927" s="2"/>
      <c r="BM927" s="73"/>
      <c r="BN927" s="74"/>
      <c r="BO927" s="74"/>
      <c r="BP927" s="74"/>
      <c r="BQ927" s="74"/>
      <c r="BR927" s="74"/>
      <c r="BS927" s="74"/>
      <c r="BT927" s="74"/>
      <c r="BU927" s="74"/>
      <c r="BV927" s="74"/>
      <c r="BW927" s="74"/>
      <c r="BX927" s="74"/>
      <c r="BY927" s="74"/>
      <c r="BZ927" s="74"/>
    </row>
    <row r="928">
      <c r="L928" s="2"/>
      <c r="BM928" s="73"/>
      <c r="BN928" s="74"/>
      <c r="BO928" s="74"/>
      <c r="BP928" s="74"/>
      <c r="BQ928" s="74"/>
      <c r="BR928" s="74"/>
      <c r="BS928" s="74"/>
      <c r="BT928" s="74"/>
      <c r="BU928" s="74"/>
      <c r="BV928" s="74"/>
      <c r="BW928" s="74"/>
      <c r="BX928" s="74"/>
      <c r="BY928" s="74"/>
      <c r="BZ928" s="74"/>
    </row>
    <row r="929">
      <c r="L929" s="2"/>
      <c r="BM929" s="73"/>
      <c r="BN929" s="74"/>
      <c r="BO929" s="74"/>
      <c r="BP929" s="74"/>
      <c r="BQ929" s="74"/>
      <c r="BR929" s="74"/>
      <c r="BS929" s="74"/>
      <c r="BT929" s="74"/>
      <c r="BU929" s="74"/>
      <c r="BV929" s="74"/>
      <c r="BW929" s="74"/>
      <c r="BX929" s="74"/>
      <c r="BY929" s="74"/>
      <c r="BZ929" s="74"/>
    </row>
    <row r="930">
      <c r="L930" s="2"/>
      <c r="BM930" s="73"/>
      <c r="BN930" s="74"/>
      <c r="BO930" s="74"/>
      <c r="BP930" s="74"/>
      <c r="BQ930" s="74"/>
      <c r="BR930" s="74"/>
      <c r="BS930" s="74"/>
      <c r="BT930" s="74"/>
      <c r="BU930" s="74"/>
      <c r="BV930" s="74"/>
      <c r="BW930" s="74"/>
      <c r="BX930" s="74"/>
      <c r="BY930" s="74"/>
      <c r="BZ930" s="74"/>
    </row>
    <row r="931">
      <c r="L931" s="2"/>
      <c r="BM931" s="73"/>
      <c r="BN931" s="74"/>
      <c r="BO931" s="74"/>
      <c r="BP931" s="74"/>
      <c r="BQ931" s="74"/>
      <c r="BR931" s="74"/>
      <c r="BS931" s="74"/>
      <c r="BT931" s="74"/>
      <c r="BU931" s="74"/>
      <c r="BV931" s="74"/>
      <c r="BW931" s="74"/>
      <c r="BX931" s="74"/>
      <c r="BY931" s="74"/>
      <c r="BZ931" s="74"/>
    </row>
    <row r="932">
      <c r="L932" s="2"/>
      <c r="BM932" s="73"/>
      <c r="BN932" s="74"/>
      <c r="BO932" s="74"/>
      <c r="BP932" s="74"/>
      <c r="BQ932" s="74"/>
      <c r="BR932" s="74"/>
      <c r="BS932" s="74"/>
      <c r="BT932" s="74"/>
      <c r="BU932" s="74"/>
      <c r="BV932" s="74"/>
      <c r="BW932" s="74"/>
      <c r="BX932" s="74"/>
      <c r="BY932" s="74"/>
      <c r="BZ932" s="74"/>
    </row>
    <row r="933">
      <c r="L933" s="2"/>
      <c r="BM933" s="73"/>
      <c r="BN933" s="74"/>
      <c r="BO933" s="74"/>
      <c r="BP933" s="74"/>
      <c r="BQ933" s="74"/>
      <c r="BR933" s="74"/>
      <c r="BS933" s="74"/>
      <c r="BT933" s="74"/>
      <c r="BU933" s="74"/>
      <c r="BV933" s="74"/>
      <c r="BW933" s="74"/>
      <c r="BX933" s="74"/>
      <c r="BY933" s="74"/>
      <c r="BZ933" s="74"/>
    </row>
    <row r="934">
      <c r="L934" s="2"/>
      <c r="BM934" s="73"/>
      <c r="BN934" s="74"/>
      <c r="BO934" s="74"/>
      <c r="BP934" s="74"/>
      <c r="BQ934" s="74"/>
      <c r="BR934" s="74"/>
      <c r="BS934" s="74"/>
      <c r="BT934" s="74"/>
      <c r="BU934" s="74"/>
      <c r="BV934" s="74"/>
      <c r="BW934" s="74"/>
      <c r="BX934" s="74"/>
      <c r="BY934" s="74"/>
      <c r="BZ934" s="74"/>
    </row>
    <row r="935">
      <c r="L935" s="2"/>
      <c r="BM935" s="73"/>
      <c r="BN935" s="74"/>
      <c r="BO935" s="74"/>
      <c r="BP935" s="74"/>
      <c r="BQ935" s="74"/>
      <c r="BR935" s="74"/>
      <c r="BS935" s="74"/>
      <c r="BT935" s="74"/>
      <c r="BU935" s="74"/>
      <c r="BV935" s="74"/>
      <c r="BW935" s="74"/>
      <c r="BX935" s="74"/>
      <c r="BY935" s="74"/>
      <c r="BZ935" s="74"/>
    </row>
    <row r="936">
      <c r="L936" s="2"/>
      <c r="BM936" s="73"/>
      <c r="BN936" s="74"/>
      <c r="BO936" s="74"/>
      <c r="BP936" s="74"/>
      <c r="BQ936" s="74"/>
      <c r="BR936" s="74"/>
      <c r="BS936" s="74"/>
      <c r="BT936" s="74"/>
      <c r="BU936" s="74"/>
      <c r="BV936" s="74"/>
      <c r="BW936" s="74"/>
      <c r="BX936" s="74"/>
      <c r="BY936" s="74"/>
      <c r="BZ936" s="74"/>
    </row>
    <row r="937">
      <c r="L937" s="2"/>
      <c r="BM937" s="73"/>
      <c r="BN937" s="74"/>
      <c r="BO937" s="74"/>
      <c r="BP937" s="74"/>
      <c r="BQ937" s="74"/>
      <c r="BR937" s="74"/>
      <c r="BS937" s="74"/>
      <c r="BT937" s="74"/>
      <c r="BU937" s="74"/>
      <c r="BV937" s="74"/>
      <c r="BW937" s="74"/>
      <c r="BX937" s="74"/>
      <c r="BY937" s="74"/>
      <c r="BZ937" s="74"/>
    </row>
    <row r="938">
      <c r="L938" s="2"/>
      <c r="BM938" s="73"/>
      <c r="BN938" s="74"/>
      <c r="BO938" s="74"/>
      <c r="BP938" s="74"/>
      <c r="BQ938" s="74"/>
      <c r="BR938" s="74"/>
      <c r="BS938" s="74"/>
      <c r="BT938" s="74"/>
      <c r="BU938" s="74"/>
      <c r="BV938" s="74"/>
      <c r="BW938" s="74"/>
      <c r="BX938" s="74"/>
      <c r="BY938" s="74"/>
      <c r="BZ938" s="74"/>
    </row>
    <row r="939">
      <c r="L939" s="2"/>
      <c r="BM939" s="73"/>
      <c r="BN939" s="74"/>
      <c r="BO939" s="74"/>
      <c r="BP939" s="74"/>
      <c r="BQ939" s="74"/>
      <c r="BR939" s="74"/>
      <c r="BS939" s="74"/>
      <c r="BT939" s="74"/>
      <c r="BU939" s="74"/>
      <c r="BV939" s="74"/>
      <c r="BW939" s="74"/>
      <c r="BX939" s="74"/>
      <c r="BY939" s="74"/>
      <c r="BZ939" s="74"/>
    </row>
    <row r="940">
      <c r="L940" s="2"/>
      <c r="BM940" s="73"/>
      <c r="BN940" s="74"/>
      <c r="BO940" s="74"/>
      <c r="BP940" s="74"/>
      <c r="BQ940" s="74"/>
      <c r="BR940" s="74"/>
      <c r="BS940" s="74"/>
      <c r="BT940" s="74"/>
      <c r="BU940" s="74"/>
      <c r="BV940" s="74"/>
      <c r="BW940" s="74"/>
      <c r="BX940" s="74"/>
      <c r="BY940" s="74"/>
      <c r="BZ940" s="74"/>
    </row>
    <row r="941">
      <c r="L941" s="2"/>
      <c r="BM941" s="73"/>
      <c r="BN941" s="74"/>
      <c r="BO941" s="74"/>
      <c r="BP941" s="74"/>
      <c r="BQ941" s="74"/>
      <c r="BR941" s="74"/>
      <c r="BS941" s="74"/>
      <c r="BT941" s="74"/>
      <c r="BU941" s="74"/>
      <c r="BV941" s="74"/>
      <c r="BW941" s="74"/>
      <c r="BX941" s="74"/>
      <c r="BY941" s="74"/>
      <c r="BZ941" s="74"/>
    </row>
    <row r="942">
      <c r="L942" s="2"/>
      <c r="BM942" s="73"/>
      <c r="BN942" s="74"/>
      <c r="BO942" s="74"/>
      <c r="BP942" s="74"/>
      <c r="BQ942" s="74"/>
      <c r="BR942" s="74"/>
      <c r="BS942" s="74"/>
      <c r="BT942" s="74"/>
      <c r="BU942" s="74"/>
      <c r="BV942" s="74"/>
      <c r="BW942" s="74"/>
      <c r="BX942" s="74"/>
      <c r="BY942" s="74"/>
      <c r="BZ942" s="74"/>
    </row>
    <row r="943">
      <c r="L943" s="2"/>
      <c r="BM943" s="73"/>
      <c r="BN943" s="74"/>
      <c r="BO943" s="74"/>
      <c r="BP943" s="74"/>
      <c r="BQ943" s="74"/>
      <c r="BR943" s="74"/>
      <c r="BS943" s="74"/>
      <c r="BT943" s="74"/>
      <c r="BU943" s="74"/>
      <c r="BV943" s="74"/>
      <c r="BW943" s="74"/>
      <c r="BX943" s="74"/>
      <c r="BY943" s="74"/>
      <c r="BZ943" s="74"/>
    </row>
    <row r="944">
      <c r="L944" s="2"/>
      <c r="BM944" s="73"/>
      <c r="BN944" s="74"/>
      <c r="BO944" s="74"/>
      <c r="BP944" s="74"/>
      <c r="BQ944" s="74"/>
      <c r="BR944" s="74"/>
      <c r="BS944" s="74"/>
      <c r="BT944" s="74"/>
      <c r="BU944" s="74"/>
      <c r="BV944" s="74"/>
      <c r="BW944" s="74"/>
      <c r="BX944" s="74"/>
      <c r="BY944" s="74"/>
      <c r="BZ944" s="74"/>
    </row>
    <row r="945">
      <c r="L945" s="2"/>
      <c r="BM945" s="73"/>
      <c r="BN945" s="74"/>
      <c r="BO945" s="74"/>
      <c r="BP945" s="74"/>
      <c r="BQ945" s="74"/>
      <c r="BR945" s="74"/>
      <c r="BS945" s="74"/>
      <c r="BT945" s="74"/>
      <c r="BU945" s="74"/>
      <c r="BV945" s="74"/>
      <c r="BW945" s="74"/>
      <c r="BX945" s="74"/>
      <c r="BY945" s="74"/>
      <c r="BZ945" s="74"/>
    </row>
    <row r="946">
      <c r="L946" s="2"/>
      <c r="BM946" s="73"/>
      <c r="BN946" s="74"/>
      <c r="BO946" s="74"/>
      <c r="BP946" s="74"/>
      <c r="BQ946" s="74"/>
      <c r="BR946" s="74"/>
      <c r="BS946" s="74"/>
      <c r="BT946" s="74"/>
      <c r="BU946" s="74"/>
      <c r="BV946" s="74"/>
      <c r="BW946" s="74"/>
      <c r="BX946" s="74"/>
      <c r="BY946" s="74"/>
      <c r="BZ946" s="74"/>
    </row>
    <row r="947">
      <c r="L947" s="2"/>
      <c r="BM947" s="73"/>
      <c r="BN947" s="74"/>
      <c r="BO947" s="74"/>
      <c r="BP947" s="74"/>
      <c r="BQ947" s="74"/>
      <c r="BR947" s="74"/>
      <c r="BS947" s="74"/>
      <c r="BT947" s="74"/>
      <c r="BU947" s="74"/>
      <c r="BV947" s="74"/>
      <c r="BW947" s="74"/>
      <c r="BX947" s="74"/>
      <c r="BY947" s="74"/>
      <c r="BZ947" s="74"/>
    </row>
    <row r="948">
      <c r="L948" s="2"/>
      <c r="BM948" s="73"/>
      <c r="BN948" s="74"/>
      <c r="BO948" s="74"/>
      <c r="BP948" s="74"/>
      <c r="BQ948" s="74"/>
      <c r="BR948" s="74"/>
      <c r="BS948" s="74"/>
      <c r="BT948" s="74"/>
      <c r="BU948" s="74"/>
      <c r="BV948" s="74"/>
      <c r="BW948" s="74"/>
      <c r="BX948" s="74"/>
      <c r="BY948" s="74"/>
      <c r="BZ948" s="74"/>
    </row>
  </sheetData>
  <hyperlinks>
    <hyperlink r:id="rId1" ref="BX53"/>
    <hyperlink r:id="rId2" ref="BX54"/>
    <hyperlink r:id="rId3" ref="BX55"/>
    <hyperlink r:id="rId4" ref="BX56"/>
    <hyperlink r:id="rId5" ref="BX57"/>
    <hyperlink r:id="rId6" ref="BX58"/>
    <hyperlink r:id="rId7" ref="BX59"/>
    <hyperlink r:id="rId8" ref="BX62"/>
    <hyperlink r:id="rId9" ref="BX63"/>
    <hyperlink r:id="rId10" ref="BX64"/>
    <hyperlink r:id="rId11" ref="BX65"/>
    <hyperlink r:id="rId12" ref="BX66"/>
    <hyperlink r:id="rId13" ref="BX67"/>
    <hyperlink r:id="rId14" ref="BX68"/>
    <hyperlink r:id="rId15" ref="BX69"/>
    <hyperlink r:id="rId16" ref="BX70"/>
    <hyperlink r:id="rId17" ref="BX71"/>
    <hyperlink r:id="rId18" ref="BX72"/>
    <hyperlink r:id="rId19" ref="BX73"/>
    <hyperlink r:id="rId20" ref="BX77"/>
    <hyperlink r:id="rId21" ref="BX82"/>
    <hyperlink r:id="rId22" ref="BX84"/>
    <hyperlink r:id="rId23" ref="BX85"/>
    <hyperlink r:id="rId24" ref="BX86"/>
    <hyperlink r:id="rId25" ref="BX88"/>
    <hyperlink r:id="rId26" ref="BX91"/>
    <hyperlink r:id="rId27" ref="BX100"/>
    <hyperlink r:id="rId28" ref="BX101"/>
    <hyperlink r:id="rId29" ref="BX103"/>
    <hyperlink r:id="rId30" ref="BX104"/>
    <hyperlink r:id="rId31" ref="BX106"/>
    <hyperlink r:id="rId32" ref="BX108"/>
    <hyperlink r:id="rId33" ref="BX115"/>
    <hyperlink r:id="rId34" ref="BX116"/>
    <hyperlink r:id="rId35" ref="BX118"/>
    <hyperlink r:id="rId36" ref="BX120"/>
    <hyperlink r:id="rId37" ref="BX121"/>
    <hyperlink r:id="rId38" ref="BX127"/>
    <hyperlink r:id="rId39" ref="BX128"/>
    <hyperlink r:id="rId40" ref="BX133"/>
    <hyperlink r:id="rId41" ref="BX139"/>
    <hyperlink r:id="rId42" ref="BX140"/>
    <hyperlink r:id="rId43" ref="BX141"/>
    <hyperlink r:id="rId44" ref="BX142"/>
    <hyperlink r:id="rId45" ref="BX144"/>
    <hyperlink r:id="rId46" ref="BX147"/>
    <hyperlink r:id="rId47" ref="BX150"/>
    <hyperlink r:id="rId48" ref="BX152"/>
    <hyperlink r:id="rId49" ref="BX153"/>
    <hyperlink r:id="rId50" ref="BX157"/>
    <hyperlink r:id="rId51" ref="BX162"/>
  </hyperlinks>
  <drawing r:id="rId52"/>
  <tableParts count="3">
    <tablePart r:id="rId56"/>
    <tablePart r:id="rId57"/>
    <tablePart r:id="rId5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38"/>
    <col customWidth="1" min="2" max="2" width="47.38"/>
  </cols>
  <sheetData>
    <row r="1">
      <c r="A1" s="82" t="s">
        <v>0</v>
      </c>
      <c r="B1" s="83"/>
    </row>
    <row r="2">
      <c r="A2" s="84" t="s">
        <v>3768</v>
      </c>
      <c r="B2" s="85" t="s">
        <v>3769</v>
      </c>
    </row>
    <row r="3">
      <c r="A3" s="86" t="s">
        <v>3770</v>
      </c>
      <c r="B3" s="87">
        <v>162.0</v>
      </c>
    </row>
    <row r="4">
      <c r="A4" s="86" t="s">
        <v>3771</v>
      </c>
      <c r="B4" s="87">
        <v>162.0</v>
      </c>
    </row>
    <row r="5">
      <c r="A5" s="86" t="s">
        <v>3772</v>
      </c>
      <c r="B5" s="88" t="s">
        <v>3773</v>
      </c>
    </row>
    <row r="6">
      <c r="A6" s="86" t="s">
        <v>3774</v>
      </c>
      <c r="B6" s="88" t="s">
        <v>3775</v>
      </c>
    </row>
    <row r="7">
      <c r="A7" s="89" t="s">
        <v>3776</v>
      </c>
      <c r="B7" s="88" t="s">
        <v>3777</v>
      </c>
    </row>
    <row r="9">
      <c r="B9" s="90"/>
    </row>
    <row r="10">
      <c r="B10" s="90"/>
    </row>
  </sheetData>
  <drawing r:id="rId1"/>
</worksheet>
</file>